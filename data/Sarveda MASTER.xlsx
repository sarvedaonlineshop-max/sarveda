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ebsite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color rgb="FF000000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11"/>
    </font>
    <font/>
    <font>
      <name val="Calibri"/>
      <color theme="1"/>
      <scheme val="minor"/>
    </font>
    <font>
      <name val="Calibri"/>
      <color rgb="FF000000"/>
      <scheme val="minor"/>
    </font>
    <font>
      <name val="Calibri"/>
      <color rgb="FFFF0000"/>
      <sz val="11"/>
    </font>
    <font>
      <name val="Calibri"/>
      <color rgb="FF0000FF"/>
      <sz val="11"/>
      <u val="single"/>
    </font>
    <font>
      <name val="Calibri"/>
      <color theme="5"/>
      <sz val="11"/>
    </font>
    <font>
      <name val="Calibri"/>
      <color theme="1"/>
      <sz val="12"/>
    </font>
    <font>
      <name val="Calibri"/>
      <color rgb="FF000D1E"/>
      <sz val="11"/>
    </font>
    <font>
      <name val="Calibri"/>
      <color rgb="FFE97132"/>
      <sz val="11"/>
    </font>
    <font>
      <name val="Aptos Narrow"/>
      <color rgb="FF000000"/>
      <sz val="12"/>
    </font>
  </fonts>
  <fills count="19">
    <fill>
      <patternFill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1E4F5"/>
        <bgColor rgb="FFC1E4F5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3C78D8"/>
        <bgColor rgb="FF3C78D8"/>
      </patternFill>
    </fill>
    <fill>
      <patternFill patternType="solid">
        <fgColor rgb="FFCC0000"/>
        <bgColor rgb="FFCC0000"/>
      </patternFill>
    </fill>
    <fill>
      <patternFill patternType="solid">
        <fgColor rgb="FFB7E1CD"/>
        <bgColor rgb="FFB7E1CD"/>
      </patternFill>
    </fill>
    <fill>
      <patternFill patternType="solid">
        <fgColor rgb="FF3D85C6"/>
        <bgColor rgb="FF3D85C6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6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1" pivotButton="0" quotePrefix="0" xfId="0"/>
    <xf numFmtId="0" fontId="3" fillId="3" borderId="0" pivotButton="0" quotePrefix="0" xfId="0"/>
    <xf numFmtId="0" fontId="3" fillId="3" borderId="2" pivotButton="0" quotePrefix="0" xfId="0"/>
    <xf numFmtId="1" fontId="2" fillId="4" borderId="3" applyAlignment="1" pivotButton="0" quotePrefix="0" xfId="0">
      <alignment horizontal="center"/>
    </xf>
    <xf numFmtId="0" fontId="4" fillId="0" borderId="4" pivotButton="0" quotePrefix="0" xfId="0"/>
    <xf numFmtId="0" fontId="4" fillId="0" borderId="5" pivotButton="0" quotePrefix="0" xfId="0"/>
    <xf numFmtId="0" fontId="1" fillId="0" borderId="0" applyAlignment="1" pivotButton="0" quotePrefix="0" xfId="0">
      <alignment horizontal="center"/>
    </xf>
    <xf numFmtId="1" fontId="1" fillId="5" borderId="1" pivotButton="0" quotePrefix="0" xfId="0"/>
    <xf numFmtId="164" fontId="1" fillId="0" borderId="0" pivotButton="0" quotePrefix="0" xfId="0"/>
    <xf numFmtId="1" fontId="1" fillId="3" borderId="0" applyAlignment="1" pivotButton="0" quotePrefix="0" xfId="0">
      <alignment horizontal="center"/>
    </xf>
    <xf numFmtId="1" fontId="1" fillId="3" borderId="2" applyAlignment="1" pivotButton="0" quotePrefix="0" xfId="0">
      <alignment horizontal="center"/>
    </xf>
    <xf numFmtId="1" fontId="1" fillId="4" borderId="3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6" borderId="2" applyAlignment="1" pivotButton="0" quotePrefix="0" xfId="0">
      <alignment horizontal="center"/>
    </xf>
    <xf numFmtId="0" fontId="3" fillId="7" borderId="2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3" fillId="9" borderId="2" applyAlignment="1" pivotButton="0" quotePrefix="0" xfId="0">
      <alignment horizontal="center"/>
    </xf>
    <xf numFmtId="164" fontId="2" fillId="10" borderId="3" applyAlignment="1" pivotButton="0" quotePrefix="0" xfId="0">
      <alignment horizontal="left"/>
    </xf>
    <xf numFmtId="164" fontId="2" fillId="11" borderId="3" applyAlignment="1" pivotButton="0" quotePrefix="0" xfId="0">
      <alignment horizontal="center"/>
    </xf>
    <xf numFmtId="164" fontId="2" fillId="12" borderId="3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164" fontId="2" fillId="2" borderId="1" pivotButton="0" quotePrefix="0" xfId="0"/>
    <xf numFmtId="1" fontId="2" fillId="5" borderId="1" pivotButton="0" quotePrefix="0" xfId="0"/>
    <xf numFmtId="164" fontId="2" fillId="0" borderId="0" pivotButton="0" quotePrefix="0" xfId="0"/>
    <xf numFmtId="1" fontId="2" fillId="3" borderId="0" applyAlignment="1" pivotButton="0" quotePrefix="0" xfId="0">
      <alignment horizontal="center"/>
    </xf>
    <xf numFmtId="1" fontId="2" fillId="3" borderId="2" applyAlignment="1" pivotButton="0" quotePrefix="0" xfId="0">
      <alignment horizontal="center"/>
    </xf>
    <xf numFmtId="1" fontId="2" fillId="4" borderId="2" pivotButton="0" quotePrefix="0" xfId="0"/>
    <xf numFmtId="1" fontId="2" fillId="4" borderId="2" pivotButton="0" quotePrefix="0" xfId="0"/>
    <xf numFmtId="1" fontId="2" fillId="3" borderId="2" applyAlignment="1" pivotButton="0" quotePrefix="0" xfId="0">
      <alignment horizontal="center"/>
    </xf>
    <xf numFmtId="1" fontId="2" fillId="6" borderId="2" applyAlignment="1" pivotButton="0" quotePrefix="0" xfId="0">
      <alignment horizontal="center"/>
    </xf>
    <xf numFmtId="1" fontId="1" fillId="7" borderId="2" applyAlignment="1" pivotButton="0" quotePrefix="0" xfId="0">
      <alignment horizontal="center"/>
    </xf>
    <xf numFmtId="1" fontId="2" fillId="8" borderId="2" applyAlignment="1" pivotButton="0" quotePrefix="0" xfId="0">
      <alignment horizontal="center"/>
    </xf>
    <xf numFmtId="1" fontId="2" fillId="9" borderId="2" applyAlignment="1" pivotButton="0" quotePrefix="0" xfId="0">
      <alignment horizontal="center"/>
    </xf>
    <xf numFmtId="164" fontId="2" fillId="10" borderId="2" applyAlignment="1" pivotButton="0" quotePrefix="0" xfId="0">
      <alignment horizontal="left"/>
    </xf>
    <xf numFmtId="164" fontId="2" fillId="11" borderId="2" pivotButton="0" quotePrefix="0" xfId="0"/>
    <xf numFmtId="164" fontId="2" fillId="12" borderId="2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center"/>
    </xf>
    <xf numFmtId="0" fontId="1" fillId="13" borderId="0" pivotButton="0" quotePrefix="0" xfId="0"/>
    <xf numFmtId="0" fontId="1" fillId="13" borderId="0" applyAlignment="1" pivotButton="0" quotePrefix="0" xfId="0">
      <alignment horizontal="center"/>
    </xf>
    <xf numFmtId="9" fontId="1" fillId="13" borderId="0" applyAlignment="1" pivotButton="0" quotePrefix="0" xfId="0">
      <alignment horizontal="center"/>
    </xf>
    <xf numFmtId="0" fontId="5" fillId="13" borderId="0" pivotButton="0" quotePrefix="0" xfId="0"/>
    <xf numFmtId="0" fontId="1" fillId="13" borderId="1" pivotButton="0" quotePrefix="0" xfId="0"/>
    <xf numFmtId="164" fontId="1" fillId="13" borderId="0" pivotButton="0" quotePrefix="0" xfId="0"/>
    <xf numFmtId="164" fontId="1" fillId="13" borderId="1" pivotButton="0" quotePrefix="0" xfId="0"/>
    <xf numFmtId="1" fontId="1" fillId="13" borderId="1" pivotButton="0" quotePrefix="0" xfId="0"/>
    <xf numFmtId="1" fontId="1" fillId="13" borderId="0" pivotButton="0" quotePrefix="0" xfId="0"/>
    <xf numFmtId="1" fontId="1" fillId="13" borderId="2" pivotButton="0" quotePrefix="0" xfId="0"/>
    <xf numFmtId="1" fontId="1" fillId="13" borderId="2" pivotButton="0" quotePrefix="0" xfId="0"/>
    <xf numFmtId="1" fontId="1" fillId="13" borderId="2" applyAlignment="1" pivotButton="0" quotePrefix="0" xfId="0">
      <alignment horizontal="center"/>
    </xf>
    <xf numFmtId="2" fontId="1" fillId="13" borderId="2" applyAlignment="1" pivotButton="0" quotePrefix="0" xfId="0">
      <alignment horizontal="center"/>
    </xf>
    <xf numFmtId="164" fontId="1" fillId="13" borderId="2" applyAlignment="1" pivotButton="0" quotePrefix="0" xfId="0">
      <alignment horizontal="left"/>
    </xf>
    <xf numFmtId="164" fontId="1" fillId="13" borderId="2" pivotButton="0" quotePrefix="0" xfId="0"/>
    <xf numFmtId="9" fontId="1" fillId="0" borderId="0" applyAlignment="1" pivotButton="0" quotePrefix="0" xfId="0">
      <alignment horizontal="center"/>
    </xf>
    <xf numFmtId="164" fontId="1" fillId="2" borderId="1" pivotButton="0" quotePrefix="0" xfId="0"/>
    <xf numFmtId="0" fontId="5" fillId="0" borderId="0" pivotButton="0" quotePrefix="0" xfId="0"/>
    <xf numFmtId="1" fontId="1" fillId="10" borderId="0" pivotButton="0" quotePrefix="0" xfId="0"/>
    <xf numFmtId="1" fontId="1" fillId="3" borderId="2" pivotButton="0" quotePrefix="0" xfId="0"/>
    <xf numFmtId="1" fontId="1" fillId="4" borderId="2" pivotButton="0" quotePrefix="0" xfId="0"/>
    <xf numFmtId="1" fontId="1" fillId="4" borderId="2" pivotButton="0" quotePrefix="0" xfId="0"/>
    <xf numFmtId="1" fontId="1" fillId="10" borderId="2" applyAlignment="1" pivotButton="0" quotePrefix="0" xfId="0">
      <alignment horizontal="center"/>
    </xf>
    <xf numFmtId="1" fontId="1" fillId="6" borderId="2" applyAlignment="1" pivotButton="0" quotePrefix="0" xfId="0">
      <alignment horizontal="center"/>
    </xf>
    <xf numFmtId="2" fontId="1" fillId="7" borderId="2" applyAlignment="1" pivotButton="0" quotePrefix="0" xfId="0">
      <alignment horizontal="center"/>
    </xf>
    <xf numFmtId="1" fontId="1" fillId="8" borderId="2" applyAlignment="1" pivotButton="0" quotePrefix="0" xfId="0">
      <alignment horizontal="center"/>
    </xf>
    <xf numFmtId="1" fontId="1" fillId="9" borderId="2" applyAlignment="1" pivotButton="0" quotePrefix="0" xfId="0">
      <alignment horizontal="center"/>
    </xf>
    <xf numFmtId="164" fontId="1" fillId="10" borderId="2" applyAlignment="1" pivotButton="0" quotePrefix="0" xfId="0">
      <alignment horizontal="left"/>
    </xf>
    <xf numFmtId="164" fontId="1" fillId="11" borderId="2" pivotButton="0" quotePrefix="0" xfId="0"/>
    <xf numFmtId="164" fontId="1" fillId="12" borderId="2" pivotButton="0" quotePrefix="0" xfId="0"/>
    <xf numFmtId="0" fontId="1" fillId="13" borderId="1" applyAlignment="1" pivotButton="0" quotePrefix="0" xfId="0">
      <alignment horizontal="center"/>
    </xf>
    <xf numFmtId="0" fontId="1" fillId="14" borderId="0" pivotButton="0" quotePrefix="0" xfId="0"/>
    <xf numFmtId="0" fontId="1" fillId="14" borderId="0" pivotButton="0" quotePrefix="0" xfId="0"/>
    <xf numFmtId="0" fontId="1" fillId="14" borderId="0" applyAlignment="1" pivotButton="0" quotePrefix="0" xfId="0">
      <alignment horizontal="center"/>
    </xf>
    <xf numFmtId="9" fontId="1" fillId="14" borderId="0" applyAlignment="1" pivotButton="0" quotePrefix="0" xfId="0">
      <alignment horizontal="center"/>
    </xf>
    <xf numFmtId="0" fontId="5" fillId="14" borderId="0" pivotButton="0" quotePrefix="0" xfId="0"/>
    <xf numFmtId="0" fontId="1" fillId="14" borderId="1" pivotButton="0" quotePrefix="0" xfId="0"/>
    <xf numFmtId="164" fontId="1" fillId="14" borderId="0" pivotButton="0" quotePrefix="0" xfId="0"/>
    <xf numFmtId="164" fontId="1" fillId="14" borderId="1" pivotButton="0" quotePrefix="0" xfId="0"/>
    <xf numFmtId="1" fontId="1" fillId="14" borderId="1" pivotButton="0" quotePrefix="0" xfId="0"/>
    <xf numFmtId="1" fontId="1" fillId="14" borderId="0" pivotButton="0" quotePrefix="0" xfId="0"/>
    <xf numFmtId="1" fontId="1" fillId="14" borderId="2" pivotButton="0" quotePrefix="0" xfId="0"/>
    <xf numFmtId="1" fontId="1" fillId="14" borderId="2" pivotButton="0" quotePrefix="0" xfId="0"/>
    <xf numFmtId="1" fontId="1" fillId="14" borderId="2" applyAlignment="1" pivotButton="0" quotePrefix="0" xfId="0">
      <alignment horizontal="center"/>
    </xf>
    <xf numFmtId="2" fontId="1" fillId="14" borderId="2" applyAlignment="1" pivotButton="0" quotePrefix="0" xfId="0">
      <alignment horizontal="center"/>
    </xf>
    <xf numFmtId="164" fontId="1" fillId="14" borderId="2" applyAlignment="1" pivotButton="0" quotePrefix="0" xfId="0">
      <alignment horizontal="left"/>
    </xf>
    <xf numFmtId="164" fontId="1" fillId="14" borderId="2" pivotButton="0" quotePrefix="0" xfId="0"/>
    <xf numFmtId="0" fontId="6" fillId="0" borderId="0" applyAlignment="1" pivotButton="0" quotePrefix="0" xfId="0">
      <alignment horizontal="left" vertical="bottom"/>
    </xf>
    <xf numFmtId="0" fontId="5" fillId="0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9" fontId="1" fillId="3" borderId="0" applyAlignment="1" pivotButton="0" quotePrefix="0" xfId="0">
      <alignment horizontal="center"/>
    </xf>
    <xf numFmtId="0" fontId="1" fillId="3" borderId="1" pivotButton="0" quotePrefix="0" xfId="0"/>
    <xf numFmtId="164" fontId="1" fillId="3" borderId="0" pivotButton="0" quotePrefix="0" xfId="0"/>
    <xf numFmtId="164" fontId="1" fillId="3" borderId="1" pivotButton="0" quotePrefix="0" xfId="0"/>
    <xf numFmtId="1" fontId="1" fillId="3" borderId="1" pivotButton="0" quotePrefix="0" xfId="0"/>
    <xf numFmtId="1" fontId="1" fillId="3" borderId="0" pivotButton="0" quotePrefix="0" xfId="0"/>
    <xf numFmtId="2" fontId="1" fillId="3" borderId="2" applyAlignment="1" pivotButton="0" quotePrefix="0" xfId="0">
      <alignment horizontal="center"/>
    </xf>
    <xf numFmtId="164" fontId="1" fillId="3" borderId="2" applyAlignment="1" pivotButton="0" quotePrefix="0" xfId="0">
      <alignment horizontal="left"/>
    </xf>
    <xf numFmtId="164" fontId="1" fillId="3" borderId="2" pivotButton="0" quotePrefix="0" xfId="0"/>
    <xf numFmtId="1" fontId="1" fillId="3" borderId="2" pivotButton="0" quotePrefix="0" xfId="0"/>
    <xf numFmtId="0" fontId="5" fillId="3" borderId="0" pivotButton="0" quotePrefix="0" xfId="0"/>
    <xf numFmtId="0" fontId="6" fillId="3" borderId="0" applyAlignment="1" pivotButton="0" quotePrefix="0" xfId="0">
      <alignment horizontal="left" vertical="bottom"/>
    </xf>
    <xf numFmtId="0" fontId="3" fillId="13" borderId="0" pivotButton="0" quotePrefix="0" xfId="0"/>
    <xf numFmtId="0" fontId="3" fillId="0" borderId="0" pivotButton="0" quotePrefix="0" xfId="0"/>
    <xf numFmtId="0" fontId="6" fillId="13" borderId="0" applyAlignment="1" pivotButton="0" quotePrefix="0" xfId="0">
      <alignment horizontal="left" vertical="bottom"/>
    </xf>
    <xf numFmtId="0" fontId="3" fillId="13" borderId="0" applyAlignment="1" pivotButton="0" quotePrefix="0" xfId="0">
      <alignment horizontal="center"/>
    </xf>
    <xf numFmtId="0" fontId="5" fillId="13" borderId="0" pivotButton="0" quotePrefix="0" xfId="0"/>
    <xf numFmtId="0" fontId="3" fillId="13" borderId="0" applyAlignment="1" pivotButton="0" quotePrefix="0" xfId="0">
      <alignment horizontal="center"/>
    </xf>
    <xf numFmtId="9" fontId="1" fillId="13" borderId="0" applyAlignment="1" pivotButton="0" quotePrefix="0" xfId="0">
      <alignment horizontal="center"/>
    </xf>
    <xf numFmtId="1" fontId="1" fillId="13" borderId="0" pivotButton="0" quotePrefix="0" xfId="0"/>
    <xf numFmtId="0" fontId="7" fillId="1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164" fontId="1" fillId="0" borderId="1" pivotButton="0" quotePrefix="0" xfId="0"/>
    <xf numFmtId="1" fontId="1" fillId="0" borderId="1" pivotButton="0" quotePrefix="0" xfId="0"/>
    <xf numFmtId="1" fontId="1" fillId="0" borderId="0" pivotButton="0" quotePrefix="0" xfId="0"/>
    <xf numFmtId="1" fontId="1" fillId="0" borderId="2" pivotButton="0" quotePrefix="0" xfId="0"/>
    <xf numFmtId="1" fontId="1" fillId="0" borderId="2" applyAlignment="1" pivotButton="0" quotePrefix="0" xfId="0">
      <alignment horizontal="center"/>
    </xf>
    <xf numFmtId="2" fontId="1" fillId="0" borderId="2" applyAlignment="1" pivotButton="0" quotePrefix="0" xfId="0">
      <alignment horizontal="center"/>
    </xf>
    <xf numFmtId="164" fontId="1" fillId="0" borderId="2" applyAlignment="1" pivotButton="0" quotePrefix="0" xfId="0">
      <alignment horizontal="left"/>
    </xf>
    <xf numFmtId="164" fontId="1" fillId="0" borderId="2" pivotButton="0" quotePrefix="0" xfId="0"/>
    <xf numFmtId="1" fontId="1" fillId="0" borderId="2" pivotButton="0" quotePrefix="0" xfId="0"/>
    <xf numFmtId="0" fontId="9" fillId="0" borderId="0" pivotButton="0" quotePrefix="0" xfId="0"/>
    <xf numFmtId="2" fontId="10" fillId="0" borderId="0" applyAlignment="1" pivotButton="0" quotePrefix="0" xfId="0">
      <alignment horizontal="center"/>
    </xf>
    <xf numFmtId="2" fontId="1" fillId="2" borderId="1" pivotButton="0" quotePrefix="0" xfId="0"/>
    <xf numFmtId="0" fontId="3" fillId="13" borderId="0" pivotButton="0" quotePrefix="0" xfId="0"/>
    <xf numFmtId="0" fontId="6" fillId="13" borderId="0" pivotButton="0" quotePrefix="0" xfId="0"/>
    <xf numFmtId="9" fontId="3" fillId="13" borderId="0" applyAlignment="1" pivotButton="0" quotePrefix="0" xfId="0">
      <alignment horizontal="center"/>
    </xf>
    <xf numFmtId="0" fontId="3" fillId="13" borderId="1" pivotButton="0" quotePrefix="0" xfId="0"/>
    <xf numFmtId="164" fontId="3" fillId="13" borderId="0" pivotButton="0" quotePrefix="0" xfId="0"/>
    <xf numFmtId="164" fontId="3" fillId="13" borderId="1" pivotButton="0" quotePrefix="0" xfId="0"/>
    <xf numFmtId="1" fontId="3" fillId="13" borderId="1" pivotButton="0" quotePrefix="0" xfId="0"/>
    <xf numFmtId="1" fontId="3" fillId="13" borderId="0" pivotButton="0" quotePrefix="0" xfId="0"/>
    <xf numFmtId="1" fontId="3" fillId="13" borderId="2" pivotButton="0" quotePrefix="0" xfId="0"/>
    <xf numFmtId="1" fontId="3" fillId="13" borderId="2" pivotButton="0" quotePrefix="0" xfId="0"/>
    <xf numFmtId="1" fontId="3" fillId="13" borderId="2" applyAlignment="1" pivotButton="0" quotePrefix="0" xfId="0">
      <alignment horizontal="center"/>
    </xf>
    <xf numFmtId="2" fontId="3" fillId="13" borderId="2" applyAlignment="1" pivotButton="0" quotePrefix="0" xfId="0">
      <alignment horizontal="center"/>
    </xf>
    <xf numFmtId="164" fontId="3" fillId="13" borderId="2" applyAlignment="1" pivotButton="0" quotePrefix="0" xfId="0">
      <alignment horizontal="left"/>
    </xf>
    <xf numFmtId="164" fontId="3" fillId="13" borderId="2" pivotButton="0" quotePrefix="0" xfId="0"/>
    <xf numFmtId="0" fontId="11" fillId="0" borderId="0" applyAlignment="1" pivotButton="0" quotePrefix="0" xfId="0">
      <alignment horizontal="center"/>
    </xf>
    <xf numFmtId="9" fontId="11" fillId="0" borderId="0" applyAlignment="1" pivotButton="0" quotePrefix="0" xfId="0">
      <alignment horizontal="center"/>
    </xf>
    <xf numFmtId="0" fontId="3" fillId="0" borderId="0" pivotButton="0" quotePrefix="0" xfId="0"/>
    <xf numFmtId="2" fontId="10" fillId="13" borderId="0" applyAlignment="1" pivotButton="0" quotePrefix="0" xfId="0">
      <alignment horizontal="center"/>
    </xf>
    <xf numFmtId="0" fontId="11" fillId="13" borderId="0" applyAlignment="1" pivotButton="0" quotePrefix="0" xfId="0">
      <alignment horizontal="center"/>
    </xf>
    <xf numFmtId="9" fontId="11" fillId="13" borderId="0" applyAlignment="1" pivotButton="0" quotePrefix="0" xfId="0">
      <alignment horizontal="center"/>
    </xf>
    <xf numFmtId="2" fontId="1" fillId="13" borderId="1" pivotButton="0" quotePrefix="0" xfId="0"/>
    <xf numFmtId="0" fontId="3" fillId="0" borderId="0" applyAlignment="1" pivotButton="0" quotePrefix="0" xfId="0">
      <alignment horizontal="center"/>
    </xf>
    <xf numFmtId="0" fontId="12" fillId="0" borderId="0" pivotButton="0" quotePrefix="0" xfId="0"/>
    <xf numFmtId="0" fontId="12" fillId="13" borderId="0" pivotButton="0" quotePrefix="0" xfId="0"/>
    <xf numFmtId="0" fontId="3" fillId="3" borderId="0" pivotButton="0" quotePrefix="0" xfId="0"/>
    <xf numFmtId="2" fontId="3" fillId="3" borderId="0" applyAlignment="1" pivotButton="0" quotePrefix="0" xfId="0">
      <alignment horizontal="center"/>
    </xf>
    <xf numFmtId="0" fontId="7" fillId="3" borderId="0" pivotButton="0" quotePrefix="0" xfId="0"/>
    <xf numFmtId="2" fontId="1" fillId="3" borderId="1" pivotButton="0" quotePrefix="0" xfId="0"/>
    <xf numFmtId="2" fontId="6" fillId="3" borderId="0" applyAlignment="1" pivotButton="0" quotePrefix="0" xfId="0">
      <alignment horizontal="left" vertical="bottom"/>
    </xf>
    <xf numFmtId="0" fontId="3" fillId="15" borderId="0" pivotButton="0" quotePrefix="0" xfId="0"/>
    <xf numFmtId="0" fontId="6" fillId="15" borderId="0" applyAlignment="1" pivotButton="0" quotePrefix="0" xfId="0">
      <alignment horizontal="left" vertical="bottom"/>
    </xf>
    <xf numFmtId="2" fontId="3" fillId="15" borderId="0" applyAlignment="1" pivotButton="0" quotePrefix="0" xfId="0">
      <alignment horizontal="center"/>
    </xf>
    <xf numFmtId="0" fontId="1" fillId="15" borderId="0" pivotButton="0" quotePrefix="0" xfId="0"/>
    <xf numFmtId="0" fontId="1" fillId="15" borderId="0" applyAlignment="1" pivotButton="0" quotePrefix="0" xfId="0">
      <alignment horizontal="center"/>
    </xf>
    <xf numFmtId="9" fontId="1" fillId="15" borderId="0" applyAlignment="1" pivotButton="0" quotePrefix="0" xfId="0">
      <alignment horizontal="center"/>
    </xf>
    <xf numFmtId="0" fontId="1" fillId="15" borderId="0" pivotButton="0" quotePrefix="0" xfId="0"/>
    <xf numFmtId="0" fontId="5" fillId="15" borderId="0" pivotButton="0" quotePrefix="0" xfId="0"/>
    <xf numFmtId="0" fontId="7" fillId="15" borderId="0" pivotButton="0" quotePrefix="0" xfId="0"/>
    <xf numFmtId="2" fontId="1" fillId="15" borderId="1" pivotButton="0" quotePrefix="0" xfId="0"/>
    <xf numFmtId="164" fontId="1" fillId="15" borderId="0" pivotButton="0" quotePrefix="0" xfId="0"/>
    <xf numFmtId="164" fontId="1" fillId="15" borderId="1" pivotButton="0" quotePrefix="0" xfId="0"/>
    <xf numFmtId="1" fontId="1" fillId="15" borderId="1" pivotButton="0" quotePrefix="0" xfId="0"/>
    <xf numFmtId="1" fontId="1" fillId="15" borderId="0" pivotButton="0" quotePrefix="0" xfId="0"/>
    <xf numFmtId="1" fontId="1" fillId="15" borderId="2" pivotButton="0" quotePrefix="0" xfId="0"/>
    <xf numFmtId="1" fontId="1" fillId="15" borderId="2" applyAlignment="1" pivotButton="0" quotePrefix="0" xfId="0">
      <alignment horizontal="center"/>
    </xf>
    <xf numFmtId="2" fontId="1" fillId="15" borderId="2" applyAlignment="1" pivotButton="0" quotePrefix="0" xfId="0">
      <alignment horizontal="center"/>
    </xf>
    <xf numFmtId="164" fontId="1" fillId="15" borderId="2" applyAlignment="1" pivotButton="0" quotePrefix="0" xfId="0">
      <alignment horizontal="left"/>
    </xf>
    <xf numFmtId="164" fontId="1" fillId="15" borderId="2" pivotButton="0" quotePrefix="0" xfId="0"/>
    <xf numFmtId="0" fontId="3" fillId="14" borderId="0" pivotButton="0" quotePrefix="0" xfId="0"/>
    <xf numFmtId="0" fontId="6" fillId="14" borderId="0" applyAlignment="1" pivotButton="0" quotePrefix="0" xfId="0">
      <alignment horizontal="left" vertical="bottom"/>
    </xf>
    <xf numFmtId="2" fontId="3" fillId="14" borderId="0" applyAlignment="1" pivotButton="0" quotePrefix="0" xfId="0">
      <alignment horizontal="center"/>
    </xf>
    <xf numFmtId="0" fontId="7" fillId="14" borderId="0" pivotButton="0" quotePrefix="0" xfId="0"/>
    <xf numFmtId="2" fontId="1" fillId="14" borderId="1" pivotButton="0" quotePrefix="0" xfId="0"/>
    <xf numFmtId="2" fontId="3" fillId="0" borderId="0" applyAlignment="1" pivotButton="0" quotePrefix="0" xfId="0">
      <alignment horizontal="center"/>
    </xf>
    <xf numFmtId="0" fontId="1" fillId="16" borderId="0" pivotButton="0" quotePrefix="0" xfId="0"/>
    <xf numFmtId="2" fontId="3" fillId="16" borderId="0" applyAlignment="1" pivotButton="0" quotePrefix="0" xfId="0">
      <alignment horizontal="center"/>
    </xf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9" fontId="1" fillId="16" borderId="0" applyAlignment="1" pivotButton="0" quotePrefix="0" xfId="0">
      <alignment horizontal="center"/>
    </xf>
    <xf numFmtId="0" fontId="5" fillId="16" borderId="0" pivotButton="0" quotePrefix="0" xfId="0"/>
    <xf numFmtId="0" fontId="3" fillId="16" borderId="0" pivotButton="0" quotePrefix="0" xfId="0"/>
    <xf numFmtId="2" fontId="1" fillId="16" borderId="1" pivotButton="0" quotePrefix="0" xfId="0"/>
    <xf numFmtId="164" fontId="1" fillId="16" borderId="0" pivotButton="0" quotePrefix="0" xfId="0"/>
    <xf numFmtId="164" fontId="1" fillId="16" borderId="1" pivotButton="0" quotePrefix="0" xfId="0"/>
    <xf numFmtId="1" fontId="1" fillId="16" borderId="1" pivotButton="0" quotePrefix="0" xfId="0"/>
    <xf numFmtId="1" fontId="1" fillId="16" borderId="0" pivotButton="0" quotePrefix="0" xfId="0"/>
    <xf numFmtId="1" fontId="1" fillId="16" borderId="2" pivotButton="0" quotePrefix="0" xfId="0"/>
    <xf numFmtId="1" fontId="1" fillId="16" borderId="2" applyAlignment="1" pivotButton="0" quotePrefix="0" xfId="0">
      <alignment horizontal="center"/>
    </xf>
    <xf numFmtId="2" fontId="1" fillId="16" borderId="2" applyAlignment="1" pivotButton="0" quotePrefix="0" xfId="0">
      <alignment horizontal="center"/>
    </xf>
    <xf numFmtId="164" fontId="1" fillId="16" borderId="2" applyAlignment="1" pivotButton="0" quotePrefix="0" xfId="0">
      <alignment horizontal="left"/>
    </xf>
    <xf numFmtId="164" fontId="1" fillId="16" borderId="2" pivotButton="0" quotePrefix="0" xfId="0"/>
    <xf numFmtId="2" fontId="13" fillId="0" borderId="0" applyAlignment="1" pivotButton="0" quotePrefix="0" xfId="0">
      <alignment horizontal="center"/>
    </xf>
    <xf numFmtId="2" fontId="13" fillId="3" borderId="0" applyAlignment="1" pivotButton="0" quotePrefix="0" xfId="0">
      <alignment horizontal="center"/>
    </xf>
    <xf numFmtId="2" fontId="13" fillId="16" borderId="0" applyAlignment="1" pivotButton="0" quotePrefix="0" xfId="0">
      <alignment horizontal="center"/>
    </xf>
    <xf numFmtId="1" fontId="1" fillId="16" borderId="2" pivotButton="0" quotePrefix="0" xfId="0"/>
    <xf numFmtId="0" fontId="6" fillId="16" borderId="0" applyAlignment="1" pivotButton="0" quotePrefix="0" xfId="0">
      <alignment horizontal="left" vertical="bottom"/>
    </xf>
    <xf numFmtId="2" fontId="3" fillId="0" borderId="0" applyAlignment="1" pivotButton="0" quotePrefix="0" xfId="0">
      <alignment horizontal="center" wrapText="1"/>
    </xf>
    <xf numFmtId="0" fontId="1" fillId="11" borderId="0" pivotButton="0" quotePrefix="0" xfId="0"/>
    <xf numFmtId="0" fontId="6" fillId="11" borderId="0" applyAlignment="1" pivotButton="0" quotePrefix="0" xfId="0">
      <alignment horizontal="left" vertical="bottom"/>
    </xf>
    <xf numFmtId="0" fontId="1" fillId="11" borderId="0" applyAlignment="1" pivotButton="0" quotePrefix="0" xfId="0">
      <alignment horizontal="center"/>
    </xf>
    <xf numFmtId="0" fontId="5" fillId="11" borderId="0" pivotButton="0" quotePrefix="0" xfId="0"/>
    <xf numFmtId="0" fontId="1" fillId="11" borderId="0" applyAlignment="1" pivotButton="0" quotePrefix="0" xfId="0">
      <alignment horizontal="center"/>
    </xf>
    <xf numFmtId="9" fontId="1" fillId="11" borderId="0" applyAlignment="1" pivotButton="0" quotePrefix="0" xfId="0">
      <alignment horizontal="center"/>
    </xf>
    <xf numFmtId="0" fontId="1" fillId="11" borderId="0" pivotButton="0" quotePrefix="0" xfId="0"/>
    <xf numFmtId="0" fontId="1" fillId="11" borderId="1" pivotButton="0" quotePrefix="0" xfId="0"/>
    <xf numFmtId="164" fontId="1" fillId="11" borderId="0" pivotButton="0" quotePrefix="0" xfId="0"/>
    <xf numFmtId="164" fontId="1" fillId="11" borderId="1" pivotButton="0" quotePrefix="0" xfId="0"/>
    <xf numFmtId="1" fontId="1" fillId="11" borderId="1" pivotButton="0" quotePrefix="0" xfId="0"/>
    <xf numFmtId="164" fontId="1" fillId="11" borderId="0" pivotButton="0" quotePrefix="0" xfId="0"/>
    <xf numFmtId="1" fontId="1" fillId="11" borderId="0" pivotButton="0" quotePrefix="0" xfId="0"/>
    <xf numFmtId="1" fontId="1" fillId="11" borderId="2" pivotButton="0" quotePrefix="0" xfId="0"/>
    <xf numFmtId="1" fontId="1" fillId="11" borderId="2" applyAlignment="1" pivotButton="0" quotePrefix="0" xfId="0">
      <alignment horizontal="center"/>
    </xf>
    <xf numFmtId="2" fontId="1" fillId="11" borderId="2" applyAlignment="1" pivotButton="0" quotePrefix="0" xfId="0">
      <alignment horizontal="center"/>
    </xf>
    <xf numFmtId="164" fontId="1" fillId="11" borderId="2" applyAlignment="1" pivotButton="0" quotePrefix="0" xfId="0">
      <alignment horizontal="left"/>
    </xf>
    <xf numFmtId="1" fontId="1" fillId="11" borderId="2" pivotButton="0" quotePrefix="0" xfId="0"/>
    <xf numFmtId="0" fontId="7" fillId="13" borderId="0" applyAlignment="1" pivotButton="0" quotePrefix="0" xfId="0">
      <alignment horizontal="center"/>
    </xf>
    <xf numFmtId="9" fontId="1" fillId="17" borderId="1" applyAlignment="1" pivotButton="0" quotePrefix="0" xfId="0">
      <alignment horizontal="center"/>
    </xf>
    <xf numFmtId="0" fontId="1" fillId="18" borderId="0" pivotButton="0" quotePrefix="0" xfId="0"/>
    <xf numFmtId="0" fontId="7" fillId="18" borderId="0" applyAlignment="1" pivotButton="0" quotePrefix="0" xfId="0">
      <alignment horizontal="center"/>
    </xf>
    <xf numFmtId="0" fontId="5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9" fontId="1" fillId="18" borderId="0" applyAlignment="1" pivotButton="0" quotePrefix="0" xfId="0">
      <alignment horizontal="center"/>
    </xf>
    <xf numFmtId="0" fontId="1" fillId="18" borderId="1" pivotButton="0" quotePrefix="0" xfId="0"/>
    <xf numFmtId="164" fontId="1" fillId="18" borderId="0" pivotButton="0" quotePrefix="0" xfId="0"/>
    <xf numFmtId="164" fontId="1" fillId="18" borderId="1" pivotButton="0" quotePrefix="0" xfId="0"/>
    <xf numFmtId="1" fontId="1" fillId="18" borderId="1" pivotButton="0" quotePrefix="0" xfId="0"/>
    <xf numFmtId="0" fontId="5" fillId="18" borderId="0" pivotButton="0" quotePrefix="0" xfId="0"/>
    <xf numFmtId="1" fontId="1" fillId="18" borderId="0" pivotButton="0" quotePrefix="0" xfId="0"/>
    <xf numFmtId="1" fontId="1" fillId="18" borderId="2" pivotButton="0" quotePrefix="0" xfId="0"/>
    <xf numFmtId="1" fontId="1" fillId="18" borderId="2" pivotButton="0" quotePrefix="0" xfId="0"/>
    <xf numFmtId="1" fontId="1" fillId="18" borderId="2" applyAlignment="1" pivotButton="0" quotePrefix="0" xfId="0">
      <alignment horizontal="center"/>
    </xf>
    <xf numFmtId="2" fontId="1" fillId="18" borderId="2" applyAlignment="1" pivotButton="0" quotePrefix="0" xfId="0">
      <alignment horizontal="center"/>
    </xf>
    <xf numFmtId="164" fontId="1" fillId="18" borderId="2" applyAlignment="1" pivotButton="0" quotePrefix="0" xfId="0">
      <alignment horizontal="left"/>
    </xf>
    <xf numFmtId="164" fontId="1" fillId="18" borderId="2" pivotButton="0" quotePrefix="0" xfId="0"/>
    <xf numFmtId="0" fontId="6" fillId="18" borderId="0" applyAlignment="1" pivotButton="0" quotePrefix="0" xfId="0">
      <alignment horizontal="left" vertical="bottom"/>
    </xf>
    <xf numFmtId="0" fontId="1" fillId="18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" pivotButton="0" quotePrefix="0" xfId="0"/>
    <xf numFmtId="9" fontId="1" fillId="0" borderId="0" applyAlignment="1" pivotButton="0" quotePrefix="0" xfId="0">
      <alignment horizontal="center"/>
    </xf>
    <xf numFmtId="0" fontId="3" fillId="13" borderId="2" applyAlignment="1" pivotButton="0" quotePrefix="0" xfId="0">
      <alignment horizontal="center"/>
    </xf>
    <xf numFmtId="0" fontId="3" fillId="13" borderId="2" pivotButton="0" quotePrefix="0" xfId="0"/>
    <xf numFmtId="0" fontId="0" fillId="0" borderId="0" pivotButton="0" quotePrefix="0" xfId="0"/>
    <xf numFmtId="1" fontId="2" fillId="4" borderId="2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" fontId="1" fillId="4" borderId="2" applyAlignment="1" pivotButton="0" quotePrefix="0" xfId="0">
      <alignment horizontal="center"/>
    </xf>
    <xf numFmtId="164" fontId="2" fillId="11" borderId="2" applyAlignment="1" pivotButton="0" quotePrefix="0" xfId="0">
      <alignment horizontal="center"/>
    </xf>
    <xf numFmtId="164" fontId="2" fillId="12" borderId="2" applyAlignment="1" pivotButton="0" quotePrefix="0" xfId="0">
      <alignment horizontal="center"/>
    </xf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E20" authorId="0" shapeId="0">
      <text>
        <t>======
ID#AAAB_aLsVDM
Sarveda Admin    (2026-06-24 07:19:37)
Brush</t>
      </text>
    </comment>
    <comment ref="E23" authorId="0" shapeId="0">
      <text>
        <t>======
ID#AAAB_aLsVB0
Chethan GS    (2026-06-24 07:41:32)
Brush</t>
      </text>
    </comment>
    <comment ref="E26" authorId="0" shapeId="0">
      <text>
        <t>======
ID#AAAB_aLsVCw
Chethan GS    (2026-06-24 07:42:04)
Brush</t>
      </text>
    </comment>
    <comment ref="E28" authorId="0" shapeId="0">
      <text>
        <t>======
ID#AAAB_aLsVDE
Chethan GS    (2026-06-24 07:42:15)
Brush</t>
      </text>
    </comment>
    <comment ref="E31" authorId="0" shapeId="0">
      <text>
        <t>======
ID#AAAB_aLAyjA
Chethan GS    (2026-06-24 07:42:58)
Brush</t>
      </text>
    </comment>
    <comment ref="E32" authorId="0" shapeId="0">
      <text>
        <t>======
ID#AAAB_aLsVCQ
Chethan GS    (2026-06-24 07:58:04)
Brush</t>
      </text>
    </comment>
    <comment ref="E34" authorId="0" shapeId="0">
      <text>
        <t>======
ID#AAAB_aLsVD0
Chethan GS    (2026-06-24 07:58:15)
Brush</t>
      </text>
    </comment>
    <comment ref="E38" authorId="0" shapeId="0">
      <text>
        <t>======
ID#AAAB_aLsVDs
Chethan GS    (2026-06-24 08:00:18)
Brush</t>
      </text>
    </comment>
    <comment ref="E70" authorId="0" shapeId="0">
      <text>
        <t>======
ID#AAAB_aLsVDU
Chethan GS    (2026-06-24 07:47:16)
Brush</t>
      </text>
    </comment>
    <comment ref="E73" authorId="0" shapeId="0">
      <text>
        <t>======
ID#AAAB_aLsVDI
Chethan GS    (2026-06-24 07:47:31)
Brush</t>
      </text>
    </comment>
    <comment ref="E74" authorId="0" shapeId="0">
      <text>
        <t>======
ID#AAAB_aLsVCg
Chethan GS    (2026-06-24 07:47:52)
Brush</t>
      </text>
    </comment>
    <comment ref="E77" authorId="0" shapeId="0">
      <text>
        <t>======
ID#AAAB_aLsVC4
Chethan GS    (2026-06-24 07:48:51)
Brush</t>
      </text>
    </comment>
    <comment ref="E78" authorId="0" shapeId="0">
      <text>
        <t>======
ID#AAAB_aLsVCc
Chethan GS    (2026-06-24 07:48:58)
Brush</t>
      </text>
    </comment>
    <comment ref="E81" authorId="0" shapeId="0">
      <text>
        <t>======
ID#AAAB_aLsVBw
Chethan GS    (2026-06-24 07:49:51)
Brush</t>
      </text>
    </comment>
    <comment ref="E82" authorId="0" shapeId="0">
      <text>
        <t>======
ID#AAAB_aLsVDQ
Chethan GS    (2026-06-24 07:49:59)
Brush</t>
      </text>
    </comment>
    <comment ref="E85" authorId="0" shapeId="0">
      <text>
        <t>======
ID#AAAB_aLsVCY
Chethan GS    (2026-06-24 07:51:02)
Brush</t>
      </text>
    </comment>
    <comment ref="E86" authorId="0" shapeId="0">
      <text>
        <t>======
ID#AAAB_aLsVCs
Chethan GS    (2026-06-24 07:51:09)
Brush</t>
      </text>
    </comment>
    <comment ref="E89" authorId="0" shapeId="0">
      <text>
        <t>======
ID#AAAB_aLsVCU
Chethan GS    (2026-06-24 07:51:24)
Brush</t>
      </text>
    </comment>
    <comment ref="E208" authorId="0" shapeId="0">
      <text>
        <t>======
ID#AAAB_aLAyjE
Chethan GS    (2026-06-24 07:52:52)
Bag</t>
      </text>
    </comment>
    <comment ref="E209" authorId="0" shapeId="0">
      <text>
        <t>======
ID#AAAB_aLsVC0
Chethan GS    (2026-06-24 07:53:00)
Bag</t>
      </text>
    </comment>
    <comment ref="E210" authorId="0" shapeId="0">
      <text>
        <t>======
ID#AAAB_aLsVB4
Chethan GS    (2026-06-24 07:53:15)
Bag</t>
      </text>
    </comment>
    <comment ref="E211" authorId="0" shapeId="0">
      <text>
        <t>======
ID#AAAB_aLsVBo
Chethan GS    (2026-06-24 07:53:27)
Bag</t>
      </text>
    </comment>
    <comment ref="E213" authorId="0" shapeId="0">
      <text>
        <t>======
ID#AAAB_aLsVCI
Chethan GS    (2026-06-24 07:52:10)
Bag</t>
      </text>
    </comment>
    <comment ref="E215" authorId="0" shapeId="0">
      <text>
        <t>======
ID#AAAB_aLsVDY
Chethan GS    (2026-06-24 07:53:52)
Bag</t>
      </text>
    </comment>
    <comment ref="E216" authorId="0" shapeId="0">
      <text>
        <t>======
ID#AAAB_aLsVCo
Chethan GS    (2026-06-24 07:54:24)
Bag</t>
      </text>
    </comment>
    <comment ref="E217" authorId="0" shapeId="0">
      <text>
        <t>======
ID#AAAB_aLsVCA
Chethan GS    (2026-06-24 07:54:33)
Bag</t>
      </text>
    </comment>
    <comment ref="E218" authorId="0" shapeId="0">
      <text>
        <t>======
ID#AAAB_aLsVDc
Chethan GS    (2026-06-24 07:55:32)
Bag</t>
      </text>
    </comment>
    <comment ref="E219" authorId="0" shapeId="0">
      <text>
        <t>======
ID#AAAB_aLsVDA
Chethan GS    (2026-06-24 07:55:42)
Bag</t>
      </text>
    </comment>
    <comment ref="E220" authorId="0" shapeId="0">
      <text>
        <t>======
ID#AAAB_aLsVCM
Chethan GS    (2026-06-24 07:55:55)
Bag</t>
      </text>
    </comment>
    <comment ref="E221" authorId="0" shapeId="0">
      <text>
        <t>======
ID#AAAB_aLsVCE
Chethan GS    (2026-06-24 07:56:20)
Bag</t>
      </text>
    </comment>
    <comment ref="E222" authorId="0" shapeId="0">
      <text>
        <t>======
ID#AAAB_aLsVDk
Chethan GS    (2026-06-24 07:56:27)
Bag</t>
      </text>
    </comment>
    <comment ref="E226" authorId="0" shapeId="0">
      <text>
        <t>======
ID#AAAB_aLsVBs
Chethan GS    (2026-06-24 07:57:14)
Bag</t>
      </text>
    </comment>
    <comment ref="E227" authorId="0" shapeId="0">
      <text>
        <t>======
ID#AAAB_aLsVCk
Chethan GS    (2026-06-24 07:57:22)
Bag</t>
      </text>
    </comment>
    <comment ref="E278" authorId="0" shapeId="0">
      <text>
        <t>======
ID#AAAB_aLsVDw
Chethan GS    (2026-06-24 08:00:55)
Bag</t>
      </text>
    </comment>
    <comment ref="E280" authorId="0" shapeId="0">
      <text>
        <t>======
ID#AAAB_aLsVDg
Chethan GS    (2026-06-24 08:01:06)
Bag</t>
      </text>
    </comment>
    <comment ref="G766" authorId="0" shapeId="0">
      <text>
        <t>======
ID#AAAB_aLsVB8
Chethan GS    (2026-06-24 07:56:54)
Bag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ervices.gst.gov.in/services/" TargetMode="External" Id="rId1" /><Relationship Type="http://schemas.openxmlformats.org/officeDocument/2006/relationships/hyperlink" Target="https://services.gst.gov.in/services/" TargetMode="External" Id="rId2" /><Relationship Type="http://schemas.openxmlformats.org/officeDocument/2006/relationships/hyperlink" Target="https://services.gst.gov.in/services/" TargetMode="External" Id="rId3" /><Relationship Type="http://schemas.openxmlformats.org/officeDocument/2006/relationships/hyperlink" Target="https://services.gst.gov.in/services/" TargetMode="External" Id="rId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8" defaultColWidth="14.43" defaultRowHeight="15" customHeight="1"/>
  <cols>
    <col width="44.29" customWidth="1" style="258" min="1" max="1"/>
    <col width="66.14" customWidth="1" style="258" min="2" max="2"/>
    <col width="31.71" customWidth="1" style="258" min="3" max="3"/>
    <col width="25" customWidth="1" style="258" min="4" max="4"/>
    <col width="21.14" customWidth="1" style="258" min="5" max="5"/>
    <col width="9.57" customWidth="1" style="258" min="6" max="6"/>
    <col width="9.710000000000001" customWidth="1" style="258" min="7" max="7"/>
    <col width="36" customWidth="1" style="258" min="8" max="8"/>
    <col width="10.29" customWidth="1" style="258" min="9" max="9"/>
    <col width="22.14" customWidth="1" style="258" min="10" max="10"/>
    <col width="8.289999999999999" customWidth="1" style="258" min="11" max="11"/>
    <col width="29.29" customWidth="1" style="258" min="12" max="12"/>
    <col width="18" customWidth="1" style="258" min="13" max="17"/>
    <col width="16.71" customWidth="1" style="258" min="18" max="18"/>
    <col width="18" customWidth="1" style="258" min="19" max="22"/>
    <col width="17.43" customWidth="1" style="258" min="23" max="27"/>
    <col width="22" customWidth="1" style="258" min="28" max="28"/>
    <col width="18.86" customWidth="1" style="258" min="29" max="29"/>
    <col width="11.29" customWidth="1" style="258" min="30" max="30"/>
    <col width="14.57" customWidth="1" style="258" min="31" max="31"/>
    <col width="12.57" customWidth="1" style="258" min="32" max="32"/>
    <col width="16.14" customWidth="1" style="258" min="33" max="33"/>
    <col hidden="1" width="6.86" customWidth="1" style="258" min="34" max="34"/>
    <col hidden="1" width="10" customWidth="1" style="258" min="35" max="35"/>
    <col width="14.71" customWidth="1" style="258" min="36" max="36"/>
    <col width="17.86" customWidth="1" style="258" min="37" max="38"/>
    <col width="14" customWidth="1" style="258" min="39" max="39"/>
    <col width="14.14" customWidth="1" style="258" min="40" max="40"/>
    <col width="17" customWidth="1" style="258" min="41" max="41"/>
    <col width="12.29" customWidth="1" style="258" min="42" max="42"/>
    <col width="10" customWidth="1" style="258" min="43" max="43"/>
    <col width="11.71" customWidth="1" style="258" min="44" max="45"/>
    <col width="8.140000000000001" customWidth="1" style="258" min="46" max="46"/>
    <col width="10.43" customWidth="1" style="258" min="47" max="47"/>
    <col width="12.43" customWidth="1" style="258" min="48" max="49"/>
    <col width="8.43" customWidth="1" style="258" min="50" max="51"/>
  </cols>
  <sheetData>
    <row r="1" ht="15" customHeight="1" s="258">
      <c r="A1" s="2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" s="2" t="n"/>
      <c r="C1" s="2" t="n"/>
      <c r="D1" s="3" t="inlineStr">
        <is>
          <t xml:space="preserve">Product Cost </t>
        </is>
      </c>
      <c r="L1" s="4" t="n"/>
      <c r="M1" s="3" t="inlineStr">
        <is>
          <t>Operations Cost</t>
        </is>
      </c>
      <c r="T1" s="4" t="n"/>
      <c r="U1" s="3" t="inlineStr">
        <is>
          <t>Sales Cost</t>
        </is>
      </c>
      <c r="Y1" s="2" t="n"/>
      <c r="Z1" s="4" t="n"/>
      <c r="AG1" s="160" t="n"/>
      <c r="AH1" s="6" t="n"/>
      <c r="AI1" s="259" t="inlineStr">
        <is>
          <t xml:space="preserve">Sarveda Website Sales Price without GST </t>
        </is>
      </c>
      <c r="AJ1" s="260" t="n"/>
      <c r="AK1" s="260" t="n"/>
      <c r="AL1" s="260" t="n"/>
      <c r="AM1" s="260" t="n"/>
      <c r="AN1" s="260" t="n"/>
      <c r="AO1" s="260" t="n"/>
      <c r="AP1" s="260" t="n"/>
      <c r="AQ1" s="260" t="n"/>
      <c r="AR1" s="260" t="n"/>
      <c r="AS1" s="260" t="n"/>
      <c r="AT1" s="260" t="n"/>
      <c r="AU1" s="260" t="n"/>
      <c r="AV1" s="260" t="n"/>
      <c r="AW1" s="261" t="n"/>
    </row>
    <row r="2" ht="15" customHeight="1" s="258">
      <c r="A2" s="2" t="n"/>
      <c r="B2" s="2" t="n"/>
      <c r="C2" s="2" t="n"/>
      <c r="D2" s="118" t="n"/>
      <c r="E2" s="2" t="n"/>
      <c r="F2" s="2" t="n"/>
      <c r="G2" s="118" t="n"/>
      <c r="H2" s="118" t="n"/>
      <c r="I2" s="2" t="n"/>
      <c r="J2" s="2" t="n"/>
      <c r="K2" s="2" t="n"/>
      <c r="L2" s="4" t="n"/>
      <c r="M2" s="2" t="n"/>
      <c r="N2" s="2" t="n"/>
      <c r="O2" s="2" t="n"/>
      <c r="P2" s="2" t="n"/>
      <c r="Q2" s="2" t="n"/>
      <c r="R2" s="2" t="n"/>
      <c r="S2" s="2" t="n"/>
      <c r="T2" s="4" t="n"/>
      <c r="U2" s="2" t="n"/>
      <c r="V2" s="2" t="n"/>
      <c r="W2" s="2" t="n"/>
      <c r="X2" s="2" t="n"/>
      <c r="Y2" s="2" t="n"/>
      <c r="Z2" s="4" t="n"/>
      <c r="AA2" s="11" t="n"/>
      <c r="AD2" s="12" t="n"/>
      <c r="AE2" s="12" t="n"/>
      <c r="AG2" s="13" t="n"/>
      <c r="AH2" s="14" t="n"/>
      <c r="AI2" s="262" t="inlineStr">
        <is>
          <t>INR</t>
        </is>
      </c>
      <c r="AJ2" s="261" t="n"/>
      <c r="AK2" s="16" t="n"/>
      <c r="AL2" s="16" t="n"/>
      <c r="AM2" s="16" t="n"/>
      <c r="AN2" s="17" t="n"/>
      <c r="AO2" s="18" t="n"/>
      <c r="AP2" s="19" t="n"/>
      <c r="AQ2" s="20" t="n"/>
      <c r="AR2" s="39" t="inlineStr">
        <is>
          <t>USD</t>
        </is>
      </c>
      <c r="AS2" s="261" t="n"/>
      <c r="AT2" s="263" t="inlineStr">
        <is>
          <t>Dinnar</t>
        </is>
      </c>
      <c r="AU2" s="261" t="n"/>
      <c r="AV2" s="264" t="inlineStr">
        <is>
          <t>GBP</t>
        </is>
      </c>
      <c r="AW2" s="261" t="n"/>
      <c r="AX2" s="2" t="inlineStr">
        <is>
          <t>GST</t>
        </is>
      </c>
      <c r="AY2" s="2" t="inlineStr">
        <is>
          <t xml:space="preserve">Price with GST </t>
        </is>
      </c>
    </row>
    <row r="3" ht="42.75" customHeight="1" s="258">
      <c r="A3" s="25" t="inlineStr">
        <is>
          <t>Name</t>
        </is>
      </c>
      <c r="B3" s="25" t="inlineStr">
        <is>
          <t>Variant Name</t>
        </is>
      </c>
      <c r="C3" s="25" t="inlineStr">
        <is>
          <t>SKU</t>
        </is>
      </c>
      <c r="D3" s="3" t="inlineStr">
        <is>
          <t xml:space="preserve">Invoiced Price </t>
        </is>
      </c>
      <c r="E3" s="25" t="inlineStr">
        <is>
          <t>Accessories</t>
        </is>
      </c>
      <c r="F3" s="25" t="inlineStr">
        <is>
          <t>Packaging+Cards</t>
        </is>
      </c>
      <c r="G3" s="3" t="inlineStr">
        <is>
          <t>HSN</t>
        </is>
      </c>
      <c r="H3" s="3" t="inlineStr">
        <is>
          <t>GST%</t>
        </is>
      </c>
      <c r="I3" s="25" t="inlineStr">
        <is>
          <t>GST</t>
        </is>
      </c>
      <c r="J3" s="25" t="inlineStr">
        <is>
          <t>Packaging  by Vendor</t>
        </is>
      </c>
      <c r="K3" s="25" t="inlineStr">
        <is>
          <t>Shipping to Warehouse</t>
        </is>
      </c>
      <c r="L3" s="26" t="inlineStr">
        <is>
          <t>Product Cost 
( Recd at wharehouse)</t>
        </is>
      </c>
      <c r="M3" s="25" t="inlineStr">
        <is>
          <t xml:space="preserve">Storage </t>
        </is>
      </c>
      <c r="N3" s="25" t="inlineStr">
        <is>
          <t xml:space="preserve">Packaging </t>
        </is>
      </c>
      <c r="O3" s="25" t="inlineStr">
        <is>
          <t>Operations team</t>
        </is>
      </c>
      <c r="P3" s="25" t="inlineStr">
        <is>
          <t>Returns &amp; refunds</t>
        </is>
      </c>
      <c r="Q3" s="25" t="inlineStr">
        <is>
          <t>Breakages</t>
        </is>
      </c>
      <c r="R3" s="25" t="inlineStr">
        <is>
          <t>Accounting 
Services</t>
        </is>
      </c>
      <c r="S3" s="25" t="inlineStr">
        <is>
          <t>IT and Telservices</t>
        </is>
      </c>
      <c r="T3" s="26" t="inlineStr">
        <is>
          <t xml:space="preserve">Operations Cost </t>
        </is>
      </c>
      <c r="U3" s="25" t="inlineStr">
        <is>
          <t>Ads</t>
        </is>
      </c>
      <c r="V3" s="25" t="inlineStr">
        <is>
          <t>Welcome 5</t>
        </is>
      </c>
      <c r="W3" s="25" t="inlineStr">
        <is>
          <t>Add. discounts</t>
        </is>
      </c>
      <c r="X3" s="25" t="inlineStr">
        <is>
          <t xml:space="preserve">Sales/Incentives </t>
        </is>
      </c>
      <c r="Y3" s="25" t="inlineStr">
        <is>
          <t>Sales Costs</t>
        </is>
      </c>
      <c r="Z3" s="27" t="inlineStr">
        <is>
          <t xml:space="preserve">Total Cost </t>
        </is>
      </c>
      <c r="AA3" s="28" t="inlineStr">
        <is>
          <t>Margin</t>
        </is>
      </c>
      <c r="AB3" s="25" t="inlineStr">
        <is>
          <t>Proposed Sale Price</t>
        </is>
      </c>
      <c r="AC3" s="25" t="inlineStr">
        <is>
          <t xml:space="preserve">Refernce Sale price </t>
        </is>
      </c>
      <c r="AD3" s="29" t="inlineStr">
        <is>
          <t>Differnce</t>
        </is>
      </c>
      <c r="AE3" s="29" t="inlineStr">
        <is>
          <t>DIffernce %</t>
        </is>
      </c>
      <c r="AF3" s="25" t="inlineStr">
        <is>
          <t xml:space="preserve">Existing Sale Price </t>
        </is>
      </c>
      <c r="AG3" s="30" t="inlineStr">
        <is>
          <t>%current</t>
        </is>
      </c>
      <c r="AH3" s="34" t="inlineStr">
        <is>
          <t>DIfference</t>
        </is>
      </c>
      <c r="AI3" s="33" t="inlineStr">
        <is>
          <t xml:space="preserve">MRP </t>
        </is>
      </c>
      <c r="AJ3" s="33" t="inlineStr">
        <is>
          <t>proposed sale</t>
        </is>
      </c>
      <c r="AK3" s="34" t="inlineStr">
        <is>
          <t>proposed %</t>
        </is>
      </c>
      <c r="AL3" s="34" t="inlineStr">
        <is>
          <t>Proposed Sale Arjun</t>
        </is>
      </c>
      <c r="AM3" s="34" t="inlineStr">
        <is>
          <t>%inc</t>
        </is>
      </c>
      <c r="AN3" s="35" t="inlineStr">
        <is>
          <t xml:space="preserve">Difference </t>
        </is>
      </c>
      <c r="AO3" s="36" t="inlineStr">
        <is>
          <t>Times  Product Cost</t>
        </is>
      </c>
      <c r="AP3" s="37" t="inlineStr">
        <is>
          <t>% Diffr Proposed sale Price</t>
        </is>
      </c>
      <c r="AQ3" s="38" t="inlineStr">
        <is>
          <t>% Diff Ref</t>
        </is>
      </c>
      <c r="AR3" s="39" t="inlineStr">
        <is>
          <t xml:space="preserve">MRP </t>
        </is>
      </c>
      <c r="AS3" s="39" t="inlineStr">
        <is>
          <t>Sale</t>
        </is>
      </c>
      <c r="AT3" s="40" t="inlineStr">
        <is>
          <t xml:space="preserve">MRP </t>
        </is>
      </c>
      <c r="AU3" s="40" t="inlineStr">
        <is>
          <t>Sale</t>
        </is>
      </c>
      <c r="AV3" s="41" t="inlineStr">
        <is>
          <t xml:space="preserve">MRP </t>
        </is>
      </c>
      <c r="AW3" s="41" t="inlineStr">
        <is>
          <t>Sale</t>
        </is>
      </c>
      <c r="AX3" s="25" t="n"/>
      <c r="AY3" s="25" t="n"/>
    </row>
    <row r="4">
      <c r="A4" s="44" t="n"/>
      <c r="B4" s="44" t="inlineStr">
        <is>
          <t>6 inches / White</t>
        </is>
      </c>
      <c r="C4" s="44" t="inlineStr">
        <is>
          <t>MI-TD-11N-W-6</t>
        </is>
      </c>
      <c r="D4" s="45" t="n">
        <v>2800</v>
      </c>
      <c r="E4" s="44" t="n">
        <v>0</v>
      </c>
      <c r="F4" s="44" t="n">
        <v>75</v>
      </c>
      <c r="G4" s="45" t="n">
        <v>92060000</v>
      </c>
      <c r="H4" s="115" t="n">
        <v>0.18</v>
      </c>
      <c r="I4" s="44">
        <f>D4*H4</f>
        <v/>
      </c>
      <c r="J4" s="113" t="n"/>
      <c r="K4" s="44" t="n">
        <v>200</v>
      </c>
      <c r="L4" s="48">
        <f>K4+J4+I4+F4+E4+D4</f>
        <v/>
      </c>
      <c r="M4" s="44">
        <f>D4*1%</f>
        <v/>
      </c>
      <c r="N4" s="49">
        <f>L4*8%</f>
        <v/>
      </c>
      <c r="O4" s="49">
        <f>L4*10%</f>
        <v/>
      </c>
      <c r="P4" s="49">
        <f>L4*5%</f>
        <v/>
      </c>
      <c r="Q4" s="49">
        <f>L4*2%</f>
        <v/>
      </c>
      <c r="R4" s="49">
        <f>AC4*0.5%</f>
        <v/>
      </c>
      <c r="S4" s="49">
        <f>L4*1%</f>
        <v/>
      </c>
      <c r="T4" s="50">
        <f>S4+Q4+P4+O4+N4+M4</f>
        <v/>
      </c>
      <c r="U4" s="44">
        <f>AC4*1%</f>
        <v/>
      </c>
      <c r="V4" s="44">
        <f>AC4*5%</f>
        <v/>
      </c>
      <c r="W4" s="44">
        <f>AC4*1%</f>
        <v/>
      </c>
      <c r="X4" s="44">
        <f>AC4*8%</f>
        <v/>
      </c>
      <c r="Y4" s="44">
        <f>U4+V4+W4+X4</f>
        <v/>
      </c>
      <c r="Z4" s="50">
        <f>Y4+T4+L4</f>
        <v/>
      </c>
      <c r="AA4" s="51">
        <f>Z4*20%</f>
        <v/>
      </c>
      <c r="AB4" s="49">
        <f>Z4+AA4</f>
        <v/>
      </c>
      <c r="AC4" s="44">
        <f>D4*2.1</f>
        <v/>
      </c>
      <c r="AD4" s="49">
        <f>AB4-AC4</f>
        <v/>
      </c>
      <c r="AE4" s="49">
        <f>AD4/AB4*100</f>
        <v/>
      </c>
      <c r="AF4" s="113" t="n">
        <v>5850</v>
      </c>
      <c r="AG4" s="116">
        <f>((AF4-L4)/L4)*100</f>
        <v/>
      </c>
      <c r="AH4" s="54">
        <f>AJ4-AF4</f>
        <v/>
      </c>
      <c r="AI4" s="54" t="n">
        <v>6690</v>
      </c>
      <c r="AJ4" s="54" t="n">
        <v>5650</v>
      </c>
      <c r="AK4" s="55">
        <f>(AJ4-L4)/L4*100</f>
        <v/>
      </c>
      <c r="AL4" s="55" t="n"/>
      <c r="AM4" s="55">
        <f>(AH4/AJ4)*100</f>
        <v/>
      </c>
      <c r="AN4" s="55">
        <f>AK4-AG4</f>
        <v/>
      </c>
      <c r="AO4" s="56">
        <f>AJ4/L4</f>
        <v/>
      </c>
      <c r="AP4" s="55">
        <f>(AJ4-AB4)/100</f>
        <v/>
      </c>
      <c r="AQ4" s="55">
        <f>(AJ4-AC4)/100</f>
        <v/>
      </c>
      <c r="AR4" s="57">
        <f>AI4/94</f>
        <v/>
      </c>
      <c r="AS4" s="57">
        <f>AJ4/94</f>
        <v/>
      </c>
      <c r="AT4" s="58">
        <f>AI4/24</f>
        <v/>
      </c>
      <c r="AU4" s="58">
        <f>AJ4/24</f>
        <v/>
      </c>
      <c r="AV4" s="58">
        <f>AI4/125</f>
        <v/>
      </c>
      <c r="AW4" s="58">
        <f>AJ4/125</f>
        <v/>
      </c>
      <c r="AX4" s="113" t="n"/>
      <c r="AY4" s="113" t="n"/>
    </row>
    <row r="5">
      <c r="A5" s="44" t="n"/>
      <c r="B5" s="44" t="inlineStr">
        <is>
          <t>6 inches / Blue</t>
        </is>
      </c>
      <c r="C5" s="44" t="inlineStr">
        <is>
          <t>MI-TD-11N-B-6</t>
        </is>
      </c>
      <c r="D5" s="45" t="n">
        <v>2800</v>
      </c>
      <c r="E5" s="44" t="n">
        <v>0</v>
      </c>
      <c r="F5" s="44" t="n">
        <v>75</v>
      </c>
      <c r="G5" s="45" t="n">
        <v>92060000</v>
      </c>
      <c r="H5" s="115" t="n">
        <v>0.18</v>
      </c>
      <c r="I5" s="44">
        <f>D5*H5</f>
        <v/>
      </c>
      <c r="J5" s="113" t="n"/>
      <c r="K5" s="44" t="n">
        <v>200</v>
      </c>
      <c r="L5" s="48">
        <f>K5+J5+I5+F5+E5+D5</f>
        <v/>
      </c>
      <c r="M5" s="44">
        <f>D5*1%</f>
        <v/>
      </c>
      <c r="N5" s="49">
        <f>L5*8%</f>
        <v/>
      </c>
      <c r="O5" s="49">
        <f>L5*10%</f>
        <v/>
      </c>
      <c r="P5" s="49">
        <f>L5*5%</f>
        <v/>
      </c>
      <c r="Q5" s="49">
        <f>L5*2%</f>
        <v/>
      </c>
      <c r="R5" s="49">
        <f>AC5*0.5%</f>
        <v/>
      </c>
      <c r="S5" s="49">
        <f>L5*1%</f>
        <v/>
      </c>
      <c r="T5" s="50">
        <f>S5+Q5+P5+O5+N5+M5</f>
        <v/>
      </c>
      <c r="U5" s="44">
        <f>AC5*1%</f>
        <v/>
      </c>
      <c r="V5" s="44">
        <f>AC5*5%</f>
        <v/>
      </c>
      <c r="W5" s="44">
        <f>AC5*1%</f>
        <v/>
      </c>
      <c r="X5" s="44">
        <f>AC5*8%</f>
        <v/>
      </c>
      <c r="Y5" s="44">
        <f>U5+V5+W5+X5</f>
        <v/>
      </c>
      <c r="Z5" s="50">
        <f>Y5+T5+L5</f>
        <v/>
      </c>
      <c r="AA5" s="51">
        <f>Z5*20%</f>
        <v/>
      </c>
      <c r="AB5" s="49">
        <f>Z5+AA5</f>
        <v/>
      </c>
      <c r="AC5" s="44">
        <f>D5*2.1</f>
        <v/>
      </c>
      <c r="AD5" s="49">
        <f>AB5-AC5</f>
        <v/>
      </c>
      <c r="AE5" s="49">
        <f>AD5/AB5*100</f>
        <v/>
      </c>
      <c r="AF5" s="113" t="n">
        <v>5850</v>
      </c>
      <c r="AG5" s="116">
        <f>((AF5-L5)/L5)*100</f>
        <v/>
      </c>
      <c r="AH5" s="54">
        <f>AJ5-AF5</f>
        <v/>
      </c>
      <c r="AI5" s="54">
        <f>AB5</f>
        <v/>
      </c>
      <c r="AJ5" s="54" t="n">
        <v>5650</v>
      </c>
      <c r="AK5" s="55">
        <f>(AJ5-L5)/L5*100</f>
        <v/>
      </c>
      <c r="AL5" s="55" t="n"/>
      <c r="AM5" s="55">
        <f>(AH5/AJ5)*100</f>
        <v/>
      </c>
      <c r="AN5" s="55">
        <f>AK5-AG5</f>
        <v/>
      </c>
      <c r="AO5" s="56">
        <f>AJ5/L5</f>
        <v/>
      </c>
      <c r="AP5" s="55">
        <f>(AJ5-AB5)/100</f>
        <v/>
      </c>
      <c r="AQ5" s="55">
        <f>(AJ5-AC5)/100</f>
        <v/>
      </c>
      <c r="AR5" s="57">
        <f>AI5/94</f>
        <v/>
      </c>
      <c r="AS5" s="57">
        <f>AJ5/94</f>
        <v/>
      </c>
      <c r="AT5" s="58">
        <f>AI5/24</f>
        <v/>
      </c>
      <c r="AU5" s="58">
        <f>AJ5/24</f>
        <v/>
      </c>
      <c r="AV5" s="58">
        <f>AI5/125</f>
        <v/>
      </c>
      <c r="AW5" s="58">
        <f>AJ5/125</f>
        <v/>
      </c>
      <c r="AX5" s="113" t="n"/>
      <c r="AY5" s="113" t="n"/>
    </row>
    <row r="6">
      <c r="A6" s="44" t="n"/>
      <c r="B6" s="44" t="inlineStr">
        <is>
          <t>8 inches / White</t>
        </is>
      </c>
      <c r="C6" s="44" t="inlineStr">
        <is>
          <t>MI-TD-11N-W-8</t>
        </is>
      </c>
      <c r="D6" s="45" t="n">
        <v>3800</v>
      </c>
      <c r="E6" s="44" t="n">
        <v>0</v>
      </c>
      <c r="F6" s="44" t="n">
        <v>75</v>
      </c>
      <c r="G6" s="45" t="n">
        <v>92060000</v>
      </c>
      <c r="H6" s="115" t="n">
        <v>0.18</v>
      </c>
      <c r="I6" s="44">
        <f>D6*H6</f>
        <v/>
      </c>
      <c r="J6" s="113" t="n"/>
      <c r="K6" s="44" t="n">
        <v>200</v>
      </c>
      <c r="L6" s="48">
        <f>K6+J6+I6+F6+E6+D6</f>
        <v/>
      </c>
      <c r="M6" s="44">
        <f>D6*1%</f>
        <v/>
      </c>
      <c r="N6" s="49">
        <f>L6*8%</f>
        <v/>
      </c>
      <c r="O6" s="49">
        <f>L6*10%</f>
        <v/>
      </c>
      <c r="P6" s="49">
        <f>L6*5%</f>
        <v/>
      </c>
      <c r="Q6" s="49">
        <f>L6*2%</f>
        <v/>
      </c>
      <c r="R6" s="49">
        <f>AC6*0.5%</f>
        <v/>
      </c>
      <c r="S6" s="49">
        <f>L6*1%</f>
        <v/>
      </c>
      <c r="T6" s="50">
        <f>S6+Q6+P6+O6+N6+M6</f>
        <v/>
      </c>
      <c r="U6" s="44">
        <f>AC6*1%</f>
        <v/>
      </c>
      <c r="V6" s="44">
        <f>AC6*5%</f>
        <v/>
      </c>
      <c r="W6" s="44">
        <f>AC6*1%</f>
        <v/>
      </c>
      <c r="X6" s="44">
        <f>AC6*8%</f>
        <v/>
      </c>
      <c r="Y6" s="44">
        <f>U6+V6+W6+X6</f>
        <v/>
      </c>
      <c r="Z6" s="50">
        <f>Y6+T6+L6</f>
        <v/>
      </c>
      <c r="AA6" s="51">
        <f>Z6*20%</f>
        <v/>
      </c>
      <c r="AB6" s="49">
        <f>Z6+AA6</f>
        <v/>
      </c>
      <c r="AC6" s="44">
        <f>D6*2.1</f>
        <v/>
      </c>
      <c r="AD6" s="49">
        <f>AB6-AC6</f>
        <v/>
      </c>
      <c r="AE6" s="49">
        <f>AD6/AB6*100</f>
        <v/>
      </c>
      <c r="AF6" s="113" t="n">
        <v>6750</v>
      </c>
      <c r="AG6" s="116">
        <f>((AF6-L6)/L6)*100</f>
        <v/>
      </c>
      <c r="AH6" s="54">
        <f>AJ6-AF6</f>
        <v/>
      </c>
      <c r="AI6" s="54" t="n">
        <v>7990</v>
      </c>
      <c r="AJ6" s="54" t="n">
        <v>6950</v>
      </c>
      <c r="AK6" s="55">
        <f>(AJ6-L6)/L6*100</f>
        <v/>
      </c>
      <c r="AL6" s="55" t="n"/>
      <c r="AM6" s="55">
        <f>(AH6/AJ6)*100</f>
        <v/>
      </c>
      <c r="AN6" s="55">
        <f>AK6-AG6</f>
        <v/>
      </c>
      <c r="AO6" s="56">
        <f>AJ6/L6</f>
        <v/>
      </c>
      <c r="AP6" s="55">
        <f>(AJ6-AB6)/100</f>
        <v/>
      </c>
      <c r="AQ6" s="55">
        <f>(AJ6-AC6)/100</f>
        <v/>
      </c>
      <c r="AR6" s="57">
        <f>AI6/94</f>
        <v/>
      </c>
      <c r="AS6" s="57">
        <f>AJ6/94</f>
        <v/>
      </c>
      <c r="AT6" s="58">
        <f>AI6/24</f>
        <v/>
      </c>
      <c r="AU6" s="58">
        <f>AJ6/24</f>
        <v/>
      </c>
      <c r="AV6" s="58">
        <f>AI6/125</f>
        <v/>
      </c>
      <c r="AW6" s="58">
        <f>AJ6/125</f>
        <v/>
      </c>
      <c r="AX6" s="113" t="n"/>
      <c r="AY6" s="113" t="n"/>
    </row>
    <row r="7">
      <c r="A7" s="44" t="n"/>
      <c r="B7" s="44" t="inlineStr">
        <is>
          <t>8 inches / Blue</t>
        </is>
      </c>
      <c r="C7" s="44" t="inlineStr">
        <is>
          <t>MI-TD-11N-B-8</t>
        </is>
      </c>
      <c r="D7" s="45" t="n">
        <v>3800</v>
      </c>
      <c r="E7" s="44" t="n">
        <v>0</v>
      </c>
      <c r="F7" s="44" t="n">
        <v>75</v>
      </c>
      <c r="G7" s="45" t="n">
        <v>92060000</v>
      </c>
      <c r="H7" s="115" t="n">
        <v>0.18</v>
      </c>
      <c r="I7" s="44">
        <f>D7*H7</f>
        <v/>
      </c>
      <c r="J7" s="113" t="n"/>
      <c r="K7" s="44" t="n">
        <v>200</v>
      </c>
      <c r="L7" s="48">
        <f>K7+J7+I7+F7+E7+D7</f>
        <v/>
      </c>
      <c r="M7" s="44">
        <f>D7*1%</f>
        <v/>
      </c>
      <c r="N7" s="49">
        <f>L7*8%</f>
        <v/>
      </c>
      <c r="O7" s="49">
        <f>L7*10%</f>
        <v/>
      </c>
      <c r="P7" s="49">
        <f>L7*5%</f>
        <v/>
      </c>
      <c r="Q7" s="49">
        <f>L7*2%</f>
        <v/>
      </c>
      <c r="R7" s="49">
        <f>AC7*0.5%</f>
        <v/>
      </c>
      <c r="S7" s="49">
        <f>L7*1%</f>
        <v/>
      </c>
      <c r="T7" s="50">
        <f>S7+Q7+P7+O7+N7+M7</f>
        <v/>
      </c>
      <c r="U7" s="44">
        <f>AC7*1%</f>
        <v/>
      </c>
      <c r="V7" s="44">
        <f>AC7*5%</f>
        <v/>
      </c>
      <c r="W7" s="44">
        <f>AC7*1%</f>
        <v/>
      </c>
      <c r="X7" s="44">
        <f>AC7*8%</f>
        <v/>
      </c>
      <c r="Y7" s="44">
        <f>U7+V7+W7+X7</f>
        <v/>
      </c>
      <c r="Z7" s="50">
        <f>Y7+T7+L7</f>
        <v/>
      </c>
      <c r="AA7" s="51">
        <f>Z7*20%</f>
        <v/>
      </c>
      <c r="AB7" s="49">
        <f>Z7+AA7</f>
        <v/>
      </c>
      <c r="AC7" s="44">
        <f>D7*2.1</f>
        <v/>
      </c>
      <c r="AD7" s="49">
        <f>AB7-AC7</f>
        <v/>
      </c>
      <c r="AE7" s="49">
        <f>AD7/AB7*100</f>
        <v/>
      </c>
      <c r="AF7" s="113" t="n">
        <v>6750</v>
      </c>
      <c r="AG7" s="116">
        <f>((AF7-L7)/L7)*100</f>
        <v/>
      </c>
      <c r="AH7" s="54">
        <f>AJ7-AF7</f>
        <v/>
      </c>
      <c r="AI7" s="54" t="n">
        <v>9990</v>
      </c>
      <c r="AJ7" s="54" t="n">
        <v>6950</v>
      </c>
      <c r="AK7" s="55">
        <f>(AJ7-L7)/L7*100</f>
        <v/>
      </c>
      <c r="AL7" s="55" t="n"/>
      <c r="AM7" s="55">
        <f>(AH7/AJ7)*100</f>
        <v/>
      </c>
      <c r="AN7" s="55">
        <f>AK7-AG7</f>
        <v/>
      </c>
      <c r="AO7" s="56">
        <f>AJ7/L7</f>
        <v/>
      </c>
      <c r="AP7" s="55">
        <f>(AJ7-AB7)/100</f>
        <v/>
      </c>
      <c r="AQ7" s="55">
        <f>(AJ7-AC7)/100</f>
        <v/>
      </c>
      <c r="AR7" s="57">
        <f>AI7/94</f>
        <v/>
      </c>
      <c r="AS7" s="57">
        <f>AJ7/94</f>
        <v/>
      </c>
      <c r="AT7" s="58">
        <f>AI7/24</f>
        <v/>
      </c>
      <c r="AU7" s="58">
        <f>AJ7/24</f>
        <v/>
      </c>
      <c r="AV7" s="58">
        <f>AI7/125</f>
        <v/>
      </c>
      <c r="AW7" s="58">
        <f>AJ7/125</f>
        <v/>
      </c>
      <c r="AX7" s="113" t="n"/>
      <c r="AY7" s="113" t="n"/>
    </row>
    <row r="8" ht="15" customHeight="1" s="258">
      <c r="A8" s="44" t="inlineStr">
        <is>
          <t>11 Note Tongue Drum</t>
        </is>
      </c>
      <c r="B8" s="44" t="inlineStr">
        <is>
          <t>10 inches / White</t>
        </is>
      </c>
      <c r="C8" s="44" t="inlineStr">
        <is>
          <t>MI-TD-11N-W-10</t>
        </is>
      </c>
      <c r="D8" s="45" t="n">
        <v>4200</v>
      </c>
      <c r="E8" s="44" t="n">
        <v>0</v>
      </c>
      <c r="F8" s="44" t="n">
        <v>75</v>
      </c>
      <c r="G8" s="45" t="n">
        <v>92060000</v>
      </c>
      <c r="H8" s="115" t="n">
        <v>0.18</v>
      </c>
      <c r="I8" s="44">
        <f>D8*H8</f>
        <v/>
      </c>
      <c r="J8" s="44" t="n"/>
      <c r="K8" s="44" t="n">
        <v>200</v>
      </c>
      <c r="L8" s="48">
        <f>K8+J8+I8+F8+E8+D8</f>
        <v/>
      </c>
      <c r="M8" s="44">
        <f>D8*1%</f>
        <v/>
      </c>
      <c r="N8" s="49">
        <f>L8*8%</f>
        <v/>
      </c>
      <c r="O8" s="49">
        <f>L8*10%</f>
        <v/>
      </c>
      <c r="P8" s="49">
        <f>L8*5%</f>
        <v/>
      </c>
      <c r="Q8" s="49">
        <f>L8*2%</f>
        <v/>
      </c>
      <c r="R8" s="49">
        <f>0.5%*AF8</f>
        <v/>
      </c>
      <c r="S8" s="49">
        <f>L8*1%</f>
        <v/>
      </c>
      <c r="T8" s="50">
        <f>S8+Q8+P8+O8+N8+M8</f>
        <v/>
      </c>
      <c r="U8" s="44">
        <f>AC8*1%</f>
        <v/>
      </c>
      <c r="V8" s="44">
        <f>AC8*5%</f>
        <v/>
      </c>
      <c r="W8" s="44">
        <f>AC8*1%</f>
        <v/>
      </c>
      <c r="X8" s="44">
        <f>AC8*8%</f>
        <v/>
      </c>
      <c r="Y8" s="44">
        <f>U8+V8+W8+X8</f>
        <v/>
      </c>
      <c r="Z8" s="50">
        <f>Y8+T8+L8</f>
        <v/>
      </c>
      <c r="AA8" s="51">
        <f>Z8*20%</f>
        <v/>
      </c>
      <c r="AB8" s="44" t="n">
        <v>8900</v>
      </c>
      <c r="AC8" s="44">
        <f>D8*2.1</f>
        <v/>
      </c>
      <c r="AD8" s="49">
        <f>AB8-AC8</f>
        <v/>
      </c>
      <c r="AE8" s="49">
        <f>AD8/AB8*100</f>
        <v/>
      </c>
      <c r="AF8" s="113" t="n">
        <v>7350</v>
      </c>
      <c r="AG8" s="116">
        <f>((AF8-L8)/L8)*100</f>
        <v/>
      </c>
      <c r="AH8" s="54">
        <f>AJ8-AF8</f>
        <v/>
      </c>
      <c r="AI8" s="54">
        <f>AB8</f>
        <v/>
      </c>
      <c r="AJ8" s="54" t="n">
        <v>7650</v>
      </c>
      <c r="AK8" s="55">
        <f>(AJ8-L8)/L8*100</f>
        <v/>
      </c>
      <c r="AL8" s="55" t="n"/>
      <c r="AM8" s="55">
        <f>(AH8/AJ8)*100</f>
        <v/>
      </c>
      <c r="AN8" s="55">
        <f>AK8-AG8</f>
        <v/>
      </c>
      <c r="AO8" s="56">
        <f>AJ8/L8</f>
        <v/>
      </c>
      <c r="AP8" s="55">
        <f>(AJ8-AB8)/100</f>
        <v/>
      </c>
      <c r="AQ8" s="55">
        <f>(AJ8-AC8)/100</f>
        <v/>
      </c>
      <c r="AR8" s="57">
        <f>AI8/94</f>
        <v/>
      </c>
      <c r="AS8" s="57">
        <f>AJ8/94</f>
        <v/>
      </c>
      <c r="AT8" s="58">
        <f>AI8/24</f>
        <v/>
      </c>
      <c r="AU8" s="58">
        <f>AJ8/24</f>
        <v/>
      </c>
      <c r="AV8" s="58">
        <f>AI8/125</f>
        <v/>
      </c>
      <c r="AW8" s="58">
        <f>AJ8/125</f>
        <v/>
      </c>
      <c r="AX8" s="113" t="n"/>
      <c r="AY8" s="113" t="n"/>
    </row>
    <row r="9">
      <c r="A9" s="44" t="n"/>
      <c r="B9" s="44" t="inlineStr">
        <is>
          <t>10 inches / Blue</t>
        </is>
      </c>
      <c r="C9" s="44" t="inlineStr">
        <is>
          <t>MI-TD-11N-B-10</t>
        </is>
      </c>
      <c r="D9" s="45" t="n">
        <v>4200</v>
      </c>
      <c r="E9" s="44" t="n">
        <v>0</v>
      </c>
      <c r="F9" s="44" t="n">
        <v>75</v>
      </c>
      <c r="G9" s="45" t="n">
        <v>92060000</v>
      </c>
      <c r="H9" s="115" t="n">
        <v>0.18</v>
      </c>
      <c r="I9" s="44">
        <f>D9*H9</f>
        <v/>
      </c>
      <c r="J9" s="113" t="n"/>
      <c r="K9" s="44" t="n">
        <v>200</v>
      </c>
      <c r="L9" s="48">
        <f>K9+J9+I9+F9+E9+D9</f>
        <v/>
      </c>
      <c r="M9" s="44">
        <f>D9*1%</f>
        <v/>
      </c>
      <c r="N9" s="49">
        <f>L9*8%</f>
        <v/>
      </c>
      <c r="O9" s="49">
        <f>L9*10%</f>
        <v/>
      </c>
      <c r="P9" s="49">
        <f>L9*5%</f>
        <v/>
      </c>
      <c r="Q9" s="49">
        <f>L9*2%</f>
        <v/>
      </c>
      <c r="R9" s="49">
        <f>AC9*0.5%</f>
        <v/>
      </c>
      <c r="S9" s="49">
        <f>L9*1%</f>
        <v/>
      </c>
      <c r="T9" s="50">
        <f>S9+Q9+P9+O9+N9+M9</f>
        <v/>
      </c>
      <c r="U9" s="44">
        <f>AC9*1%</f>
        <v/>
      </c>
      <c r="V9" s="44">
        <f>AC9*5%</f>
        <v/>
      </c>
      <c r="W9" s="44">
        <f>AC9*1%</f>
        <v/>
      </c>
      <c r="X9" s="44">
        <f>AC9*8%</f>
        <v/>
      </c>
      <c r="Y9" s="44">
        <f>U9+V9+W9+X9</f>
        <v/>
      </c>
      <c r="Z9" s="50">
        <f>Y9+T9+L9</f>
        <v/>
      </c>
      <c r="AA9" s="51">
        <f>Z9*20%</f>
        <v/>
      </c>
      <c r="AB9" s="49">
        <f>Z9+AA9</f>
        <v/>
      </c>
      <c r="AC9" s="44">
        <f>D9*2.1</f>
        <v/>
      </c>
      <c r="AD9" s="49">
        <f>AB9-AC9</f>
        <v/>
      </c>
      <c r="AE9" s="49">
        <f>AD9/AB9*100</f>
        <v/>
      </c>
      <c r="AF9" s="113" t="n">
        <v>7350</v>
      </c>
      <c r="AG9" s="116">
        <f>((AF9-L9)/L9)*100</f>
        <v/>
      </c>
      <c r="AH9" s="54">
        <f>AJ9-AF9</f>
        <v/>
      </c>
      <c r="AI9" s="54" t="n">
        <v>9990</v>
      </c>
      <c r="AJ9" s="54" t="n">
        <v>7650</v>
      </c>
      <c r="AK9" s="55">
        <f>(AJ9-L9)/L9*100</f>
        <v/>
      </c>
      <c r="AL9" s="55" t="n"/>
      <c r="AM9" s="55">
        <f>(AH9/AJ9)*100</f>
        <v/>
      </c>
      <c r="AN9" s="55">
        <f>AK9-AG9</f>
        <v/>
      </c>
      <c r="AO9" s="56">
        <f>AJ9/L9</f>
        <v/>
      </c>
      <c r="AP9" s="55">
        <f>(AJ9-AB9)/100</f>
        <v/>
      </c>
      <c r="AQ9" s="55">
        <f>(AJ9-AC9)/100</f>
        <v/>
      </c>
      <c r="AR9" s="57">
        <f>AI9/94</f>
        <v/>
      </c>
      <c r="AS9" s="57">
        <f>AJ9/94</f>
        <v/>
      </c>
      <c r="AT9" s="58">
        <f>AI9/24</f>
        <v/>
      </c>
      <c r="AU9" s="58">
        <f>AJ9/24</f>
        <v/>
      </c>
      <c r="AV9" s="58">
        <f>AI9/125</f>
        <v/>
      </c>
      <c r="AW9" s="58">
        <f>AJ9/125</f>
        <v/>
      </c>
      <c r="AX9" s="113" t="n"/>
      <c r="AY9" s="113" t="n"/>
    </row>
    <row r="10" ht="16.5" customHeight="1" s="258">
      <c r="A10" s="113" t="n"/>
      <c r="B10" s="44" t="inlineStr">
        <is>
          <t>12 inches / White</t>
        </is>
      </c>
      <c r="C10" s="44" t="inlineStr">
        <is>
          <t>MI-TD-11N-W-12</t>
        </is>
      </c>
      <c r="D10" s="45" t="n">
        <v>4700</v>
      </c>
      <c r="E10" s="44" t="n">
        <v>0</v>
      </c>
      <c r="F10" s="44" t="n">
        <v>75</v>
      </c>
      <c r="G10" s="45" t="n">
        <v>92060000</v>
      </c>
      <c r="H10" s="115" t="n">
        <v>0.18</v>
      </c>
      <c r="I10" s="44">
        <f>D10*H10</f>
        <v/>
      </c>
      <c r="J10" s="113" t="n"/>
      <c r="K10" s="44" t="n">
        <v>200</v>
      </c>
      <c r="L10" s="48">
        <f>K10+J10+I10+F10+E10+D10</f>
        <v/>
      </c>
      <c r="M10" s="44">
        <f>D10*1%</f>
        <v/>
      </c>
      <c r="N10" s="49">
        <f>L10*8%</f>
        <v/>
      </c>
      <c r="O10" s="49">
        <f>L10*10%</f>
        <v/>
      </c>
      <c r="P10" s="49">
        <f>L10*5%</f>
        <v/>
      </c>
      <c r="Q10" s="49">
        <f>L10*2%</f>
        <v/>
      </c>
      <c r="R10" s="49">
        <f>AC10*0.5%</f>
        <v/>
      </c>
      <c r="S10" s="49">
        <f>L10*1%</f>
        <v/>
      </c>
      <c r="T10" s="50">
        <f>S10+Q10+P10+O10+N10+M10</f>
        <v/>
      </c>
      <c r="U10" s="44">
        <f>AC10*1%</f>
        <v/>
      </c>
      <c r="V10" s="44">
        <f>AC10*5%</f>
        <v/>
      </c>
      <c r="W10" s="44">
        <f>AC10*1%</f>
        <v/>
      </c>
      <c r="X10" s="44">
        <f>AC10*8%</f>
        <v/>
      </c>
      <c r="Y10" s="44">
        <f>U10+V10+W10+X10</f>
        <v/>
      </c>
      <c r="Z10" s="50">
        <f>Y10+T10+L10</f>
        <v/>
      </c>
      <c r="AA10" s="51">
        <f>Z10*20%</f>
        <v/>
      </c>
      <c r="AB10" s="49">
        <f>Z10+AA10</f>
        <v/>
      </c>
      <c r="AC10" s="44">
        <f>D10*2.1</f>
        <v/>
      </c>
      <c r="AD10" s="49">
        <f>AB10-AC10</f>
        <v/>
      </c>
      <c r="AE10" s="49">
        <f>AD10/AB10*100</f>
        <v/>
      </c>
      <c r="AF10" s="113" t="n">
        <v>7850</v>
      </c>
      <c r="AG10" s="116">
        <f>((AF10-L10)/L10)*100</f>
        <v/>
      </c>
      <c r="AH10" s="54">
        <f>AJ10-AF10</f>
        <v/>
      </c>
      <c r="AI10" s="54" t="n">
        <v>9990</v>
      </c>
      <c r="AJ10" s="54" t="n">
        <v>8550</v>
      </c>
      <c r="AK10" s="55">
        <f>(AJ10-L10)/L10*100</f>
        <v/>
      </c>
      <c r="AL10" s="55" t="n"/>
      <c r="AM10" s="55">
        <f>(AH10/AJ10)*100</f>
        <v/>
      </c>
      <c r="AN10" s="55">
        <f>AK10-AG10</f>
        <v/>
      </c>
      <c r="AO10" s="56">
        <f>AJ10/L10</f>
        <v/>
      </c>
      <c r="AP10" s="55">
        <f>(AJ10-AB10)/100</f>
        <v/>
      </c>
      <c r="AQ10" s="55">
        <f>(AJ10-AC10)/100</f>
        <v/>
      </c>
      <c r="AR10" s="57">
        <f>AI10/94</f>
        <v/>
      </c>
      <c r="AS10" s="57">
        <f>AJ10/94</f>
        <v/>
      </c>
      <c r="AT10" s="58">
        <f>AI10/24</f>
        <v/>
      </c>
      <c r="AU10" s="58">
        <f>AJ10/24</f>
        <v/>
      </c>
      <c r="AV10" s="58">
        <f>AI10/125</f>
        <v/>
      </c>
      <c r="AW10" s="58">
        <f>AJ10/125</f>
        <v/>
      </c>
      <c r="AX10" s="113" t="n"/>
      <c r="AY10" s="113" t="n"/>
    </row>
    <row r="11">
      <c r="A11" s="44" t="n"/>
      <c r="B11" s="44" t="inlineStr">
        <is>
          <t>12 inches / Blue</t>
        </is>
      </c>
      <c r="C11" s="44" t="inlineStr">
        <is>
          <t>MI-TD-11N-B-12</t>
        </is>
      </c>
      <c r="D11" s="45" t="n">
        <v>4700</v>
      </c>
      <c r="E11" s="44" t="n">
        <v>0</v>
      </c>
      <c r="F11" s="44" t="n">
        <v>75</v>
      </c>
      <c r="G11" s="45" t="n">
        <v>92060000</v>
      </c>
      <c r="H11" s="115" t="n">
        <v>0.18</v>
      </c>
      <c r="I11" s="44">
        <f>D11*H11</f>
        <v/>
      </c>
      <c r="J11" s="113" t="n"/>
      <c r="K11" s="44" t="n">
        <v>200</v>
      </c>
      <c r="L11" s="48">
        <f>K11+J11+I11+F11+E11+D11</f>
        <v/>
      </c>
      <c r="M11" s="44">
        <f>D11*1%</f>
        <v/>
      </c>
      <c r="N11" s="49">
        <f>L11*8%</f>
        <v/>
      </c>
      <c r="O11" s="49">
        <f>L11*10%</f>
        <v/>
      </c>
      <c r="P11" s="49">
        <f>L11*5%</f>
        <v/>
      </c>
      <c r="Q11" s="49">
        <f>L11*2%</f>
        <v/>
      </c>
      <c r="R11" s="49">
        <f>AC11*0.5%</f>
        <v/>
      </c>
      <c r="S11" s="49">
        <f>L11*1%</f>
        <v/>
      </c>
      <c r="T11" s="50">
        <f>S11+Q11+P11+O11+N11+M11</f>
        <v/>
      </c>
      <c r="U11" s="44">
        <f>AC11*1%</f>
        <v/>
      </c>
      <c r="V11" s="44">
        <f>AC11*5%</f>
        <v/>
      </c>
      <c r="W11" s="44">
        <f>AC11*1%</f>
        <v/>
      </c>
      <c r="X11" s="44">
        <f>AC11*8%</f>
        <v/>
      </c>
      <c r="Y11" s="44">
        <f>U11+V11+W11+X11</f>
        <v/>
      </c>
      <c r="Z11" s="50">
        <f>Y11+T11+L11</f>
        <v/>
      </c>
      <c r="AA11" s="51">
        <f>Z11*20%</f>
        <v/>
      </c>
      <c r="AB11" s="49">
        <f>Z11+AA11</f>
        <v/>
      </c>
      <c r="AC11" s="44">
        <f>D11*2.1</f>
        <v/>
      </c>
      <c r="AD11" s="49">
        <f>AB11-AC11</f>
        <v/>
      </c>
      <c r="AE11" s="49">
        <f>AD11/AB11*100</f>
        <v/>
      </c>
      <c r="AF11" s="113" t="n">
        <v>7850</v>
      </c>
      <c r="AG11" s="116">
        <f>((AF11-L11)/L11)*100</f>
        <v/>
      </c>
      <c r="AH11" s="54">
        <f>AJ11-AF11</f>
        <v/>
      </c>
      <c r="AI11" s="54" t="n">
        <v>10990</v>
      </c>
      <c r="AJ11" s="54" t="n">
        <v>8550</v>
      </c>
      <c r="AK11" s="55">
        <f>(AJ11-L11)/L11*100</f>
        <v/>
      </c>
      <c r="AL11" s="55" t="n"/>
      <c r="AM11" s="55">
        <f>(AH11/AJ11)*100</f>
        <v/>
      </c>
      <c r="AN11" s="55">
        <f>AK11-AG11</f>
        <v/>
      </c>
      <c r="AO11" s="56">
        <f>AJ11/L11</f>
        <v/>
      </c>
      <c r="AP11" s="55">
        <f>(AJ11-AB11)/100</f>
        <v/>
      </c>
      <c r="AQ11" s="55">
        <f>(AJ11-AC11)/100</f>
        <v/>
      </c>
      <c r="AR11" s="57">
        <f>AI11/94</f>
        <v/>
      </c>
      <c r="AS11" s="57">
        <f>AJ11/94</f>
        <v/>
      </c>
      <c r="AT11" s="58">
        <f>AI11/24</f>
        <v/>
      </c>
      <c r="AU11" s="58">
        <f>AJ11/24</f>
        <v/>
      </c>
      <c r="AV11" s="58">
        <f>AI11/125</f>
        <v/>
      </c>
      <c r="AW11" s="58">
        <f>AJ11/125</f>
        <v/>
      </c>
      <c r="AX11" s="113" t="n"/>
      <c r="AY11" s="113" t="n"/>
    </row>
    <row r="12" ht="15" customHeight="1" s="258">
      <c r="A12" s="2" t="inlineStr">
        <is>
          <t>Jala Neti Pot - Ceramic 185 ml</t>
        </is>
      </c>
      <c r="B12" s="2" t="inlineStr">
        <is>
          <t>Red</t>
        </is>
      </c>
      <c r="C12" s="2" t="inlineStr">
        <is>
          <t>NP-R-185</t>
        </is>
      </c>
      <c r="D12" s="118" t="n">
        <v>60</v>
      </c>
      <c r="F12" s="2" t="n">
        <v>60</v>
      </c>
      <c r="G12" s="118" t="n">
        <v>69091000</v>
      </c>
      <c r="H12" s="255" t="n">
        <v>0.18</v>
      </c>
      <c r="I12" s="2">
        <f>D12*H12</f>
        <v/>
      </c>
      <c r="K12" s="2" t="n">
        <v>20</v>
      </c>
      <c r="L12" s="4">
        <f>K12+J12+I12+F12+E12+D12</f>
        <v/>
      </c>
      <c r="M12" s="2">
        <f>D12*1%</f>
        <v/>
      </c>
      <c r="N12" s="12">
        <f>L12*8%</f>
        <v/>
      </c>
      <c r="O12" s="12">
        <f>L12*10%</f>
        <v/>
      </c>
      <c r="P12" s="12">
        <f>L12*5%</f>
        <v/>
      </c>
      <c r="Q12" s="12">
        <f>L12*2%</f>
        <v/>
      </c>
      <c r="R12" s="12">
        <f>AC12*0.5%</f>
        <v/>
      </c>
      <c r="S12" s="12">
        <f>L12*1%</f>
        <v/>
      </c>
      <c r="T12" s="60">
        <f>S12+Q12+P12+O12+N12+M12</f>
        <v/>
      </c>
      <c r="U12" s="2">
        <f>AC12*1%</f>
        <v/>
      </c>
      <c r="V12" s="44">
        <f>AC12*5%</f>
        <v/>
      </c>
      <c r="W12" s="2">
        <f>AC12*1%</f>
        <v/>
      </c>
      <c r="X12" s="2">
        <f>AC12*8%</f>
        <v/>
      </c>
      <c r="Y12" s="2">
        <f>U12+V12+W12+X12</f>
        <v/>
      </c>
      <c r="Z12" s="60">
        <f>Y12+T12+L12</f>
        <v/>
      </c>
      <c r="AA12" s="11">
        <f>Z12*20%</f>
        <v/>
      </c>
      <c r="AB12" s="12">
        <f>Z12+AA12</f>
        <v/>
      </c>
      <c r="AC12" s="2">
        <f>D12*2.1</f>
        <v/>
      </c>
      <c r="AD12" s="12">
        <f>AB12-AC12</f>
        <v/>
      </c>
      <c r="AE12" s="12">
        <f>AD12/AB12*100</f>
        <v/>
      </c>
      <c r="AF12" s="92" t="n">
        <v>245</v>
      </c>
      <c r="AG12" s="62">
        <f>((AF12-L12)/L12)*100</f>
        <v/>
      </c>
      <c r="AH12" s="106">
        <f>AJ12-AF12</f>
        <v/>
      </c>
      <c r="AI12" s="65">
        <f>AB12</f>
        <v/>
      </c>
      <c r="AJ12" s="65" t="n">
        <v>275</v>
      </c>
      <c r="AK12" s="66">
        <f>(AJ12-L12)/L12*100</f>
        <v/>
      </c>
      <c r="AL12" s="66" t="n"/>
      <c r="AM12" s="14">
        <f>AH12/AJ12%</f>
        <v/>
      </c>
      <c r="AN12" s="67">
        <f>AK12-AG12</f>
        <v/>
      </c>
      <c r="AO12" s="68">
        <f>AJ12/L12</f>
        <v/>
      </c>
      <c r="AP12" s="69">
        <f>(AJ12-AB12)/100</f>
        <v/>
      </c>
      <c r="AQ12" s="70">
        <f>(AJ12-AC12)/100</f>
        <v/>
      </c>
      <c r="AR12" s="71">
        <f>AI12/94</f>
        <v/>
      </c>
      <c r="AS12" s="71">
        <f>AJ12/94</f>
        <v/>
      </c>
      <c r="AT12" s="72">
        <f>AI12/24</f>
        <v/>
      </c>
      <c r="AU12" s="72">
        <f>AJ12/24</f>
        <v/>
      </c>
      <c r="AV12" s="73">
        <f>AI12/125</f>
        <v/>
      </c>
      <c r="AW12" s="73">
        <f>AJ12/125</f>
        <v/>
      </c>
    </row>
    <row r="13" ht="15.75" customHeight="1" s="258">
      <c r="A13" s="2" t="n"/>
      <c r="B13" s="2" t="inlineStr">
        <is>
          <t>Blue</t>
        </is>
      </c>
      <c r="C13" s="2" t="inlineStr">
        <is>
          <t>NP-B-185</t>
        </is>
      </c>
      <c r="D13" s="118" t="n">
        <v>60</v>
      </c>
      <c r="F13" s="2" t="n">
        <v>60</v>
      </c>
      <c r="G13" s="118" t="n">
        <v>69091000</v>
      </c>
      <c r="H13" s="255" t="n">
        <v>0.18</v>
      </c>
      <c r="I13" s="2">
        <f>D13*H13</f>
        <v/>
      </c>
      <c r="K13" s="2" t="n">
        <v>20</v>
      </c>
      <c r="L13" s="4">
        <f>K13+J13+I13+F13+E13+D13</f>
        <v/>
      </c>
      <c r="M13" s="2">
        <f>D13*1%</f>
        <v/>
      </c>
      <c r="N13" s="12">
        <f>L13*8%</f>
        <v/>
      </c>
      <c r="O13" s="12">
        <f>L13*10%</f>
        <v/>
      </c>
      <c r="P13" s="12">
        <f>L13*5%</f>
        <v/>
      </c>
      <c r="Q13" s="12">
        <f>L13*2%</f>
        <v/>
      </c>
      <c r="R13" s="12">
        <f>AC13*0.5%</f>
        <v/>
      </c>
      <c r="S13" s="12">
        <f>L13*1%</f>
        <v/>
      </c>
      <c r="T13" s="60">
        <f>S13+Q13+P13+O13+N13+M13</f>
        <v/>
      </c>
      <c r="U13" s="2">
        <f>AC13*1%</f>
        <v/>
      </c>
      <c r="V13" s="44">
        <f>AC13*5%</f>
        <v/>
      </c>
      <c r="W13" s="2">
        <f>AC13*1%</f>
        <v/>
      </c>
      <c r="X13" s="2">
        <f>AC13*8%</f>
        <v/>
      </c>
      <c r="Y13" s="2">
        <f>U13+V13+W13+X13</f>
        <v/>
      </c>
      <c r="Z13" s="60">
        <f>Y13+T13+L13</f>
        <v/>
      </c>
      <c r="AA13" s="11">
        <f>Z13*20%</f>
        <v/>
      </c>
      <c r="AB13" s="12">
        <f>Z13+AA13</f>
        <v/>
      </c>
      <c r="AC13" s="2">
        <f>D13*2.1</f>
        <v/>
      </c>
      <c r="AD13" s="12">
        <f>AB13-AC13</f>
        <v/>
      </c>
      <c r="AE13" s="12">
        <f>AD13/AB13*100</f>
        <v/>
      </c>
      <c r="AF13" s="92" t="n">
        <v>245</v>
      </c>
      <c r="AG13" s="62">
        <f>((AF13-L13)/L13)*100</f>
        <v/>
      </c>
      <c r="AH13" s="106">
        <f>AJ13-AF13</f>
        <v/>
      </c>
      <c r="AI13" s="65">
        <f>AB13</f>
        <v/>
      </c>
      <c r="AJ13" s="65" t="n">
        <v>275</v>
      </c>
      <c r="AK13" s="66">
        <f>(AJ13-L13)/L13*100</f>
        <v/>
      </c>
      <c r="AL13" s="66" t="n"/>
      <c r="AM13" s="14">
        <f>AH13/AJ13%</f>
        <v/>
      </c>
      <c r="AN13" s="67">
        <f>AK13-AG13</f>
        <v/>
      </c>
      <c r="AO13" s="68">
        <f>AJ13/L13</f>
        <v/>
      </c>
      <c r="AP13" s="69">
        <f>(AJ13-AB13)/100</f>
        <v/>
      </c>
      <c r="AQ13" s="70">
        <f>(AJ13-AC13)/100</f>
        <v/>
      </c>
      <c r="AR13" s="71">
        <f>AI13/94</f>
        <v/>
      </c>
      <c r="AS13" s="71">
        <f>AJ13/94</f>
        <v/>
      </c>
      <c r="AT13" s="72">
        <f>AI13/24</f>
        <v/>
      </c>
      <c r="AU13" s="72">
        <f>AJ13/24</f>
        <v/>
      </c>
      <c r="AV13" s="73">
        <f>AI13/125</f>
        <v/>
      </c>
      <c r="AW13" s="73">
        <f>AJ13/125</f>
        <v/>
      </c>
    </row>
    <row r="14" ht="15.75" customHeight="1" s="258">
      <c r="A14" s="2" t="n"/>
      <c r="B14" s="2" t="inlineStr">
        <is>
          <t>Lemon Yellow</t>
        </is>
      </c>
      <c r="C14" s="2" t="inlineStr">
        <is>
          <t>NP-LY-185</t>
        </is>
      </c>
      <c r="D14" s="118" t="n">
        <v>60</v>
      </c>
      <c r="F14" s="2" t="n">
        <v>60</v>
      </c>
      <c r="G14" s="118" t="n">
        <v>69091000</v>
      </c>
      <c r="H14" s="255" t="n">
        <v>0.18</v>
      </c>
      <c r="I14" s="2">
        <f>D14*H14</f>
        <v/>
      </c>
      <c r="K14" s="2" t="n">
        <v>20</v>
      </c>
      <c r="L14" s="4">
        <f>K14+J14+I14+F14+E14+D14</f>
        <v/>
      </c>
      <c r="M14" s="2">
        <f>D14*1%</f>
        <v/>
      </c>
      <c r="N14" s="12">
        <f>L14*8%</f>
        <v/>
      </c>
      <c r="O14" s="12">
        <f>L14*10%</f>
        <v/>
      </c>
      <c r="P14" s="12">
        <f>L14*5%</f>
        <v/>
      </c>
      <c r="Q14" s="12">
        <f>L14*2%</f>
        <v/>
      </c>
      <c r="R14" s="12">
        <f>AC14*0.5%</f>
        <v/>
      </c>
      <c r="S14" s="12">
        <f>L14*1%</f>
        <v/>
      </c>
      <c r="T14" s="60">
        <f>S14+Q14+P14+O14+N14+M14</f>
        <v/>
      </c>
      <c r="U14" s="2">
        <f>AC14*1%</f>
        <v/>
      </c>
      <c r="V14" s="44">
        <f>AC14*5%</f>
        <v/>
      </c>
      <c r="W14" s="2">
        <f>AC14*1%</f>
        <v/>
      </c>
      <c r="X14" s="2">
        <f>AC14*8%</f>
        <v/>
      </c>
      <c r="Y14" s="2">
        <f>U14+V14+W14+X14</f>
        <v/>
      </c>
      <c r="Z14" s="60">
        <f>Y14+T14+L14</f>
        <v/>
      </c>
      <c r="AA14" s="11">
        <f>Z14*20%</f>
        <v/>
      </c>
      <c r="AB14" s="12">
        <f>Z14+AA14</f>
        <v/>
      </c>
      <c r="AC14" s="2">
        <f>D14*2.1</f>
        <v/>
      </c>
      <c r="AD14" s="12">
        <f>AB14-AC14</f>
        <v/>
      </c>
      <c r="AE14" s="12">
        <f>AD14/AB14*100</f>
        <v/>
      </c>
      <c r="AF14" s="92" t="n">
        <v>245</v>
      </c>
      <c r="AG14" s="62">
        <f>((AF14-L14)/L14)*100</f>
        <v/>
      </c>
      <c r="AH14" s="106">
        <f>AJ14-AF14</f>
        <v/>
      </c>
      <c r="AI14" s="65">
        <f>AB14</f>
        <v/>
      </c>
      <c r="AJ14" s="65" t="n">
        <v>275</v>
      </c>
      <c r="AK14" s="66">
        <f>(AJ14-L14)/L14*100</f>
        <v/>
      </c>
      <c r="AL14" s="66" t="n"/>
      <c r="AM14" s="14">
        <f>AH14/AJ14%</f>
        <v/>
      </c>
      <c r="AN14" s="67">
        <f>AK14-AG14</f>
        <v/>
      </c>
      <c r="AO14" s="68">
        <f>AJ14/L14</f>
        <v/>
      </c>
      <c r="AP14" s="69">
        <f>(AJ14-AB14)/100</f>
        <v/>
      </c>
      <c r="AQ14" s="70">
        <f>(AJ14-AC14)/100</f>
        <v/>
      </c>
      <c r="AR14" s="71">
        <f>AI14/94</f>
        <v/>
      </c>
      <c r="AS14" s="71">
        <f>AJ14/94</f>
        <v/>
      </c>
      <c r="AT14" s="72">
        <f>AI14/24</f>
        <v/>
      </c>
      <c r="AU14" s="72">
        <f>AJ14/24</f>
        <v/>
      </c>
      <c r="AV14" s="73">
        <f>AI14/125</f>
        <v/>
      </c>
      <c r="AW14" s="73">
        <f>AJ14/125</f>
        <v/>
      </c>
    </row>
    <row r="15" ht="15.75" customHeight="1" s="258">
      <c r="A15" s="2" t="n"/>
      <c r="B15" s="2" t="inlineStr">
        <is>
          <t>Mint Green</t>
        </is>
      </c>
      <c r="C15" s="2" t="inlineStr">
        <is>
          <t>NP-MG-185</t>
        </is>
      </c>
      <c r="D15" s="118" t="n">
        <v>60</v>
      </c>
      <c r="F15" s="2" t="n">
        <v>60</v>
      </c>
      <c r="G15" s="118" t="n">
        <v>69091000</v>
      </c>
      <c r="H15" s="255" t="n">
        <v>0.18</v>
      </c>
      <c r="I15" s="2">
        <f>D15*H15</f>
        <v/>
      </c>
      <c r="K15" s="2" t="n">
        <v>20</v>
      </c>
      <c r="L15" s="4">
        <f>K15+J15+I15+F15+E15+D15</f>
        <v/>
      </c>
      <c r="M15" s="2">
        <f>D15*1%</f>
        <v/>
      </c>
      <c r="N15" s="12">
        <f>L15*8%</f>
        <v/>
      </c>
      <c r="O15" s="12">
        <f>L15*10%</f>
        <v/>
      </c>
      <c r="P15" s="12">
        <f>L15*5%</f>
        <v/>
      </c>
      <c r="Q15" s="12">
        <f>L15*2%</f>
        <v/>
      </c>
      <c r="R15" s="12">
        <f>AC15*0.5%</f>
        <v/>
      </c>
      <c r="S15" s="12">
        <f>L15*1%</f>
        <v/>
      </c>
      <c r="T15" s="60">
        <f>S15+Q15+P15+O15+N15+M15</f>
        <v/>
      </c>
      <c r="U15" s="2">
        <f>AC15*1%</f>
        <v/>
      </c>
      <c r="V15" s="44">
        <f>AC15*5%</f>
        <v/>
      </c>
      <c r="W15" s="2">
        <f>AC15*1%</f>
        <v/>
      </c>
      <c r="X15" s="2">
        <f>AC15*8%</f>
        <v/>
      </c>
      <c r="Y15" s="2">
        <f>U15+V15+W15+X15</f>
        <v/>
      </c>
      <c r="Z15" s="60">
        <f>Y15+T15+L15</f>
        <v/>
      </c>
      <c r="AA15" s="11">
        <f>Z15*20%</f>
        <v/>
      </c>
      <c r="AB15" s="12">
        <f>Z15+AA15</f>
        <v/>
      </c>
      <c r="AC15" s="2">
        <f>D15*2.1</f>
        <v/>
      </c>
      <c r="AD15" s="12">
        <f>AB15-AC15</f>
        <v/>
      </c>
      <c r="AE15" s="12">
        <f>AD15/AB15*100</f>
        <v/>
      </c>
      <c r="AF15" s="92" t="n">
        <v>245</v>
      </c>
      <c r="AG15" s="62">
        <f>((AF15-L15)/L15)*100</f>
        <v/>
      </c>
      <c r="AH15" s="106">
        <f>AJ15-AF15</f>
        <v/>
      </c>
      <c r="AI15" s="65">
        <f>AB15</f>
        <v/>
      </c>
      <c r="AJ15" s="65" t="n">
        <v>275</v>
      </c>
      <c r="AK15" s="66">
        <f>(AJ15-L15)/L15*100</f>
        <v/>
      </c>
      <c r="AL15" s="66" t="n"/>
      <c r="AM15" s="14">
        <f>AH15/AJ15%</f>
        <v/>
      </c>
      <c r="AN15" s="67">
        <f>AK15-AG15</f>
        <v/>
      </c>
      <c r="AO15" s="68">
        <f>AJ15/L15</f>
        <v/>
      </c>
      <c r="AP15" s="69">
        <f>(AJ15-AB15)/100</f>
        <v/>
      </c>
      <c r="AQ15" s="70">
        <f>(AJ15-AC15)/100</f>
        <v/>
      </c>
      <c r="AR15" s="71">
        <f>AI15/94</f>
        <v/>
      </c>
      <c r="AS15" s="71">
        <f>AJ15/94</f>
        <v/>
      </c>
      <c r="AT15" s="72">
        <f>AI15/24</f>
        <v/>
      </c>
      <c r="AU15" s="72">
        <f>AJ15/24</f>
        <v/>
      </c>
      <c r="AV15" s="73">
        <f>AI15/125</f>
        <v/>
      </c>
      <c r="AW15" s="73">
        <f>AJ15/125</f>
        <v/>
      </c>
    </row>
    <row r="16" ht="15.75" customHeight="1" s="258">
      <c r="A16" s="2" t="n"/>
      <c r="B16" s="2" t="inlineStr">
        <is>
          <t>White</t>
        </is>
      </c>
      <c r="C16" s="2" t="inlineStr">
        <is>
          <t>NP-W-185</t>
        </is>
      </c>
      <c r="D16" s="118" t="n">
        <v>60</v>
      </c>
      <c r="F16" s="2" t="n">
        <v>60</v>
      </c>
      <c r="G16" s="118" t="n">
        <v>69091000</v>
      </c>
      <c r="H16" s="255" t="n">
        <v>0.18</v>
      </c>
      <c r="I16" s="2">
        <f>D16*H16</f>
        <v/>
      </c>
      <c r="K16" s="2" t="n">
        <v>20</v>
      </c>
      <c r="L16" s="4">
        <f>K16+J16+I16+F16+E16+D16</f>
        <v/>
      </c>
      <c r="M16" s="2">
        <f>D16*1%</f>
        <v/>
      </c>
      <c r="N16" s="12">
        <f>L16*8%</f>
        <v/>
      </c>
      <c r="O16" s="12">
        <f>L16*10%</f>
        <v/>
      </c>
      <c r="P16" s="12">
        <f>L16*5%</f>
        <v/>
      </c>
      <c r="Q16" s="12">
        <f>L16*2%</f>
        <v/>
      </c>
      <c r="R16" s="12">
        <f>AC16*0.5%</f>
        <v/>
      </c>
      <c r="S16" s="12">
        <f>L16*1%</f>
        <v/>
      </c>
      <c r="T16" s="60">
        <f>S16+Q16+P16+O16+N16+M16</f>
        <v/>
      </c>
      <c r="U16" s="2">
        <f>AC16*1%</f>
        <v/>
      </c>
      <c r="V16" s="44">
        <f>AC16*5%</f>
        <v/>
      </c>
      <c r="W16" s="2">
        <f>AC16*1%</f>
        <v/>
      </c>
      <c r="X16" s="2">
        <f>AC16*8%</f>
        <v/>
      </c>
      <c r="Y16" s="2">
        <f>U16+V16+W16+X16</f>
        <v/>
      </c>
      <c r="Z16" s="60">
        <f>Y16+T16+L16</f>
        <v/>
      </c>
      <c r="AA16" s="11">
        <f>Z16*20%</f>
        <v/>
      </c>
      <c r="AB16" s="12">
        <f>Z16+AA16</f>
        <v/>
      </c>
      <c r="AC16" s="2">
        <f>D16*2.1</f>
        <v/>
      </c>
      <c r="AD16" s="12">
        <f>AB16-AC16</f>
        <v/>
      </c>
      <c r="AE16" s="12">
        <f>AD16/AB16*100</f>
        <v/>
      </c>
      <c r="AF16" s="92" t="n">
        <v>245</v>
      </c>
      <c r="AG16" s="62">
        <f>((AF16-L16)/L16)*100</f>
        <v/>
      </c>
      <c r="AH16" s="106">
        <f>AJ16-AF16</f>
        <v/>
      </c>
      <c r="AI16" s="65">
        <f>AB16</f>
        <v/>
      </c>
      <c r="AJ16" s="65" t="n">
        <v>275</v>
      </c>
      <c r="AK16" s="66">
        <f>(AJ16-L16)/L16*100</f>
        <v/>
      </c>
      <c r="AL16" s="66" t="n"/>
      <c r="AM16" s="14">
        <f>AH16/AJ16%</f>
        <v/>
      </c>
      <c r="AN16" s="67">
        <f>AK16-AG16</f>
        <v/>
      </c>
      <c r="AO16" s="68">
        <f>AJ16/L16</f>
        <v/>
      </c>
      <c r="AP16" s="69">
        <f>(AJ16-AB16)/100</f>
        <v/>
      </c>
      <c r="AQ16" s="70">
        <f>(AJ16-AC16)/100</f>
        <v/>
      </c>
      <c r="AR16" s="71">
        <f>AI16/94</f>
        <v/>
      </c>
      <c r="AS16" s="71">
        <f>AJ16/94</f>
        <v/>
      </c>
      <c r="AT16" s="72">
        <f>AI16/24</f>
        <v/>
      </c>
      <c r="AU16" s="72">
        <f>AJ16/24</f>
        <v/>
      </c>
      <c r="AV16" s="73">
        <f>AI16/125</f>
        <v/>
      </c>
      <c r="AW16" s="73">
        <f>AJ16/125</f>
        <v/>
      </c>
    </row>
    <row r="17" ht="15.75" customHeight="1" s="258">
      <c r="A17" s="2" t="inlineStr">
        <is>
          <t>Tounge Cleaner</t>
        </is>
      </c>
      <c r="B17" s="2" t="inlineStr">
        <is>
          <t>Straight / pack-of-1</t>
        </is>
      </c>
      <c r="C17" s="2" t="inlineStr">
        <is>
          <t>TC-S-1</t>
        </is>
      </c>
      <c r="D17" s="118" t="n">
        <v>49</v>
      </c>
      <c r="F17" s="2" t="n">
        <v>30</v>
      </c>
      <c r="G17" s="74" t="n">
        <v>49090090</v>
      </c>
      <c r="H17" s="255" t="n">
        <v>0.05</v>
      </c>
      <c r="I17" s="2">
        <f>D17*H17</f>
        <v/>
      </c>
      <c r="K17" s="2" t="n">
        <v>2</v>
      </c>
      <c r="L17" s="4">
        <f>K17+J17+I17+F17+E17+D17</f>
        <v/>
      </c>
      <c r="M17" s="2">
        <f>D17*1%</f>
        <v/>
      </c>
      <c r="N17" s="12">
        <f>L17*8%</f>
        <v/>
      </c>
      <c r="O17" s="12">
        <f>L17*10%</f>
        <v/>
      </c>
      <c r="P17" s="12">
        <f>L17*5%</f>
        <v/>
      </c>
      <c r="Q17" s="12">
        <f>L17*2%</f>
        <v/>
      </c>
      <c r="R17" s="12">
        <f>AC17*0.5%</f>
        <v/>
      </c>
      <c r="S17" s="12">
        <f>L17*1%</f>
        <v/>
      </c>
      <c r="T17" s="60">
        <f>S17+Q17+P17+O17+N17+M17</f>
        <v/>
      </c>
      <c r="U17" s="2">
        <f>AC17*1%</f>
        <v/>
      </c>
      <c r="V17" s="44">
        <f>AC17*5%</f>
        <v/>
      </c>
      <c r="W17" s="2">
        <f>AC17*1%</f>
        <v/>
      </c>
      <c r="X17" s="2">
        <f>AC17*8%</f>
        <v/>
      </c>
      <c r="Y17" s="2">
        <f>U17+V17+W17+X17</f>
        <v/>
      </c>
      <c r="Z17" s="60">
        <f>Y17+T17+L17</f>
        <v/>
      </c>
      <c r="AA17" s="11">
        <f>Z17*20%</f>
        <v/>
      </c>
      <c r="AB17" s="12">
        <f>Z17+AA17</f>
        <v/>
      </c>
      <c r="AC17" s="2">
        <f>D17*2.1</f>
        <v/>
      </c>
      <c r="AD17" s="12">
        <f>AB17-AC17</f>
        <v/>
      </c>
      <c r="AE17" s="12">
        <f>AD17/AB17*100</f>
        <v/>
      </c>
      <c r="AF17" s="92" t="n">
        <v>165</v>
      </c>
      <c r="AG17" s="62">
        <f>((AF17-L17)/L17)*100</f>
        <v/>
      </c>
      <c r="AH17" s="106">
        <f>AJ17-AF17</f>
        <v/>
      </c>
      <c r="AI17" s="65" t="n">
        <v>210</v>
      </c>
      <c r="AJ17" s="92" t="n">
        <v>165</v>
      </c>
      <c r="AK17" s="66">
        <f>(AJ17-L17)/L17*100</f>
        <v/>
      </c>
      <c r="AL17" s="66" t="n"/>
      <c r="AM17" s="14">
        <f>AH17/AJ17%</f>
        <v/>
      </c>
      <c r="AN17" s="67">
        <f>AK17-AG17</f>
        <v/>
      </c>
      <c r="AO17" s="68">
        <f>AJ17/L17</f>
        <v/>
      </c>
      <c r="AP17" s="69">
        <f>(AJ17-AB17)/100</f>
        <v/>
      </c>
      <c r="AQ17" s="70">
        <f>(AJ17-AC17)/100</f>
        <v/>
      </c>
      <c r="AR17" s="71">
        <f>AI17/94</f>
        <v/>
      </c>
      <c r="AS17" s="71">
        <f>AJ17/94</f>
        <v/>
      </c>
      <c r="AT17" s="72">
        <f>AI17/24</f>
        <v/>
      </c>
      <c r="AU17" s="72">
        <f>AJ17/24</f>
        <v/>
      </c>
      <c r="AV17" s="73">
        <f>AI17/125</f>
        <v/>
      </c>
      <c r="AW17" s="73">
        <f>AJ17/125</f>
        <v/>
      </c>
    </row>
    <row r="18" ht="15.75" customHeight="1" s="258">
      <c r="A18" s="2" t="n"/>
      <c r="B18" s="2" t="inlineStr">
        <is>
          <t>Straight / pack-of-2</t>
        </is>
      </c>
      <c r="C18" s="2" t="inlineStr">
        <is>
          <t>TC-S-2</t>
        </is>
      </c>
      <c r="D18" s="118" t="n">
        <v>98</v>
      </c>
      <c r="F18" s="2" t="n">
        <v>30</v>
      </c>
      <c r="G18" s="74" t="n">
        <v>49090090</v>
      </c>
      <c r="H18" s="255" t="n">
        <v>0.05</v>
      </c>
      <c r="I18" s="2">
        <f>D18*H18</f>
        <v/>
      </c>
      <c r="K18" s="2" t="n">
        <v>2</v>
      </c>
      <c r="L18" s="4">
        <f>K18+J18+I18+F18+E18+D18</f>
        <v/>
      </c>
      <c r="M18" s="2">
        <f>D18*1%</f>
        <v/>
      </c>
      <c r="N18" s="12">
        <f>L18*8%</f>
        <v/>
      </c>
      <c r="O18" s="12">
        <f>L18*10%</f>
        <v/>
      </c>
      <c r="P18" s="12">
        <f>L18*5%</f>
        <v/>
      </c>
      <c r="Q18" s="12">
        <f>L18*2%</f>
        <v/>
      </c>
      <c r="R18" s="12">
        <f>AC18*0.5%</f>
        <v/>
      </c>
      <c r="S18" s="12">
        <f>L18*1%</f>
        <v/>
      </c>
      <c r="T18" s="60">
        <f>S18+Q18+P18+O18+N18+M18</f>
        <v/>
      </c>
      <c r="U18" s="2">
        <f>AC18*1%</f>
        <v/>
      </c>
      <c r="V18" s="44">
        <f>AC18*5%</f>
        <v/>
      </c>
      <c r="W18" s="2">
        <f>AC18*1%</f>
        <v/>
      </c>
      <c r="X18" s="2">
        <f>AC18*8%</f>
        <v/>
      </c>
      <c r="Y18" s="2">
        <f>U18+V18+W18+X18</f>
        <v/>
      </c>
      <c r="Z18" s="60">
        <f>Y18+T18+L18</f>
        <v/>
      </c>
      <c r="AA18" s="11">
        <f>Z18*20%</f>
        <v/>
      </c>
      <c r="AB18" s="12">
        <f>Z18+AA18</f>
        <v/>
      </c>
      <c r="AC18" s="2">
        <f>D18*2.1</f>
        <v/>
      </c>
      <c r="AD18" s="12">
        <f>AB18-AC18</f>
        <v/>
      </c>
      <c r="AE18" s="12">
        <f>AD18/AB18*100</f>
        <v/>
      </c>
      <c r="AF18" s="92" t="n">
        <v>265</v>
      </c>
      <c r="AG18" s="62">
        <f>((AF18-L18)/L18)*100</f>
        <v/>
      </c>
      <c r="AH18" s="106">
        <f>AJ18-AF18</f>
        <v/>
      </c>
      <c r="AI18" s="65" t="n">
        <v>340</v>
      </c>
      <c r="AJ18" s="92" t="n">
        <v>265</v>
      </c>
      <c r="AK18" s="66">
        <f>(AJ18-L18)/L18*100</f>
        <v/>
      </c>
      <c r="AL18" s="66" t="n"/>
      <c r="AM18" s="14">
        <f>AH18/AJ18%</f>
        <v/>
      </c>
      <c r="AN18" s="67">
        <f>AK18-AG18</f>
        <v/>
      </c>
      <c r="AO18" s="68">
        <f>AJ18/L18</f>
        <v/>
      </c>
      <c r="AP18" s="69">
        <f>(AJ18-AB18)/100</f>
        <v/>
      </c>
      <c r="AQ18" s="70">
        <f>(AJ18-AC18)/100</f>
        <v/>
      </c>
      <c r="AR18" s="71">
        <f>AI18/94</f>
        <v/>
      </c>
      <c r="AS18" s="71">
        <f>AJ18/94</f>
        <v/>
      </c>
      <c r="AT18" s="72">
        <f>AI18/24</f>
        <v/>
      </c>
      <c r="AU18" s="72">
        <f>AJ18/24</f>
        <v/>
      </c>
      <c r="AV18" s="73">
        <f>AI18/125</f>
        <v/>
      </c>
      <c r="AW18" s="73">
        <f>AJ18/125</f>
        <v/>
      </c>
    </row>
    <row r="19" ht="15.75" customHeight="1" s="258">
      <c r="A19" s="2" t="n"/>
      <c r="B19" s="2" t="inlineStr">
        <is>
          <t>Straight / pack-of-4</t>
        </is>
      </c>
      <c r="C19" s="2" t="inlineStr">
        <is>
          <t>TC-S-4</t>
        </is>
      </c>
      <c r="D19" s="118" t="n">
        <v>196</v>
      </c>
      <c r="F19" s="2" t="n">
        <v>30</v>
      </c>
      <c r="G19" s="74" t="n">
        <v>49090090</v>
      </c>
      <c r="H19" s="255" t="n">
        <v>0.05</v>
      </c>
      <c r="I19" s="2">
        <f>D19*H19</f>
        <v/>
      </c>
      <c r="K19" s="2" t="n">
        <v>2</v>
      </c>
      <c r="L19" s="4">
        <f>K19+J19+I19+F19+E19+D19</f>
        <v/>
      </c>
      <c r="M19" s="2">
        <f>D19*1%</f>
        <v/>
      </c>
      <c r="N19" s="12">
        <f>L19*8%</f>
        <v/>
      </c>
      <c r="O19" s="12">
        <f>L19*10%</f>
        <v/>
      </c>
      <c r="P19" s="12">
        <f>L19*5%</f>
        <v/>
      </c>
      <c r="Q19" s="12">
        <f>L19*2%</f>
        <v/>
      </c>
      <c r="R19" s="12">
        <f>AC19*0.5%</f>
        <v/>
      </c>
      <c r="S19" s="12">
        <f>L19*1%</f>
        <v/>
      </c>
      <c r="T19" s="60">
        <f>S19+Q19+P19+O19+N19+M19</f>
        <v/>
      </c>
      <c r="U19" s="2">
        <f>AC19*1%</f>
        <v/>
      </c>
      <c r="V19" s="44">
        <f>AC19*5%</f>
        <v/>
      </c>
      <c r="W19" s="2">
        <f>AC19*1%</f>
        <v/>
      </c>
      <c r="X19" s="2">
        <f>AC19*8%</f>
        <v/>
      </c>
      <c r="Y19" s="2">
        <f>U19+V19+W19+X19</f>
        <v/>
      </c>
      <c r="Z19" s="60">
        <f>Y19+T19+L19</f>
        <v/>
      </c>
      <c r="AA19" s="11">
        <f>Z19*20%</f>
        <v/>
      </c>
      <c r="AB19" s="12">
        <f>Z19+AA19</f>
        <v/>
      </c>
      <c r="AC19" s="2">
        <f>D19*2.1</f>
        <v/>
      </c>
      <c r="AD19" s="12">
        <f>AB19-AC19</f>
        <v/>
      </c>
      <c r="AE19" s="12">
        <f>AD19/AB19*100</f>
        <v/>
      </c>
      <c r="AF19" s="92" t="n">
        <v>395</v>
      </c>
      <c r="AG19" s="62">
        <f>((AF19-L19)/L19)*100</f>
        <v/>
      </c>
      <c r="AH19" s="106">
        <f>AJ19-AF19</f>
        <v/>
      </c>
      <c r="AI19" s="65">
        <f>AB19</f>
        <v/>
      </c>
      <c r="AJ19" s="92" t="n">
        <v>395</v>
      </c>
      <c r="AK19" s="66">
        <f>(AJ19-L19)/L19*100</f>
        <v/>
      </c>
      <c r="AL19" s="66" t="n"/>
      <c r="AM19" s="14">
        <f>AH19/AJ19%</f>
        <v/>
      </c>
      <c r="AN19" s="67">
        <f>AK19-AG19</f>
        <v/>
      </c>
      <c r="AO19" s="68">
        <f>AJ19/L19</f>
        <v/>
      </c>
      <c r="AP19" s="69">
        <f>(AJ19-AB19)/100</f>
        <v/>
      </c>
      <c r="AQ19" s="70">
        <f>(AJ19-AC19)/100</f>
        <v/>
      </c>
      <c r="AR19" s="71">
        <f>AI19/94</f>
        <v/>
      </c>
      <c r="AS19" s="71">
        <f>AJ19/94</f>
        <v/>
      </c>
      <c r="AT19" s="72">
        <f>AI19/24</f>
        <v/>
      </c>
      <c r="AU19" s="72">
        <f>AJ19/24</f>
        <v/>
      </c>
      <c r="AV19" s="73">
        <f>AI19/125</f>
        <v/>
      </c>
      <c r="AW19" s="73">
        <f>AJ19/125</f>
        <v/>
      </c>
    </row>
    <row r="20" ht="15" customHeight="1" s="258">
      <c r="A20" s="2" t="inlineStr">
        <is>
          <t>7 Chakras Copper Water Bottles</t>
        </is>
      </c>
      <c r="B20" s="2" t="inlineStr">
        <is>
          <t>7 Chakras Plain / With Brush / 500ml</t>
        </is>
      </c>
      <c r="C20" s="2" t="inlineStr">
        <is>
          <t>CB-7CP-B-.5</t>
        </is>
      </c>
      <c r="D20" s="118" t="n">
        <v>390</v>
      </c>
      <c r="E20" s="2" t="n">
        <v>50</v>
      </c>
      <c r="F20" s="2" t="n">
        <v>85</v>
      </c>
      <c r="G20" s="118" t="n">
        <v>741810</v>
      </c>
      <c r="H20" s="255" t="n">
        <v>0.05</v>
      </c>
      <c r="I20" s="2">
        <f>D20*H20</f>
        <v/>
      </c>
      <c r="J20" s="2" t="n">
        <v>0</v>
      </c>
      <c r="K20" s="2" t="n">
        <v>20</v>
      </c>
      <c r="L20" s="4">
        <f>K20+J20+I20+F20+E20+D20</f>
        <v/>
      </c>
      <c r="M20" s="2">
        <f>D20*1%</f>
        <v/>
      </c>
      <c r="N20" s="12">
        <f>L20*8%</f>
        <v/>
      </c>
      <c r="O20" s="12">
        <f>L20*10%</f>
        <v/>
      </c>
      <c r="P20" s="12">
        <f>L20*5%</f>
        <v/>
      </c>
      <c r="Q20" s="12">
        <f>L20*2%</f>
        <v/>
      </c>
      <c r="R20" s="12">
        <f>AC20*0.5%</f>
        <v/>
      </c>
      <c r="S20" s="12">
        <f>L20*1%</f>
        <v/>
      </c>
      <c r="T20" s="60">
        <f>S20+Q20+P20+O20+N20+M20</f>
        <v/>
      </c>
      <c r="U20" s="2">
        <f>AC20*1%</f>
        <v/>
      </c>
      <c r="V20" s="44">
        <f>AC20*5%</f>
        <v/>
      </c>
      <c r="W20" s="2">
        <f>AC20*1%</f>
        <v/>
      </c>
      <c r="X20" s="2">
        <f>AC20*8%</f>
        <v/>
      </c>
      <c r="Y20" s="2">
        <f>U20+V20+W20+X20</f>
        <v/>
      </c>
      <c r="Z20" s="60">
        <f>Y20+T20+L20</f>
        <v/>
      </c>
      <c r="AA20" s="11">
        <f>Z20*20%</f>
        <v/>
      </c>
      <c r="AB20" s="12">
        <f>Z20+AA20</f>
        <v/>
      </c>
      <c r="AC20" s="2">
        <f>D20*2.1</f>
        <v/>
      </c>
      <c r="AD20" s="12">
        <f>AB20-AC20</f>
        <v/>
      </c>
      <c r="AE20" s="12">
        <f>AD20/AB20*100</f>
        <v/>
      </c>
      <c r="AF20" s="12" t="n">
        <v>995</v>
      </c>
      <c r="AG20" s="62">
        <f>((AF20-L20)/L20)*100</f>
        <v/>
      </c>
      <c r="AH20" s="106">
        <f>AJ20-AF20</f>
        <v/>
      </c>
      <c r="AI20" s="65" t="n">
        <v>1090</v>
      </c>
      <c r="AJ20" s="65" t="n">
        <v>990</v>
      </c>
      <c r="AK20" s="66">
        <f>(AJ20-L20)/L20*100</f>
        <v/>
      </c>
      <c r="AL20" s="66" t="n"/>
      <c r="AM20" s="14">
        <f>(AH20/AJ20)*100</f>
        <v/>
      </c>
      <c r="AN20" s="67">
        <f>AK20-AG20</f>
        <v/>
      </c>
      <c r="AO20" s="68">
        <f>AJ20/L20</f>
        <v/>
      </c>
      <c r="AP20" s="69">
        <f>(AJ20-AB20)/100</f>
        <v/>
      </c>
      <c r="AQ20" s="70">
        <f>(AJ20-AC20)/100</f>
        <v/>
      </c>
      <c r="AR20" s="71">
        <f>AI20/94</f>
        <v/>
      </c>
      <c r="AS20" s="71">
        <f>AJ20/94</f>
        <v/>
      </c>
      <c r="AT20" s="72">
        <f>AI20/24</f>
        <v/>
      </c>
      <c r="AU20" s="72">
        <f>AJ20/24</f>
        <v/>
      </c>
      <c r="AV20" s="73">
        <f>AI20/125</f>
        <v/>
      </c>
      <c r="AW20" s="73">
        <f>AJ20/125</f>
        <v/>
      </c>
    </row>
    <row r="21" ht="15.75" customHeight="1" s="258">
      <c r="A21" s="2" t="n"/>
      <c r="B21" s="2" t="inlineStr">
        <is>
          <t>7 Chakras Plain / Without Brush / 1L</t>
        </is>
      </c>
      <c r="C21" s="2" t="inlineStr">
        <is>
          <t>CB-7CP</t>
        </is>
      </c>
      <c r="D21" s="118" t="n">
        <v>510</v>
      </c>
      <c r="F21" s="2" t="n">
        <v>85</v>
      </c>
      <c r="G21" s="118" t="n">
        <v>741810</v>
      </c>
      <c r="H21" s="255" t="n">
        <v>0.05</v>
      </c>
      <c r="I21" s="2">
        <f>D21*H21</f>
        <v/>
      </c>
      <c r="K21" s="2" t="n">
        <v>20</v>
      </c>
      <c r="L21" s="4">
        <f>K21+J21+I21+F21+E21+D21</f>
        <v/>
      </c>
      <c r="M21" s="2">
        <f>D21*1%</f>
        <v/>
      </c>
      <c r="N21" s="12">
        <f>L21*8%</f>
        <v/>
      </c>
      <c r="O21" s="12">
        <f>L21*10%</f>
        <v/>
      </c>
      <c r="P21" s="12">
        <f>L21*5%</f>
        <v/>
      </c>
      <c r="Q21" s="12">
        <f>L21*2%</f>
        <v/>
      </c>
      <c r="R21" s="12">
        <f>AC21*0.5%</f>
        <v/>
      </c>
      <c r="S21" s="12">
        <f>L21*1%</f>
        <v/>
      </c>
      <c r="T21" s="60">
        <f>S21+Q21+P21+O21+N21+M21</f>
        <v/>
      </c>
      <c r="U21" s="2">
        <f>AC21*1%</f>
        <v/>
      </c>
      <c r="V21" s="44">
        <f>AC21*5%</f>
        <v/>
      </c>
      <c r="W21" s="2">
        <f>AC21*1%</f>
        <v/>
      </c>
      <c r="X21" s="2">
        <f>AC21*8%</f>
        <v/>
      </c>
      <c r="Y21" s="2">
        <f>U21+V21+W21+X21</f>
        <v/>
      </c>
      <c r="Z21" s="60">
        <f>Y21+T21+L21</f>
        <v/>
      </c>
      <c r="AA21" s="11">
        <f>Z21*20%</f>
        <v/>
      </c>
      <c r="AB21" s="12">
        <f>Z21+AA21</f>
        <v/>
      </c>
      <c r="AC21" s="2">
        <f>D21*2.1</f>
        <v/>
      </c>
      <c r="AD21" s="12">
        <f>AB21-AC21</f>
        <v/>
      </c>
      <c r="AE21" s="12">
        <f>AD21/AB21*100</f>
        <v/>
      </c>
      <c r="AF21" s="92" t="n">
        <v>1245</v>
      </c>
      <c r="AG21" s="62">
        <f>((AF21-L21)/L21)*100</f>
        <v/>
      </c>
      <c r="AH21" s="106">
        <f>AJ21-AF21</f>
        <v/>
      </c>
      <c r="AI21" s="65" t="n">
        <v>1390</v>
      </c>
      <c r="AJ21" s="65" t="n">
        <v>1240</v>
      </c>
      <c r="AK21" s="66">
        <f>(AJ21-L21)/L21*100</f>
        <v/>
      </c>
      <c r="AL21" s="66" t="n"/>
      <c r="AM21" s="14">
        <f>(AH21/AJ21)*100</f>
        <v/>
      </c>
      <c r="AN21" s="67">
        <f>AK21-AG21</f>
        <v/>
      </c>
      <c r="AO21" s="68">
        <f>AJ21/L21</f>
        <v/>
      </c>
      <c r="AP21" s="69">
        <f>(AJ21-AB21)/100</f>
        <v/>
      </c>
      <c r="AQ21" s="70">
        <f>(AJ21-AC21)/100</f>
        <v/>
      </c>
      <c r="AR21" s="71">
        <f>AI21/94</f>
        <v/>
      </c>
      <c r="AS21" s="71">
        <f>AJ21/94</f>
        <v/>
      </c>
      <c r="AT21" s="72">
        <f>AI21/24</f>
        <v/>
      </c>
      <c r="AU21" s="72">
        <f>AJ21/24</f>
        <v/>
      </c>
      <c r="AV21" s="73">
        <f>AI21/125</f>
        <v/>
      </c>
      <c r="AW21" s="73">
        <f>AJ21/125</f>
        <v/>
      </c>
    </row>
    <row r="22" ht="15.75" customHeight="1" s="258">
      <c r="A22" s="2" t="n"/>
      <c r="B22" s="2" t="inlineStr">
        <is>
          <t>7 Chakras Plain / Without Brush / 500ml</t>
        </is>
      </c>
      <c r="C22" s="2" t="inlineStr">
        <is>
          <t>CB-7CP-.5</t>
        </is>
      </c>
      <c r="D22" s="118" t="n">
        <v>390</v>
      </c>
      <c r="E22" s="2" t="n"/>
      <c r="F22" s="2" t="n">
        <v>85</v>
      </c>
      <c r="G22" s="118" t="n">
        <v>741810</v>
      </c>
      <c r="H22" s="255" t="n">
        <v>0.05</v>
      </c>
      <c r="I22" s="2">
        <f>D22*H22</f>
        <v/>
      </c>
      <c r="K22" s="2" t="n">
        <v>20</v>
      </c>
      <c r="L22" s="4">
        <f>K22+J22+I22+F22+E22+D22</f>
        <v/>
      </c>
      <c r="M22" s="2">
        <f>D22*1%</f>
        <v/>
      </c>
      <c r="N22" s="12">
        <f>L22*8%</f>
        <v/>
      </c>
      <c r="O22" s="12">
        <f>L22*10%</f>
        <v/>
      </c>
      <c r="P22" s="12">
        <f>L22*5%</f>
        <v/>
      </c>
      <c r="Q22" s="12">
        <f>L22*2%</f>
        <v/>
      </c>
      <c r="R22" s="12">
        <f>AC22*0.5%</f>
        <v/>
      </c>
      <c r="S22" s="12">
        <f>L22*1%</f>
        <v/>
      </c>
      <c r="T22" s="60">
        <f>S22+Q22+P22+O22+N22+M22</f>
        <v/>
      </c>
      <c r="U22" s="2">
        <f>AC22*1%</f>
        <v/>
      </c>
      <c r="V22" s="44">
        <f>AC22*5%</f>
        <v/>
      </c>
      <c r="W22" s="2">
        <f>AC22*1%</f>
        <v/>
      </c>
      <c r="X22" s="2">
        <f>AC22*8%</f>
        <v/>
      </c>
      <c r="Y22" s="2">
        <f>U22+V22+W22+X22</f>
        <v/>
      </c>
      <c r="Z22" s="60">
        <f>Y22+T22+L22</f>
        <v/>
      </c>
      <c r="AA22" s="11">
        <f>Z22*20%</f>
        <v/>
      </c>
      <c r="AB22" s="12">
        <f>Z22+AA22</f>
        <v/>
      </c>
      <c r="AC22" s="2">
        <f>D22*2.1</f>
        <v/>
      </c>
      <c r="AD22" s="12">
        <f>AB22-AC22</f>
        <v/>
      </c>
      <c r="AE22" s="12">
        <f>AD22/AB22*100</f>
        <v/>
      </c>
      <c r="AF22" s="92" t="n">
        <v>925</v>
      </c>
      <c r="AG22" s="62">
        <f>((AF22-L22)/L22)*100</f>
        <v/>
      </c>
      <c r="AH22" s="106">
        <f>AJ22-AF22</f>
        <v/>
      </c>
      <c r="AI22" s="65" t="n">
        <v>1190</v>
      </c>
      <c r="AJ22" s="65" t="n">
        <v>990</v>
      </c>
      <c r="AK22" s="66">
        <f>(AJ22-L22)/L22*100</f>
        <v/>
      </c>
      <c r="AL22" s="66" t="n"/>
      <c r="AM22" s="14">
        <f>(AH22/AJ22)*100</f>
        <v/>
      </c>
      <c r="AN22" s="67">
        <f>AK22-AG22</f>
        <v/>
      </c>
      <c r="AO22" s="68">
        <f>AJ22/L22</f>
        <v/>
      </c>
      <c r="AP22" s="69">
        <f>(AJ22-AB22)/100</f>
        <v/>
      </c>
      <c r="AQ22" s="70">
        <f>(AJ22-AC22)/100</f>
        <v/>
      </c>
      <c r="AR22" s="71">
        <f>AI22/94</f>
        <v/>
      </c>
      <c r="AS22" s="71">
        <f>AJ22/94</f>
        <v/>
      </c>
      <c r="AT22" s="72">
        <f>AI22/24</f>
        <v/>
      </c>
      <c r="AU22" s="72">
        <f>AJ22/24</f>
        <v/>
      </c>
      <c r="AV22" s="73">
        <f>AI22/125</f>
        <v/>
      </c>
      <c r="AW22" s="73">
        <f>AJ22/125</f>
        <v/>
      </c>
    </row>
    <row r="23" ht="15.75" customHeight="1" s="258">
      <c r="A23" s="2" t="n"/>
      <c r="B23" s="2" t="inlineStr">
        <is>
          <t>7 Chakras Plain / 1L / With Brush</t>
        </is>
      </c>
      <c r="C23" s="2" t="inlineStr">
        <is>
          <t>CB-7CP-B</t>
        </is>
      </c>
      <c r="D23" s="118" t="n">
        <v>510</v>
      </c>
      <c r="E23" s="2" t="n">
        <v>50</v>
      </c>
      <c r="F23" s="2" t="n">
        <v>85</v>
      </c>
      <c r="G23" s="118" t="n">
        <v>741810</v>
      </c>
      <c r="H23" s="255" t="n">
        <v>0.05</v>
      </c>
      <c r="I23" s="2">
        <f>D23*H23</f>
        <v/>
      </c>
      <c r="K23" s="2" t="n">
        <v>20</v>
      </c>
      <c r="L23" s="4">
        <f>K23+J23+I23+F23+E23+D23</f>
        <v/>
      </c>
      <c r="M23" s="2">
        <f>D23*1%</f>
        <v/>
      </c>
      <c r="N23" s="12">
        <f>L23*8%</f>
        <v/>
      </c>
      <c r="O23" s="12">
        <f>L23*10%</f>
        <v/>
      </c>
      <c r="P23" s="12">
        <f>L23*5%</f>
        <v/>
      </c>
      <c r="Q23" s="12">
        <f>L23*2%</f>
        <v/>
      </c>
      <c r="R23" s="12">
        <f>AC23*0.5%</f>
        <v/>
      </c>
      <c r="S23" s="12">
        <f>L23*1%</f>
        <v/>
      </c>
      <c r="T23" s="60">
        <f>S23+Q23+P23+O23+N23+M23</f>
        <v/>
      </c>
      <c r="U23" s="2">
        <f>AC23*1%</f>
        <v/>
      </c>
      <c r="V23" s="44">
        <f>AC23*5%</f>
        <v/>
      </c>
      <c r="W23" s="2">
        <f>AC23*1%</f>
        <v/>
      </c>
      <c r="X23" s="2">
        <f>AC23*8%</f>
        <v/>
      </c>
      <c r="Y23" s="2">
        <f>U23+V23+W23+X23</f>
        <v/>
      </c>
      <c r="Z23" s="60">
        <f>Y23+T23+L23</f>
        <v/>
      </c>
      <c r="AA23" s="11">
        <f>Z23*20%</f>
        <v/>
      </c>
      <c r="AB23" s="12">
        <f>Z23+AA23</f>
        <v/>
      </c>
      <c r="AC23" s="2">
        <f>D23*2.1</f>
        <v/>
      </c>
      <c r="AD23" s="12">
        <f>AB23-AC23</f>
        <v/>
      </c>
      <c r="AE23" s="12">
        <f>AD23/AB23*100</f>
        <v/>
      </c>
      <c r="AF23" s="92" t="n">
        <v>1345</v>
      </c>
      <c r="AG23" s="62">
        <f>((AF23-L23)/L23)*100</f>
        <v/>
      </c>
      <c r="AH23" s="106">
        <f>AJ23-AF23</f>
        <v/>
      </c>
      <c r="AI23" s="65" t="n">
        <v>1490</v>
      </c>
      <c r="AJ23" s="65" t="n">
        <v>1350</v>
      </c>
      <c r="AK23" s="66">
        <f>(AJ23-L23)/L23*100</f>
        <v/>
      </c>
      <c r="AL23" s="66" t="n"/>
      <c r="AM23" s="14">
        <f>(AH23/AJ23)*100</f>
        <v/>
      </c>
      <c r="AN23" s="67">
        <f>AK23-AG23</f>
        <v/>
      </c>
      <c r="AO23" s="68">
        <f>AJ23/L23</f>
        <v/>
      </c>
      <c r="AP23" s="69">
        <f>(AJ23-AB23)/100</f>
        <v/>
      </c>
      <c r="AQ23" s="70">
        <f>(AJ23-AC23)/100</f>
        <v/>
      </c>
      <c r="AR23" s="71">
        <f>AI23/94</f>
        <v/>
      </c>
      <c r="AS23" s="71">
        <f>AJ23/94</f>
        <v/>
      </c>
      <c r="AT23" s="72">
        <f>AI23/24</f>
        <v/>
      </c>
      <c r="AU23" s="72">
        <f>AJ23/24</f>
        <v/>
      </c>
      <c r="AV23" s="73">
        <f>AI23/125</f>
        <v/>
      </c>
      <c r="AW23" s="73">
        <f>AJ23/125</f>
        <v/>
      </c>
    </row>
    <row r="24" ht="15.75" customHeight="1" s="258">
      <c r="A24" s="2" t="n"/>
      <c r="B24" s="2" t="inlineStr">
        <is>
          <t>Without Brush / 1L / 7 Chakras Vintage</t>
        </is>
      </c>
      <c r="C24" s="2" t="inlineStr">
        <is>
          <t>CB-7CV</t>
        </is>
      </c>
      <c r="D24" s="118" t="n">
        <v>520</v>
      </c>
      <c r="F24" s="2" t="n">
        <v>85</v>
      </c>
      <c r="G24" s="118" t="n">
        <v>741810</v>
      </c>
      <c r="H24" s="255" t="n">
        <v>0.05</v>
      </c>
      <c r="I24" s="2">
        <f>D24*H24</f>
        <v/>
      </c>
      <c r="K24" s="2" t="n">
        <v>20</v>
      </c>
      <c r="L24" s="4">
        <f>K24+J24+I24+F24+E24+D24</f>
        <v/>
      </c>
      <c r="M24" s="2">
        <f>D24*1%</f>
        <v/>
      </c>
      <c r="N24" s="12">
        <f>L24*8%</f>
        <v/>
      </c>
      <c r="O24" s="12">
        <f>L24*10%</f>
        <v/>
      </c>
      <c r="P24" s="12">
        <f>L24*5%</f>
        <v/>
      </c>
      <c r="Q24" s="12">
        <f>L24*2%</f>
        <v/>
      </c>
      <c r="R24" s="12">
        <f>AC24*0.5%</f>
        <v/>
      </c>
      <c r="S24" s="12">
        <f>L24*1%</f>
        <v/>
      </c>
      <c r="T24" s="60">
        <f>S24+Q24+P24+O24+N24+M24</f>
        <v/>
      </c>
      <c r="U24" s="2">
        <f>AC24*1%</f>
        <v/>
      </c>
      <c r="V24" s="44">
        <f>AC24*5%</f>
        <v/>
      </c>
      <c r="W24" s="2">
        <f>AC24*1%</f>
        <v/>
      </c>
      <c r="X24" s="2">
        <f>AC24*8%</f>
        <v/>
      </c>
      <c r="Y24" s="2">
        <f>U24+V24+W24+X24</f>
        <v/>
      </c>
      <c r="Z24" s="60">
        <f>Y24+T24+L24</f>
        <v/>
      </c>
      <c r="AA24" s="11">
        <f>Z24*20%</f>
        <v/>
      </c>
      <c r="AB24" s="12">
        <f>Z24+AA24</f>
        <v/>
      </c>
      <c r="AC24" s="2">
        <f>D24*2.1</f>
        <v/>
      </c>
      <c r="AD24" s="12">
        <f>AB24-AC24</f>
        <v/>
      </c>
      <c r="AE24" s="12">
        <f>AD24/AB24*100</f>
        <v/>
      </c>
      <c r="AF24" s="92" t="n">
        <v>1245</v>
      </c>
      <c r="AG24" s="62">
        <f>((AF24-L24)/L24)*100</f>
        <v/>
      </c>
      <c r="AH24" s="106">
        <f>AJ24-AF24</f>
        <v/>
      </c>
      <c r="AI24" s="65" t="n">
        <v>1390</v>
      </c>
      <c r="AJ24" s="65" t="n">
        <v>1290</v>
      </c>
      <c r="AK24" s="66">
        <f>(AJ24-L24)/L24*100</f>
        <v/>
      </c>
      <c r="AL24" s="66" t="n"/>
      <c r="AM24" s="14">
        <f>(AH24/AJ24)*100</f>
        <v/>
      </c>
      <c r="AN24" s="67">
        <f>AK24-AG24</f>
        <v/>
      </c>
      <c r="AO24" s="68">
        <f>AJ24/L24</f>
        <v/>
      </c>
      <c r="AP24" s="69">
        <f>(AJ24-AB24)/100</f>
        <v/>
      </c>
      <c r="AQ24" s="70">
        <f>(AJ24-AC24)/100</f>
        <v/>
      </c>
      <c r="AR24" s="71">
        <f>AI24/94</f>
        <v/>
      </c>
      <c r="AS24" s="71">
        <f>AJ24/94</f>
        <v/>
      </c>
      <c r="AT24" s="72">
        <f>AI24/24</f>
        <v/>
      </c>
      <c r="AU24" s="72">
        <f>AJ24/24</f>
        <v/>
      </c>
      <c r="AV24" s="73">
        <f>AI24/125</f>
        <v/>
      </c>
      <c r="AW24" s="73">
        <f>AJ24/125</f>
        <v/>
      </c>
    </row>
    <row r="25" ht="15.75" customHeight="1" s="258">
      <c r="A25" s="2" t="n"/>
      <c r="B25" s="2" t="inlineStr">
        <is>
          <t>Without Brush / 7 Chakras Vintage / 500ml</t>
        </is>
      </c>
      <c r="C25" s="2" t="inlineStr">
        <is>
          <t>CB-7CV-.5</t>
        </is>
      </c>
      <c r="D25" s="118" t="n">
        <v>550</v>
      </c>
      <c r="F25" s="2" t="n">
        <v>85</v>
      </c>
      <c r="G25" s="118" t="n">
        <v>741810</v>
      </c>
      <c r="H25" s="255" t="n">
        <v>0.05</v>
      </c>
      <c r="I25" s="2">
        <f>D25*H25</f>
        <v/>
      </c>
      <c r="K25" s="2" t="n">
        <v>20</v>
      </c>
      <c r="L25" s="4">
        <f>K25+J25+I25+F25+E25+D25</f>
        <v/>
      </c>
      <c r="M25" s="2">
        <f>D25*1%</f>
        <v/>
      </c>
      <c r="N25" s="12">
        <f>L25*8%</f>
        <v/>
      </c>
      <c r="O25" s="12">
        <f>L25*10%</f>
        <v/>
      </c>
      <c r="P25" s="12">
        <f>L25*5%</f>
        <v/>
      </c>
      <c r="Q25" s="12">
        <f>L25*2%</f>
        <v/>
      </c>
      <c r="R25" s="12">
        <f>AC25*0.5%</f>
        <v/>
      </c>
      <c r="S25" s="12">
        <f>L25*1%</f>
        <v/>
      </c>
      <c r="T25" s="60">
        <f>S25+Q25+P25+O25+N25+M25</f>
        <v/>
      </c>
      <c r="U25" s="2">
        <f>AC25*1%</f>
        <v/>
      </c>
      <c r="V25" s="44">
        <f>AC25*5%</f>
        <v/>
      </c>
      <c r="W25" s="2">
        <f>AC25*1%</f>
        <v/>
      </c>
      <c r="X25" s="2">
        <f>AC25*8%</f>
        <v/>
      </c>
      <c r="Y25" s="2">
        <f>U25+V25+W25+X25</f>
        <v/>
      </c>
      <c r="Z25" s="60">
        <f>Y25+T25+L25</f>
        <v/>
      </c>
      <c r="AA25" s="11">
        <f>Z25*20%</f>
        <v/>
      </c>
      <c r="AB25" s="12">
        <f>Z25+AA25</f>
        <v/>
      </c>
      <c r="AC25" s="2">
        <f>D25*2.1</f>
        <v/>
      </c>
      <c r="AD25" s="12">
        <f>AB25-AC25</f>
        <v/>
      </c>
      <c r="AE25" s="12">
        <f>AD25/AB25*100</f>
        <v/>
      </c>
      <c r="AF25" s="92" t="n">
        <v>925</v>
      </c>
      <c r="AG25" s="62">
        <f>((AF25-L25)/L25)*100</f>
        <v/>
      </c>
      <c r="AH25" s="106">
        <f>AJ25-AF25</f>
        <v/>
      </c>
      <c r="AI25" s="65" t="n">
        <v>1190</v>
      </c>
      <c r="AJ25" s="65" t="n">
        <v>1090</v>
      </c>
      <c r="AK25" s="66">
        <f>(AJ25-L25)/L25*100</f>
        <v/>
      </c>
      <c r="AL25" s="66" t="n"/>
      <c r="AM25" s="14">
        <f>(AH25/AJ25)*100</f>
        <v/>
      </c>
      <c r="AN25" s="67">
        <f>AK25-AG25</f>
        <v/>
      </c>
      <c r="AO25" s="68">
        <f>AJ25/L25</f>
        <v/>
      </c>
      <c r="AP25" s="69">
        <f>(AJ25-AB25)/100</f>
        <v/>
      </c>
      <c r="AQ25" s="70">
        <f>(AJ25-AC25)/100</f>
        <v/>
      </c>
      <c r="AR25" s="71">
        <f>AI25/94</f>
        <v/>
      </c>
      <c r="AS25" s="71">
        <f>AJ25/94</f>
        <v/>
      </c>
      <c r="AT25" s="72">
        <f>AI25/24</f>
        <v/>
      </c>
      <c r="AU25" s="72">
        <f>AJ25/24</f>
        <v/>
      </c>
      <c r="AV25" s="73">
        <f>AI25/125</f>
        <v/>
      </c>
      <c r="AW25" s="73">
        <f>AJ25/125</f>
        <v/>
      </c>
    </row>
    <row r="26" ht="15.75" customHeight="1" s="258">
      <c r="A26" s="2" t="n"/>
      <c r="B26" s="2" t="inlineStr">
        <is>
          <t>1L / 7 Chakras Vintage / With Brush</t>
        </is>
      </c>
      <c r="C26" s="2" t="inlineStr">
        <is>
          <t>CB-7CV-B</t>
        </is>
      </c>
      <c r="D26" s="118" t="n">
        <v>520</v>
      </c>
      <c r="E26" s="2" t="n">
        <v>50</v>
      </c>
      <c r="F26" s="2" t="n">
        <v>85</v>
      </c>
      <c r="G26" s="118" t="n">
        <v>741810</v>
      </c>
      <c r="H26" s="255" t="n">
        <v>0.05</v>
      </c>
      <c r="I26" s="2">
        <f>D26*H26</f>
        <v/>
      </c>
      <c r="K26" s="2" t="n">
        <v>20</v>
      </c>
      <c r="L26" s="4">
        <f>K26+J26+I26+F26+E26+D26</f>
        <v/>
      </c>
      <c r="M26" s="2">
        <f>D26*1%</f>
        <v/>
      </c>
      <c r="N26" s="12">
        <f>L26*8%</f>
        <v/>
      </c>
      <c r="O26" s="12">
        <f>L26*10%</f>
        <v/>
      </c>
      <c r="P26" s="12">
        <f>L26*5%</f>
        <v/>
      </c>
      <c r="Q26" s="12">
        <f>L26*2%</f>
        <v/>
      </c>
      <c r="R26" s="12">
        <f>AC26*0.5%</f>
        <v/>
      </c>
      <c r="S26" s="12">
        <f>L26*1%</f>
        <v/>
      </c>
      <c r="T26" s="60">
        <f>S26+Q26+P26+O26+N26+M26</f>
        <v/>
      </c>
      <c r="U26" s="2">
        <f>AC26*1%</f>
        <v/>
      </c>
      <c r="V26" s="44">
        <f>AC26*5%</f>
        <v/>
      </c>
      <c r="W26" s="2">
        <f>AC26*1%</f>
        <v/>
      </c>
      <c r="X26" s="2">
        <f>AC26*8%</f>
        <v/>
      </c>
      <c r="Y26" s="2">
        <f>U26+V26+W26+X26</f>
        <v/>
      </c>
      <c r="Z26" s="60">
        <f>Y26+T26+L26</f>
        <v/>
      </c>
      <c r="AA26" s="11">
        <f>Z26*20%</f>
        <v/>
      </c>
      <c r="AB26" s="12">
        <f>Z26+AA26</f>
        <v/>
      </c>
      <c r="AC26" s="2">
        <f>D26*2.1</f>
        <v/>
      </c>
      <c r="AD26" s="12">
        <f>AB26-AC26</f>
        <v/>
      </c>
      <c r="AE26" s="12">
        <f>AD26/AB26*100</f>
        <v/>
      </c>
      <c r="AF26" s="92" t="n">
        <v>1345</v>
      </c>
      <c r="AG26" s="62">
        <f>((AF26-L26)/L26)*100</f>
        <v/>
      </c>
      <c r="AH26" s="106">
        <f>AJ26-AF26</f>
        <v/>
      </c>
      <c r="AI26" s="65" t="n">
        <v>1490</v>
      </c>
      <c r="AJ26" s="65" t="n">
        <v>1390</v>
      </c>
      <c r="AK26" s="66">
        <f>(AJ26-L26)/L26*100</f>
        <v/>
      </c>
      <c r="AL26" s="66" t="n"/>
      <c r="AM26" s="14">
        <f>(AH26/AJ26)*100</f>
        <v/>
      </c>
      <c r="AN26" s="67">
        <f>AK26-AG26</f>
        <v/>
      </c>
      <c r="AO26" s="68">
        <f>AJ26/L26</f>
        <v/>
      </c>
      <c r="AP26" s="69">
        <f>(AJ26-AB26)/100</f>
        <v/>
      </c>
      <c r="AQ26" s="70">
        <f>(AJ26-AC26)/100</f>
        <v/>
      </c>
      <c r="AR26" s="71">
        <f>AI26/94</f>
        <v/>
      </c>
      <c r="AS26" s="71">
        <f>AJ26/94</f>
        <v/>
      </c>
      <c r="AT26" s="72">
        <f>AI26/24</f>
        <v/>
      </c>
      <c r="AU26" s="72">
        <f>AJ26/24</f>
        <v/>
      </c>
      <c r="AV26" s="73">
        <f>AI26/125</f>
        <v/>
      </c>
      <c r="AW26" s="73">
        <f>AJ26/125</f>
        <v/>
      </c>
    </row>
    <row r="27" ht="15.75" customHeight="1" s="258">
      <c r="A27" s="2" t="n"/>
      <c r="B27" s="2" t="inlineStr">
        <is>
          <t>7 Chakras Vintage / With Brush / 500ml</t>
        </is>
      </c>
      <c r="C27" s="2" t="inlineStr">
        <is>
          <t>CB-7CV-B-.5</t>
        </is>
      </c>
      <c r="D27" s="118" t="n">
        <v>550</v>
      </c>
      <c r="E27" s="2" t="n">
        <v>50</v>
      </c>
      <c r="F27" s="2" t="n">
        <v>85</v>
      </c>
      <c r="G27" s="118" t="n">
        <v>741810</v>
      </c>
      <c r="H27" s="255" t="n">
        <v>0.05</v>
      </c>
      <c r="I27" s="2">
        <f>D27*H27</f>
        <v/>
      </c>
      <c r="K27" s="2" t="n">
        <v>20</v>
      </c>
      <c r="L27" s="4">
        <f>K27+J27+I27+F27+E27+D27</f>
        <v/>
      </c>
      <c r="M27" s="2">
        <f>D27*1%</f>
        <v/>
      </c>
      <c r="N27" s="12">
        <f>L27*8%</f>
        <v/>
      </c>
      <c r="O27" s="12">
        <f>L27*10%</f>
        <v/>
      </c>
      <c r="P27" s="12">
        <f>L27*5%</f>
        <v/>
      </c>
      <c r="Q27" s="12">
        <f>L27*2%</f>
        <v/>
      </c>
      <c r="R27" s="12">
        <f>AC27*0.5%</f>
        <v/>
      </c>
      <c r="S27" s="12">
        <f>L27*1%</f>
        <v/>
      </c>
      <c r="T27" s="60">
        <f>S27+Q27+P27+O27+N27+M27</f>
        <v/>
      </c>
      <c r="U27" s="2">
        <f>AC27*1%</f>
        <v/>
      </c>
      <c r="V27" s="44">
        <f>AC27*5%</f>
        <v/>
      </c>
      <c r="W27" s="2">
        <f>AC27*1%</f>
        <v/>
      </c>
      <c r="X27" s="2">
        <f>AC27*8%</f>
        <v/>
      </c>
      <c r="Y27" s="2">
        <f>U27+V27+W27+X27</f>
        <v/>
      </c>
      <c r="Z27" s="60">
        <f>Y27+T27+L27</f>
        <v/>
      </c>
      <c r="AA27" s="11">
        <f>Z27*20%</f>
        <v/>
      </c>
      <c r="AB27" s="12">
        <f>Z27+AA27</f>
        <v/>
      </c>
      <c r="AC27" s="2">
        <f>D27*2.1</f>
        <v/>
      </c>
      <c r="AD27" s="12">
        <f>AB27-AC27</f>
        <v/>
      </c>
      <c r="AE27" s="12">
        <f>AD27/AB27*100</f>
        <v/>
      </c>
      <c r="AF27" s="92" t="n">
        <v>995</v>
      </c>
      <c r="AG27" s="62">
        <f>((AF27-L27)/L27)*100</f>
        <v/>
      </c>
      <c r="AH27" s="106">
        <f>AJ27-AF27</f>
        <v/>
      </c>
      <c r="AI27" s="65" t="n">
        <v>1190</v>
      </c>
      <c r="AJ27" s="65" t="n">
        <v>1090</v>
      </c>
      <c r="AK27" s="66">
        <f>(AJ27-L27)/L27*100</f>
        <v/>
      </c>
      <c r="AL27" s="66" t="n"/>
      <c r="AM27" s="14">
        <f>(AH27/AJ27)*100</f>
        <v/>
      </c>
      <c r="AN27" s="67">
        <f>AK27-AG27</f>
        <v/>
      </c>
      <c r="AO27" s="68">
        <f>AJ27/L27</f>
        <v/>
      </c>
      <c r="AP27" s="69">
        <f>(AJ27-AB27)/100</f>
        <v/>
      </c>
      <c r="AQ27" s="70">
        <f>(AJ27-AC27)/100</f>
        <v/>
      </c>
      <c r="AR27" s="71">
        <f>AI27/94</f>
        <v/>
      </c>
      <c r="AS27" s="71">
        <f>AJ27/94</f>
        <v/>
      </c>
      <c r="AT27" s="72">
        <f>AI27/24</f>
        <v/>
      </c>
      <c r="AU27" s="72">
        <f>AJ27/24</f>
        <v/>
      </c>
      <c r="AV27" s="73">
        <f>AI27/125</f>
        <v/>
      </c>
      <c r="AW27" s="73">
        <f>AJ27/125</f>
        <v/>
      </c>
    </row>
    <row r="28" ht="15" customHeight="1" s="258">
      <c r="A28" s="2" t="inlineStr">
        <is>
          <t>7 Chakras Copper Water Bottles with Handle</t>
        </is>
      </c>
      <c r="B28" s="2" t="inlineStr">
        <is>
          <t>7 Chakras Plain / 1L / With Brush</t>
        </is>
      </c>
      <c r="C28" s="2" t="inlineStr">
        <is>
          <t>CB-7CP-B-1</t>
        </is>
      </c>
      <c r="D28" s="118" t="n">
        <v>530</v>
      </c>
      <c r="E28" s="2" t="n">
        <v>50</v>
      </c>
      <c r="F28" s="2" t="n">
        <v>85</v>
      </c>
      <c r="G28" s="118" t="n">
        <v>741810</v>
      </c>
      <c r="H28" s="255" t="n">
        <v>0.05</v>
      </c>
      <c r="I28" s="2">
        <f>D28*H28</f>
        <v/>
      </c>
      <c r="K28" s="2" t="n">
        <v>20</v>
      </c>
      <c r="L28" s="4">
        <f>K28+J28+I28+F28+E28+D28</f>
        <v/>
      </c>
      <c r="M28" s="2">
        <f>D28*1%</f>
        <v/>
      </c>
      <c r="N28" s="12">
        <f>L28*8%</f>
        <v/>
      </c>
      <c r="O28" s="12">
        <f>L28*10%</f>
        <v/>
      </c>
      <c r="P28" s="12">
        <f>L28*5%</f>
        <v/>
      </c>
      <c r="Q28" s="12">
        <f>L28*2%</f>
        <v/>
      </c>
      <c r="R28" s="12">
        <f>AC28*0.5%</f>
        <v/>
      </c>
      <c r="S28" s="12">
        <f>L28*1%</f>
        <v/>
      </c>
      <c r="T28" s="60">
        <f>S28+Q28+P28+O28+N28+M28</f>
        <v/>
      </c>
      <c r="U28" s="2">
        <f>AC28*1%</f>
        <v/>
      </c>
      <c r="V28" s="44">
        <f>AC28*5%</f>
        <v/>
      </c>
      <c r="W28" s="2">
        <f>AC28*1%</f>
        <v/>
      </c>
      <c r="X28" s="2">
        <f>AC28*8%</f>
        <v/>
      </c>
      <c r="Y28" s="2">
        <f>U28+V28+W28+X28</f>
        <v/>
      </c>
      <c r="Z28" s="60">
        <f>Y28+T28+L28</f>
        <v/>
      </c>
      <c r="AA28" s="11">
        <f>Z28*20%</f>
        <v/>
      </c>
      <c r="AB28" s="12">
        <f>Z28+AA28</f>
        <v/>
      </c>
      <c r="AC28" s="2">
        <f>D28*2.1</f>
        <v/>
      </c>
      <c r="AD28" s="12">
        <f>AB28-AC28</f>
        <v/>
      </c>
      <c r="AE28" s="12">
        <f>AD28/AB28*100</f>
        <v/>
      </c>
      <c r="AF28" s="92" t="n">
        <v>1345</v>
      </c>
      <c r="AG28" s="62">
        <f>((AF28-L28)/L28)*100</f>
        <v/>
      </c>
      <c r="AH28" s="106">
        <f>AJ28-AF28</f>
        <v/>
      </c>
      <c r="AI28" s="65" t="n">
        <v>1500</v>
      </c>
      <c r="AJ28" s="65">
        <f>AI28-(AI28*7%)</f>
        <v/>
      </c>
      <c r="AK28" s="66">
        <f>(AJ28-L28)/L28*100</f>
        <v/>
      </c>
      <c r="AL28" s="66" t="n"/>
      <c r="AM28" s="14">
        <f>(AH28/AJ28)*100</f>
        <v/>
      </c>
      <c r="AN28" s="67">
        <f>AK28-AG28</f>
        <v/>
      </c>
      <c r="AO28" s="68">
        <f>AJ28/L28</f>
        <v/>
      </c>
      <c r="AP28" s="69">
        <f>(AJ28-AB28)/100</f>
        <v/>
      </c>
      <c r="AQ28" s="70">
        <f>(AJ28-AC28)/100</f>
        <v/>
      </c>
      <c r="AR28" s="71">
        <f>AI28/94</f>
        <v/>
      </c>
      <c r="AS28" s="71">
        <f>AJ28/94</f>
        <v/>
      </c>
      <c r="AT28" s="72">
        <f>AI28/24</f>
        <v/>
      </c>
      <c r="AU28" s="72">
        <f>AJ28/24</f>
        <v/>
      </c>
      <c r="AV28" s="73">
        <f>AI28/125</f>
        <v/>
      </c>
      <c r="AW28" s="73">
        <f>AJ28/125</f>
        <v/>
      </c>
    </row>
    <row r="29" ht="15.75" customHeight="1" s="258">
      <c r="A29" s="2" t="n"/>
      <c r="B29" s="2" t="inlineStr">
        <is>
          <t>7 Chakras Plain / Without Brush / 1L</t>
        </is>
      </c>
      <c r="C29" s="2" t="inlineStr">
        <is>
          <t>CB-7CP-1</t>
        </is>
      </c>
      <c r="D29" s="118" t="n">
        <v>530</v>
      </c>
      <c r="F29" s="2" t="n">
        <v>35</v>
      </c>
      <c r="G29" s="118" t="n">
        <v>741810</v>
      </c>
      <c r="H29" s="255" t="n">
        <v>0.05</v>
      </c>
      <c r="I29" s="2">
        <f>D29*H29</f>
        <v/>
      </c>
      <c r="K29" s="2" t="n">
        <v>20</v>
      </c>
      <c r="L29" s="4">
        <f>K29+J29+I29+F29+E29+D29</f>
        <v/>
      </c>
      <c r="M29" s="2">
        <f>D29*1%</f>
        <v/>
      </c>
      <c r="N29" s="12">
        <f>L29*8%</f>
        <v/>
      </c>
      <c r="O29" s="12">
        <f>L29*10%</f>
        <v/>
      </c>
      <c r="P29" s="12">
        <f>L29*5%</f>
        <v/>
      </c>
      <c r="Q29" s="12">
        <f>L29*2%</f>
        <v/>
      </c>
      <c r="R29" s="12">
        <f>AC29*0.5%</f>
        <v/>
      </c>
      <c r="S29" s="12">
        <f>L29*1%</f>
        <v/>
      </c>
      <c r="T29" s="60">
        <f>S29+Q29+P29+O29+N29+M29</f>
        <v/>
      </c>
      <c r="U29" s="2">
        <f>AC29*1%</f>
        <v/>
      </c>
      <c r="V29" s="44">
        <f>AC29*5%</f>
        <v/>
      </c>
      <c r="W29" s="2">
        <f>AC29*1%</f>
        <v/>
      </c>
      <c r="X29" s="2">
        <f>AC29*8%</f>
        <v/>
      </c>
      <c r="Y29" s="2">
        <f>U29+V29+W29+X29</f>
        <v/>
      </c>
      <c r="Z29" s="60">
        <f>Y29+T29+L29</f>
        <v/>
      </c>
      <c r="AA29" s="11">
        <f>Z29*20%</f>
        <v/>
      </c>
      <c r="AB29" s="12">
        <f>Z29+AA29</f>
        <v/>
      </c>
      <c r="AC29" s="2">
        <f>D29*2.1</f>
        <v/>
      </c>
      <c r="AD29" s="12">
        <f>AB29-AC29</f>
        <v/>
      </c>
      <c r="AE29" s="12">
        <f>AD29/AB29*100</f>
        <v/>
      </c>
      <c r="AF29" s="92" t="n">
        <v>1245</v>
      </c>
      <c r="AG29" s="62">
        <f>((AF29-L29)/L29)*100</f>
        <v/>
      </c>
      <c r="AH29" s="106">
        <f>AJ29-AF29</f>
        <v/>
      </c>
      <c r="AI29" s="65" t="n">
        <v>1390</v>
      </c>
      <c r="AJ29" s="65" t="n">
        <v>1290</v>
      </c>
      <c r="AK29" s="66">
        <f>(AJ29-L29)/L29*100</f>
        <v/>
      </c>
      <c r="AL29" s="66" t="n"/>
      <c r="AM29" s="14">
        <f>(AH29/AJ29)*100</f>
        <v/>
      </c>
      <c r="AN29" s="67">
        <f>AK29-AG29</f>
        <v/>
      </c>
      <c r="AO29" s="68">
        <f>AJ29/L29</f>
        <v/>
      </c>
      <c r="AP29" s="69">
        <f>(AJ29-AB29)/100</f>
        <v/>
      </c>
      <c r="AQ29" s="70">
        <f>(AJ29-AC29)/100</f>
        <v/>
      </c>
      <c r="AR29" s="71">
        <f>AI29/94</f>
        <v/>
      </c>
      <c r="AS29" s="71">
        <f>AJ29/94</f>
        <v/>
      </c>
      <c r="AT29" s="72">
        <f>AI29/24</f>
        <v/>
      </c>
      <c r="AU29" s="72">
        <f>AJ29/24</f>
        <v/>
      </c>
      <c r="AV29" s="73">
        <f>AI29/125</f>
        <v/>
      </c>
      <c r="AW29" s="73">
        <f>AJ29/125</f>
        <v/>
      </c>
    </row>
    <row r="30" ht="15.75" customHeight="1" s="258">
      <c r="A30" s="2" t="n"/>
      <c r="B30" s="2" t="inlineStr">
        <is>
          <t>Without Brush / 1L / 7 Chakras Vintage</t>
        </is>
      </c>
      <c r="C30" s="2" t="inlineStr">
        <is>
          <t>CB-7CV-1</t>
        </is>
      </c>
      <c r="D30" s="118" t="n">
        <v>540</v>
      </c>
      <c r="F30" s="2" t="n">
        <v>35</v>
      </c>
      <c r="G30" s="118" t="n">
        <v>741810</v>
      </c>
      <c r="H30" s="255" t="n">
        <v>0.05</v>
      </c>
      <c r="I30" s="2">
        <f>D30*H30</f>
        <v/>
      </c>
      <c r="K30" s="2" t="n">
        <v>20</v>
      </c>
      <c r="L30" s="4">
        <f>K30+J30+I30+F30+E30+D30</f>
        <v/>
      </c>
      <c r="M30" s="2">
        <f>D30*1%</f>
        <v/>
      </c>
      <c r="N30" s="12">
        <f>L30*8%</f>
        <v/>
      </c>
      <c r="O30" s="12">
        <f>L30*10%</f>
        <v/>
      </c>
      <c r="P30" s="12">
        <f>L30*5%</f>
        <v/>
      </c>
      <c r="Q30" s="12">
        <f>L30*2%</f>
        <v/>
      </c>
      <c r="R30" s="12">
        <f>AC30*0.5%</f>
        <v/>
      </c>
      <c r="S30" s="12">
        <f>L30*1%</f>
        <v/>
      </c>
      <c r="T30" s="60">
        <f>S30+Q30+P30+O30+N30+M30</f>
        <v/>
      </c>
      <c r="U30" s="2">
        <f>AC30*1%</f>
        <v/>
      </c>
      <c r="V30" s="44">
        <f>AC30*5%</f>
        <v/>
      </c>
      <c r="W30" s="2">
        <f>AC30*1%</f>
        <v/>
      </c>
      <c r="X30" s="2">
        <f>AC30*8%</f>
        <v/>
      </c>
      <c r="Y30" s="2">
        <f>U30+V30+W30+X30</f>
        <v/>
      </c>
      <c r="Z30" s="60">
        <f>Y30+T30+L30</f>
        <v/>
      </c>
      <c r="AA30" s="11">
        <f>Z30*20%</f>
        <v/>
      </c>
      <c r="AB30" s="12">
        <f>Z30+AA30</f>
        <v/>
      </c>
      <c r="AC30" s="2">
        <f>D30*2.1</f>
        <v/>
      </c>
      <c r="AD30" s="12">
        <f>AB30-AC30</f>
        <v/>
      </c>
      <c r="AE30" s="12">
        <f>AD30/AB30*100</f>
        <v/>
      </c>
      <c r="AF30" s="92" t="n">
        <v>1245</v>
      </c>
      <c r="AG30" s="62">
        <f>((AF30-L30)/L30)*100</f>
        <v/>
      </c>
      <c r="AH30" s="106">
        <f>AJ30-AF30</f>
        <v/>
      </c>
      <c r="AI30" s="65" t="n">
        <v>1390</v>
      </c>
      <c r="AJ30" s="65" t="n">
        <v>1290</v>
      </c>
      <c r="AK30" s="66">
        <f>(AJ30-L30)/L30*100</f>
        <v/>
      </c>
      <c r="AL30" s="66" t="n"/>
      <c r="AM30" s="14">
        <f>(AH30/AJ30)*100</f>
        <v/>
      </c>
      <c r="AN30" s="67">
        <f>AK30-AG30</f>
        <v/>
      </c>
      <c r="AO30" s="68">
        <f>AJ30/L30</f>
        <v/>
      </c>
      <c r="AP30" s="69">
        <f>(AJ30-AB30)/100</f>
        <v/>
      </c>
      <c r="AQ30" s="70">
        <f>(AJ30-AC30)/100</f>
        <v/>
      </c>
      <c r="AR30" s="71">
        <f>AI30/94</f>
        <v/>
      </c>
      <c r="AS30" s="71">
        <f>AJ30/94</f>
        <v/>
      </c>
      <c r="AT30" s="72">
        <f>AI30/24</f>
        <v/>
      </c>
      <c r="AU30" s="72">
        <f>AJ30/24</f>
        <v/>
      </c>
      <c r="AV30" s="73">
        <f>AI30/125</f>
        <v/>
      </c>
      <c r="AW30" s="73">
        <f>AJ30/125</f>
        <v/>
      </c>
    </row>
    <row r="31" ht="15.75" customHeight="1" s="258">
      <c r="A31" s="2" t="n"/>
      <c r="B31" s="2" t="inlineStr">
        <is>
          <t>1L / 7 Chakras Vintage / With Brush</t>
        </is>
      </c>
      <c r="C31" s="2" t="inlineStr">
        <is>
          <t>CB-7CV-B-1</t>
        </is>
      </c>
      <c r="D31" s="118" t="n">
        <v>540</v>
      </c>
      <c r="E31" s="2" t="n">
        <v>50</v>
      </c>
      <c r="F31" s="2" t="n">
        <v>35</v>
      </c>
      <c r="G31" s="118" t="n">
        <v>741810</v>
      </c>
      <c r="H31" s="255" t="n">
        <v>0.05</v>
      </c>
      <c r="I31" s="2">
        <f>D31*H31</f>
        <v/>
      </c>
      <c r="K31" s="2" t="n">
        <v>20</v>
      </c>
      <c r="L31" s="4">
        <f>K31+J31+I31+F31+E31+D31</f>
        <v/>
      </c>
      <c r="M31" s="2">
        <f>D31*1%</f>
        <v/>
      </c>
      <c r="N31" s="12">
        <f>L31*8%</f>
        <v/>
      </c>
      <c r="O31" s="12">
        <f>L31*10%</f>
        <v/>
      </c>
      <c r="P31" s="12">
        <f>L31*5%</f>
        <v/>
      </c>
      <c r="Q31" s="12">
        <f>L31*2%</f>
        <v/>
      </c>
      <c r="R31" s="12">
        <f>AC31*0.5%</f>
        <v/>
      </c>
      <c r="S31" s="12">
        <f>L31*1%</f>
        <v/>
      </c>
      <c r="T31" s="60">
        <f>S31+Q31+P31+O31+N31+M31</f>
        <v/>
      </c>
      <c r="U31" s="2">
        <f>AC31*1%</f>
        <v/>
      </c>
      <c r="V31" s="44">
        <f>AC31*5%</f>
        <v/>
      </c>
      <c r="W31" s="2">
        <f>AC31*1%</f>
        <v/>
      </c>
      <c r="X31" s="2">
        <f>AC31*8%</f>
        <v/>
      </c>
      <c r="Y31" s="2">
        <f>U31+V31+W31+X31</f>
        <v/>
      </c>
      <c r="Z31" s="60">
        <f>Y31+T31+L31</f>
        <v/>
      </c>
      <c r="AA31" s="11">
        <f>Z31*20%</f>
        <v/>
      </c>
      <c r="AB31" s="12">
        <f>Z31+AA31</f>
        <v/>
      </c>
      <c r="AC31" s="2">
        <f>D31*2.1</f>
        <v/>
      </c>
      <c r="AD31" s="12">
        <f>AB31-AC31</f>
        <v/>
      </c>
      <c r="AE31" s="12">
        <f>AD31/AB31*100</f>
        <v/>
      </c>
      <c r="AF31" s="92" t="n">
        <v>1345</v>
      </c>
      <c r="AG31" s="62">
        <f>((AF31-L31)/L31)*100</f>
        <v/>
      </c>
      <c r="AH31" s="106">
        <f>AJ31-AF31</f>
        <v/>
      </c>
      <c r="AI31" s="65" t="n">
        <v>1500</v>
      </c>
      <c r="AJ31" s="65">
        <f>AI31-(AI31*7%)</f>
        <v/>
      </c>
      <c r="AK31" s="66">
        <f>(AJ31-L31)/L31*100</f>
        <v/>
      </c>
      <c r="AL31" s="66" t="n"/>
      <c r="AM31" s="14">
        <f>(AH31/AJ31)*100</f>
        <v/>
      </c>
      <c r="AN31" s="67">
        <f>AK31-AG31</f>
        <v/>
      </c>
      <c r="AO31" s="68">
        <f>AJ31/L31</f>
        <v/>
      </c>
      <c r="AP31" s="69">
        <f>(AJ31-AB31)/100</f>
        <v/>
      </c>
      <c r="AQ31" s="70">
        <f>(AJ31-AC31)/100</f>
        <v/>
      </c>
      <c r="AR31" s="71">
        <f>AI31/94</f>
        <v/>
      </c>
      <c r="AS31" s="71">
        <f>AJ31/94</f>
        <v/>
      </c>
      <c r="AT31" s="72">
        <f>AI31/24</f>
        <v/>
      </c>
      <c r="AU31" s="72">
        <f>AJ31/24</f>
        <v/>
      </c>
      <c r="AV31" s="73">
        <f>AI31/125</f>
        <v/>
      </c>
      <c r="AW31" s="73">
        <f>AJ31/125</f>
        <v/>
      </c>
    </row>
    <row r="32" ht="15" customHeight="1" s="258">
      <c r="A32" s="44" t="inlineStr">
        <is>
          <t>Curved Copper Bottles</t>
        </is>
      </c>
      <c r="B32" s="44" t="inlineStr">
        <is>
          <t>With Brush / gold</t>
        </is>
      </c>
      <c r="C32" s="44" t="inlineStr">
        <is>
          <t>CB-CP-B</t>
        </is>
      </c>
      <c r="D32" s="45" t="n">
        <v>510</v>
      </c>
      <c r="E32" s="44" t="n">
        <v>50</v>
      </c>
      <c r="F32" s="44" t="n">
        <v>85</v>
      </c>
      <c r="G32" s="45" t="n">
        <v>741810</v>
      </c>
      <c r="H32" s="115" t="n">
        <v>0.05</v>
      </c>
      <c r="I32" s="44">
        <f>D32*H32</f>
        <v/>
      </c>
      <c r="J32" s="113" t="n"/>
      <c r="K32" s="44" t="n">
        <v>20</v>
      </c>
      <c r="L32" s="48">
        <f>K32+J32+I32+F32+E32+D32</f>
        <v/>
      </c>
      <c r="M32" s="44">
        <f>D32*1%</f>
        <v/>
      </c>
      <c r="N32" s="49">
        <f>L32*8%</f>
        <v/>
      </c>
      <c r="O32" s="49">
        <f>L32*10%</f>
        <v/>
      </c>
      <c r="P32" s="49">
        <f>L32*5%</f>
        <v/>
      </c>
      <c r="Q32" s="49">
        <f>L32*2%</f>
        <v/>
      </c>
      <c r="R32" s="49">
        <f>AC32*0.5%</f>
        <v/>
      </c>
      <c r="S32" s="49">
        <f>L32*1%</f>
        <v/>
      </c>
      <c r="T32" s="50">
        <f>S32+Q32+P32+O32+N32+M32</f>
        <v/>
      </c>
      <c r="U32" s="44">
        <f>AC32*1%</f>
        <v/>
      </c>
      <c r="V32" s="44">
        <f>AC32*5%</f>
        <v/>
      </c>
      <c r="W32" s="44">
        <f>AC32*1%</f>
        <v/>
      </c>
      <c r="X32" s="44">
        <f>AC32*8%</f>
        <v/>
      </c>
      <c r="Y32" s="44">
        <f>U32+V32+W32+X32</f>
        <v/>
      </c>
      <c r="Z32" s="50">
        <f>Y32+T32+L32</f>
        <v/>
      </c>
      <c r="AA32" s="51">
        <f>Z32*20%</f>
        <v/>
      </c>
      <c r="AB32" s="49">
        <f>Z32+AA32</f>
        <v/>
      </c>
      <c r="AC32" s="44">
        <f>D32*2.1</f>
        <v/>
      </c>
      <c r="AD32" s="49">
        <f>AB32-AC32</f>
        <v/>
      </c>
      <c r="AE32" s="49">
        <f>AD32/AB32*100</f>
        <v/>
      </c>
      <c r="AF32" s="113" t="n">
        <v>1199</v>
      </c>
      <c r="AG32" s="116">
        <f>((AF32-L32)/L32)*100</f>
        <v/>
      </c>
      <c r="AH32" s="54">
        <f>AJ32-AF32</f>
        <v/>
      </c>
      <c r="AI32" s="54">
        <f>AB32</f>
        <v/>
      </c>
      <c r="AJ32" s="113" t="n">
        <v>1199</v>
      </c>
      <c r="AK32" s="55">
        <f>(AJ32-L32)/L32*100</f>
        <v/>
      </c>
      <c r="AL32" s="55" t="n"/>
      <c r="AM32" s="55">
        <f>AH32/AJ32%</f>
        <v/>
      </c>
      <c r="AN32" s="55">
        <f>AK32-AG32</f>
        <v/>
      </c>
      <c r="AO32" s="56">
        <f>AJ32/L32</f>
        <v/>
      </c>
      <c r="AP32" s="55">
        <f>(AJ32-AB32)/100</f>
        <v/>
      </c>
      <c r="AQ32" s="55">
        <f>(AJ32-AC32)/100</f>
        <v/>
      </c>
      <c r="AR32" s="57">
        <f>AI32/94</f>
        <v/>
      </c>
      <c r="AS32" s="57">
        <f>AJ32/94</f>
        <v/>
      </c>
      <c r="AT32" s="58">
        <f>AI32/24</f>
        <v/>
      </c>
      <c r="AU32" s="58">
        <f>AJ32/24</f>
        <v/>
      </c>
      <c r="AV32" s="58">
        <f>AI32/125</f>
        <v/>
      </c>
      <c r="AW32" s="58">
        <f>AJ32/125</f>
        <v/>
      </c>
      <c r="AX32" s="113" t="n"/>
      <c r="AY32" s="113" t="n"/>
    </row>
    <row r="33" ht="15.75" customHeight="1" s="258">
      <c r="A33" s="44" t="n"/>
      <c r="B33" s="44" t="inlineStr">
        <is>
          <t>Without Brush / gold</t>
        </is>
      </c>
      <c r="C33" s="44" t="inlineStr">
        <is>
          <t>CB-CP</t>
        </is>
      </c>
      <c r="D33" s="45" t="n">
        <v>510</v>
      </c>
      <c r="E33" s="113" t="n"/>
      <c r="F33" s="44" t="n">
        <v>85</v>
      </c>
      <c r="G33" s="45" t="n">
        <v>741810</v>
      </c>
      <c r="H33" s="115" t="n">
        <v>0.05</v>
      </c>
      <c r="I33" s="44">
        <f>D33*H33</f>
        <v/>
      </c>
      <c r="J33" s="113" t="n"/>
      <c r="K33" s="44" t="n">
        <v>20</v>
      </c>
      <c r="L33" s="48">
        <f>K33+J33+I33+F33+E33+D33</f>
        <v/>
      </c>
      <c r="M33" s="44">
        <f>D33*1%</f>
        <v/>
      </c>
      <c r="N33" s="49">
        <f>L33*8%</f>
        <v/>
      </c>
      <c r="O33" s="49">
        <f>L33*10%</f>
        <v/>
      </c>
      <c r="P33" s="49">
        <f>L33*5%</f>
        <v/>
      </c>
      <c r="Q33" s="49">
        <f>L33*2%</f>
        <v/>
      </c>
      <c r="R33" s="49">
        <f>AC33*0.5%</f>
        <v/>
      </c>
      <c r="S33" s="49">
        <f>L33*1%</f>
        <v/>
      </c>
      <c r="T33" s="50">
        <f>S33+Q33+P33+O33+N33+M33</f>
        <v/>
      </c>
      <c r="U33" s="44">
        <f>AC33*1%</f>
        <v/>
      </c>
      <c r="V33" s="44">
        <f>AC33*5%</f>
        <v/>
      </c>
      <c r="W33" s="44">
        <f>AC33*1%</f>
        <v/>
      </c>
      <c r="X33" s="44">
        <f>AC33*8%</f>
        <v/>
      </c>
      <c r="Y33" s="44">
        <f>U33+V33+W33+X33</f>
        <v/>
      </c>
      <c r="Z33" s="50">
        <f>Y33+T33+L33</f>
        <v/>
      </c>
      <c r="AA33" s="51">
        <f>Z33*20%</f>
        <v/>
      </c>
      <c r="AB33" s="49">
        <f>Z33+AA33</f>
        <v/>
      </c>
      <c r="AC33" s="44">
        <f>D33*2.1</f>
        <v/>
      </c>
      <c r="AD33" s="49">
        <f>AB33-AC33</f>
        <v/>
      </c>
      <c r="AE33" s="49">
        <f>AD33/AB33*100</f>
        <v/>
      </c>
      <c r="AF33" s="113" t="n">
        <v>1099</v>
      </c>
      <c r="AG33" s="116">
        <f>((AF33-L33)/L33)*100</f>
        <v/>
      </c>
      <c r="AH33" s="54">
        <f>AJ33-AF33</f>
        <v/>
      </c>
      <c r="AI33" s="54">
        <f>AB33</f>
        <v/>
      </c>
      <c r="AJ33" s="113" t="n">
        <v>1099</v>
      </c>
      <c r="AK33" s="55">
        <f>(AJ33-L33)/L33*100</f>
        <v/>
      </c>
      <c r="AL33" s="55" t="n"/>
      <c r="AM33" s="55">
        <f>AH33/AJ33%</f>
        <v/>
      </c>
      <c r="AN33" s="55">
        <f>AK33-AG33</f>
        <v/>
      </c>
      <c r="AO33" s="56">
        <f>AJ33/L33</f>
        <v/>
      </c>
      <c r="AP33" s="55">
        <f>(AJ33-AB33)/100</f>
        <v/>
      </c>
      <c r="AQ33" s="55">
        <f>(AJ33-AC33)/100</f>
        <v/>
      </c>
      <c r="AR33" s="57">
        <f>AI33/94</f>
        <v/>
      </c>
      <c r="AS33" s="57">
        <f>AJ33/94</f>
        <v/>
      </c>
      <c r="AT33" s="58">
        <f>AI33/24</f>
        <v/>
      </c>
      <c r="AU33" s="58">
        <f>AJ33/24</f>
        <v/>
      </c>
      <c r="AV33" s="58">
        <f>AI33/125</f>
        <v/>
      </c>
      <c r="AW33" s="58">
        <f>AJ33/125</f>
        <v/>
      </c>
      <c r="AX33" s="113" t="n"/>
      <c r="AY33" s="113" t="n"/>
    </row>
    <row r="34" ht="15.75" customHeight="1" s="258">
      <c r="A34" s="44" t="n"/>
      <c r="B34" s="44" t="inlineStr">
        <is>
          <t>vintage / With Brush</t>
        </is>
      </c>
      <c r="C34" s="44" t="inlineStr">
        <is>
          <t>CB-CV-B</t>
        </is>
      </c>
      <c r="D34" s="45" t="n">
        <v>510</v>
      </c>
      <c r="E34" s="44" t="n">
        <v>50</v>
      </c>
      <c r="F34" s="44" t="n">
        <v>85</v>
      </c>
      <c r="G34" s="45" t="n">
        <v>741810</v>
      </c>
      <c r="H34" s="115" t="n">
        <v>0.05</v>
      </c>
      <c r="I34" s="44">
        <f>D34*H34</f>
        <v/>
      </c>
      <c r="J34" s="113" t="n"/>
      <c r="K34" s="44" t="n">
        <v>20</v>
      </c>
      <c r="L34" s="48">
        <f>K34+J34+I34+F34+E34+D34</f>
        <v/>
      </c>
      <c r="M34" s="44">
        <f>D34*1%</f>
        <v/>
      </c>
      <c r="N34" s="49">
        <f>L34*8%</f>
        <v/>
      </c>
      <c r="O34" s="49">
        <f>L34*10%</f>
        <v/>
      </c>
      <c r="P34" s="49">
        <f>L34*5%</f>
        <v/>
      </c>
      <c r="Q34" s="49">
        <f>L34*2%</f>
        <v/>
      </c>
      <c r="R34" s="49">
        <f>AC34*0.5%</f>
        <v/>
      </c>
      <c r="S34" s="49">
        <f>L34*1%</f>
        <v/>
      </c>
      <c r="T34" s="50">
        <f>S34+Q34+P34+O34+N34+M34</f>
        <v/>
      </c>
      <c r="U34" s="44">
        <f>AC34*1%</f>
        <v/>
      </c>
      <c r="V34" s="44">
        <f>AC34*5%</f>
        <v/>
      </c>
      <c r="W34" s="44">
        <f>AC34*1%</f>
        <v/>
      </c>
      <c r="X34" s="44">
        <f>AC34*8%</f>
        <v/>
      </c>
      <c r="Y34" s="44">
        <f>U34+V34+W34+X34</f>
        <v/>
      </c>
      <c r="Z34" s="50">
        <f>Y34+T34+L34</f>
        <v/>
      </c>
      <c r="AA34" s="51">
        <f>Z34*20%</f>
        <v/>
      </c>
      <c r="AB34" s="49">
        <f>Z34+AA34</f>
        <v/>
      </c>
      <c r="AC34" s="44">
        <f>D34*2.1</f>
        <v/>
      </c>
      <c r="AD34" s="49">
        <f>AB34-AC34</f>
        <v/>
      </c>
      <c r="AE34" s="49">
        <f>AD34/AB34*100</f>
        <v/>
      </c>
      <c r="AF34" s="113" t="n">
        <v>1199</v>
      </c>
      <c r="AG34" s="116">
        <f>((AF34-L34)/L34)*100</f>
        <v/>
      </c>
      <c r="AH34" s="54">
        <f>AJ34-AF34</f>
        <v/>
      </c>
      <c r="AI34" s="54">
        <f>AB34</f>
        <v/>
      </c>
      <c r="AJ34" s="113" t="n">
        <v>1199</v>
      </c>
      <c r="AK34" s="55">
        <f>(AJ34-L34)/L34*100</f>
        <v/>
      </c>
      <c r="AL34" s="55" t="n"/>
      <c r="AM34" s="55">
        <f>AH34/AJ34%</f>
        <v/>
      </c>
      <c r="AN34" s="55">
        <f>AK34-AG34</f>
        <v/>
      </c>
      <c r="AO34" s="56">
        <f>AJ34/L34</f>
        <v/>
      </c>
      <c r="AP34" s="55">
        <f>(AJ34-AB34)/100</f>
        <v/>
      </c>
      <c r="AQ34" s="55">
        <f>(AJ34-AC34)/100</f>
        <v/>
      </c>
      <c r="AR34" s="57">
        <f>AI34/94</f>
        <v/>
      </c>
      <c r="AS34" s="57">
        <f>AJ34/94</f>
        <v/>
      </c>
      <c r="AT34" s="58">
        <f>AI34/24</f>
        <v/>
      </c>
      <c r="AU34" s="58">
        <f>AJ34/24</f>
        <v/>
      </c>
      <c r="AV34" s="58">
        <f>AI34/125</f>
        <v/>
      </c>
      <c r="AW34" s="58">
        <f>AJ34/125</f>
        <v/>
      </c>
      <c r="AX34" s="113" t="n"/>
      <c r="AY34" s="113" t="n"/>
    </row>
    <row r="35" ht="15.75" customHeight="1" s="258">
      <c r="A35" s="44" t="n"/>
      <c r="B35" s="44" t="inlineStr">
        <is>
          <t>vintage / Without Brush</t>
        </is>
      </c>
      <c r="C35" s="44" t="inlineStr">
        <is>
          <t>CB-CV</t>
        </is>
      </c>
      <c r="D35" s="45" t="n">
        <v>510</v>
      </c>
      <c r="E35" s="113" t="n"/>
      <c r="F35" s="44" t="n">
        <v>85</v>
      </c>
      <c r="G35" s="45" t="n">
        <v>741810</v>
      </c>
      <c r="H35" s="115" t="n">
        <v>0.05</v>
      </c>
      <c r="I35" s="44">
        <f>D35*H35</f>
        <v/>
      </c>
      <c r="J35" s="113" t="n"/>
      <c r="K35" s="44" t="n">
        <v>20</v>
      </c>
      <c r="L35" s="48">
        <f>K35+J35+I35+F35+E35+D35</f>
        <v/>
      </c>
      <c r="M35" s="44">
        <f>D35*1%</f>
        <v/>
      </c>
      <c r="N35" s="49">
        <f>L35*8%</f>
        <v/>
      </c>
      <c r="O35" s="49">
        <f>L35*10%</f>
        <v/>
      </c>
      <c r="P35" s="49">
        <f>L35*5%</f>
        <v/>
      </c>
      <c r="Q35" s="49">
        <f>L35*2%</f>
        <v/>
      </c>
      <c r="R35" s="49">
        <f>AC35*0.5%</f>
        <v/>
      </c>
      <c r="S35" s="49">
        <f>L35*1%</f>
        <v/>
      </c>
      <c r="T35" s="50">
        <f>S35+Q35+P35+O35+N35+M35</f>
        <v/>
      </c>
      <c r="U35" s="44">
        <f>AC35*1%</f>
        <v/>
      </c>
      <c r="V35" s="44">
        <f>AC35*5%</f>
        <v/>
      </c>
      <c r="W35" s="44">
        <f>AC35*1%</f>
        <v/>
      </c>
      <c r="X35" s="44">
        <f>AC35*8%</f>
        <v/>
      </c>
      <c r="Y35" s="44">
        <f>U35+V35+W35+X35</f>
        <v/>
      </c>
      <c r="Z35" s="50">
        <f>Y35+T35+L35</f>
        <v/>
      </c>
      <c r="AA35" s="51">
        <f>Z35*20%</f>
        <v/>
      </c>
      <c r="AB35" s="49">
        <f>Z35+AA35</f>
        <v/>
      </c>
      <c r="AC35" s="44">
        <f>D35*2.1</f>
        <v/>
      </c>
      <c r="AD35" s="49">
        <f>AB35-AC35</f>
        <v/>
      </c>
      <c r="AE35" s="49">
        <f>AD35/AB35*100</f>
        <v/>
      </c>
      <c r="AF35" s="113" t="n">
        <v>1099</v>
      </c>
      <c r="AG35" s="116">
        <f>((AF35-L35)/L35)*100</f>
        <v/>
      </c>
      <c r="AH35" s="54">
        <f>AJ35-AF35</f>
        <v/>
      </c>
      <c r="AI35" s="54">
        <f>AB35</f>
        <v/>
      </c>
      <c r="AJ35" s="113" t="n">
        <v>1099</v>
      </c>
      <c r="AK35" s="55">
        <f>(AJ35-L35)/L35*100</f>
        <v/>
      </c>
      <c r="AL35" s="55" t="n"/>
      <c r="AM35" s="55">
        <f>AH35/AJ35%</f>
        <v/>
      </c>
      <c r="AN35" s="55">
        <f>AK35-AG35</f>
        <v/>
      </c>
      <c r="AO35" s="56">
        <f>AJ35/L35</f>
        <v/>
      </c>
      <c r="AP35" s="55">
        <f>(AJ35-AB35)/100</f>
        <v/>
      </c>
      <c r="AQ35" s="55">
        <f>(AJ35-AC35)/100</f>
        <v/>
      </c>
      <c r="AR35" s="57">
        <f>AI35/94</f>
        <v/>
      </c>
      <c r="AS35" s="57">
        <f>AJ35/94</f>
        <v/>
      </c>
      <c r="AT35" s="58">
        <f>AI35/24</f>
        <v/>
      </c>
      <c r="AU35" s="58">
        <f>AJ35/24</f>
        <v/>
      </c>
      <c r="AV35" s="58">
        <f>AI35/125</f>
        <v/>
      </c>
      <c r="AW35" s="58">
        <f>AJ35/125</f>
        <v/>
      </c>
      <c r="AX35" s="113" t="n"/>
      <c r="AY35" s="113" t="n"/>
    </row>
    <row r="36" ht="15.75" customHeight="1" s="258">
      <c r="A36" s="44" t="inlineStr">
        <is>
          <t>Curved Diamond Groove Copper Bottle</t>
        </is>
      </c>
      <c r="B36" s="44" t="inlineStr">
        <is>
          <t>copper / 1L / without-brush</t>
        </is>
      </c>
      <c r="C36" s="44" t="inlineStr">
        <is>
          <t>CB-CDG</t>
        </is>
      </c>
      <c r="D36" s="45" t="n">
        <v>510</v>
      </c>
      <c r="E36" s="113" t="n"/>
      <c r="F36" s="44" t="n">
        <v>85</v>
      </c>
      <c r="G36" s="45" t="n">
        <v>741810</v>
      </c>
      <c r="H36" s="115" t="n">
        <v>0.05</v>
      </c>
      <c r="I36" s="44">
        <f>D36*H36</f>
        <v/>
      </c>
      <c r="J36" s="113" t="n"/>
      <c r="K36" s="44" t="n">
        <v>20</v>
      </c>
      <c r="L36" s="48">
        <f>K36+J36+I36+F36+E36+D36</f>
        <v/>
      </c>
      <c r="M36" s="44">
        <f>D36*1%</f>
        <v/>
      </c>
      <c r="N36" s="49">
        <f>L36*8%</f>
        <v/>
      </c>
      <c r="O36" s="49">
        <f>L36*10%</f>
        <v/>
      </c>
      <c r="P36" s="49">
        <f>L36*5%</f>
        <v/>
      </c>
      <c r="Q36" s="49">
        <f>L36*2%</f>
        <v/>
      </c>
      <c r="R36" s="49">
        <f>AC36*0.5%</f>
        <v/>
      </c>
      <c r="S36" s="49">
        <f>L36*1%</f>
        <v/>
      </c>
      <c r="T36" s="50">
        <f>S36+Q36+P36+O36+N36+M36</f>
        <v/>
      </c>
      <c r="U36" s="44">
        <f>AC36*1%</f>
        <v/>
      </c>
      <c r="V36" s="44">
        <f>AC36*5%</f>
        <v/>
      </c>
      <c r="W36" s="44">
        <f>AC36*1%</f>
        <v/>
      </c>
      <c r="X36" s="44">
        <f>AC36*8%</f>
        <v/>
      </c>
      <c r="Y36" s="44">
        <f>U36+V36+W36+X36</f>
        <v/>
      </c>
      <c r="Z36" s="50">
        <f>Y36+T36+L36</f>
        <v/>
      </c>
      <c r="AA36" s="51">
        <f>Z36*20%</f>
        <v/>
      </c>
      <c r="AB36" s="49">
        <f>Z36+AA36</f>
        <v/>
      </c>
      <c r="AC36" s="44">
        <f>D36*2.1</f>
        <v/>
      </c>
      <c r="AD36" s="49">
        <f>AB36-AC36</f>
        <v/>
      </c>
      <c r="AE36" s="49">
        <f>AD36/AB36*100</f>
        <v/>
      </c>
      <c r="AF36" s="113" t="n">
        <v>1099</v>
      </c>
      <c r="AG36" s="116">
        <f>((AF36-L36)/L36)*100</f>
        <v/>
      </c>
      <c r="AH36" s="54">
        <f>AJ36-AF36</f>
        <v/>
      </c>
      <c r="AI36" s="54">
        <f>AB36</f>
        <v/>
      </c>
      <c r="AJ36" s="113" t="n">
        <v>1099</v>
      </c>
      <c r="AK36" s="55">
        <f>(AJ36-L36)/L36*100</f>
        <v/>
      </c>
      <c r="AL36" s="55" t="n"/>
      <c r="AM36" s="55">
        <f>AH36/AJ36%</f>
        <v/>
      </c>
      <c r="AN36" s="55">
        <f>AK36-AG36</f>
        <v/>
      </c>
      <c r="AO36" s="56">
        <f>AJ36/L36</f>
        <v/>
      </c>
      <c r="AP36" s="55">
        <f>(AJ36-AB36)/100</f>
        <v/>
      </c>
      <c r="AQ36" s="55">
        <f>(AJ36-AC36)/100</f>
        <v/>
      </c>
      <c r="AR36" s="57">
        <f>AI36/94</f>
        <v/>
      </c>
      <c r="AS36" s="57">
        <f>AJ36/94</f>
        <v/>
      </c>
      <c r="AT36" s="58">
        <f>AI36/24</f>
        <v/>
      </c>
      <c r="AU36" s="58">
        <f>AJ36/24</f>
        <v/>
      </c>
      <c r="AV36" s="58">
        <f>AI36/125</f>
        <v/>
      </c>
      <c r="AW36" s="58">
        <f>AJ36/125</f>
        <v/>
      </c>
      <c r="AX36" s="113" t="n"/>
      <c r="AY36" s="113" t="n"/>
    </row>
    <row r="37" ht="15.75" customHeight="1" s="258">
      <c r="A37" s="44" t="n"/>
      <c r="B37" s="44" t="inlineStr">
        <is>
          <t>vintage / 1L / without-brush</t>
        </is>
      </c>
      <c r="C37" s="44" t="inlineStr">
        <is>
          <t>CB-CVDG</t>
        </is>
      </c>
      <c r="D37" s="45" t="n">
        <v>510</v>
      </c>
      <c r="E37" s="113" t="n"/>
      <c r="F37" s="44" t="n">
        <v>85</v>
      </c>
      <c r="G37" s="45" t="n">
        <v>741810</v>
      </c>
      <c r="H37" s="115" t="n">
        <v>0.05</v>
      </c>
      <c r="I37" s="44">
        <f>D37*H37</f>
        <v/>
      </c>
      <c r="J37" s="113" t="n"/>
      <c r="K37" s="44" t="n">
        <v>20</v>
      </c>
      <c r="L37" s="48">
        <f>K37+J37+I37+F37+E37+D37</f>
        <v/>
      </c>
      <c r="M37" s="44">
        <f>D37*1%</f>
        <v/>
      </c>
      <c r="N37" s="49">
        <f>L37*8%</f>
        <v/>
      </c>
      <c r="O37" s="49">
        <f>L37*10%</f>
        <v/>
      </c>
      <c r="P37" s="49">
        <f>L37*5%</f>
        <v/>
      </c>
      <c r="Q37" s="49">
        <f>L37*2%</f>
        <v/>
      </c>
      <c r="R37" s="49">
        <f>AC37*0.5%</f>
        <v/>
      </c>
      <c r="S37" s="49">
        <f>L37*1%</f>
        <v/>
      </c>
      <c r="T37" s="50">
        <f>S37+Q37+P37+O37+N37+M37</f>
        <v/>
      </c>
      <c r="U37" s="44">
        <f>AC37*1%</f>
        <v/>
      </c>
      <c r="V37" s="44">
        <f>AC37*5%</f>
        <v/>
      </c>
      <c r="W37" s="44">
        <f>AC37*1%</f>
        <v/>
      </c>
      <c r="X37" s="44">
        <f>AC37*8%</f>
        <v/>
      </c>
      <c r="Y37" s="44">
        <f>U37+V37+W37+X37</f>
        <v/>
      </c>
      <c r="Z37" s="50">
        <f>Y37+T37+L37</f>
        <v/>
      </c>
      <c r="AA37" s="51">
        <f>Z37*20%</f>
        <v/>
      </c>
      <c r="AB37" s="49">
        <f>Z37+AA37</f>
        <v/>
      </c>
      <c r="AC37" s="44">
        <f>D37*2.1</f>
        <v/>
      </c>
      <c r="AD37" s="49">
        <f>AB37-AC37</f>
        <v/>
      </c>
      <c r="AE37" s="49">
        <f>AD37/AB37*100</f>
        <v/>
      </c>
      <c r="AF37" s="113" t="n">
        <v>1099</v>
      </c>
      <c r="AG37" s="116">
        <f>((AF37-L37)/L37)*100</f>
        <v/>
      </c>
      <c r="AH37" s="54">
        <f>AJ37-AF37</f>
        <v/>
      </c>
      <c r="AI37" s="54">
        <f>AB37</f>
        <v/>
      </c>
      <c r="AJ37" s="113" t="n">
        <v>1099</v>
      </c>
      <c r="AK37" s="55">
        <f>(AJ37-L37)/L37*100</f>
        <v/>
      </c>
      <c r="AL37" s="55" t="n"/>
      <c r="AM37" s="55">
        <f>AH37/AJ37%</f>
        <v/>
      </c>
      <c r="AN37" s="55">
        <f>AK37-AG37</f>
        <v/>
      </c>
      <c r="AO37" s="56">
        <f>AJ37/L37</f>
        <v/>
      </c>
      <c r="AP37" s="55">
        <f>(AJ37-AB37)/100</f>
        <v/>
      </c>
      <c r="AQ37" s="55">
        <f>(AJ37-AC37)/100</f>
        <v/>
      </c>
      <c r="AR37" s="57">
        <f>AI37/94</f>
        <v/>
      </c>
      <c r="AS37" s="57">
        <f>AJ37/94</f>
        <v/>
      </c>
      <c r="AT37" s="58">
        <f>AI37/24</f>
        <v/>
      </c>
      <c r="AU37" s="58">
        <f>AJ37/24</f>
        <v/>
      </c>
      <c r="AV37" s="58">
        <f>AI37/125</f>
        <v/>
      </c>
      <c r="AW37" s="58">
        <f>AJ37/125</f>
        <v/>
      </c>
      <c r="AX37" s="113" t="n"/>
      <c r="AY37" s="113" t="n"/>
    </row>
    <row r="38" ht="15" customHeight="1" s="258">
      <c r="A38" s="44" t="inlineStr">
        <is>
          <t>Curved Hammered Copper Bottles</t>
        </is>
      </c>
      <c r="B38" s="44" t="inlineStr">
        <is>
          <t>with-brush / vintage</t>
        </is>
      </c>
      <c r="C38" s="44" t="inlineStr">
        <is>
          <t>CB-CVH-B</t>
        </is>
      </c>
      <c r="D38" s="45" t="n">
        <v>510</v>
      </c>
      <c r="E38" s="44" t="n">
        <v>50</v>
      </c>
      <c r="F38" s="44" t="n">
        <v>85</v>
      </c>
      <c r="G38" s="45" t="n">
        <v>741810</v>
      </c>
      <c r="H38" s="115" t="n">
        <v>0.05</v>
      </c>
      <c r="I38" s="44">
        <f>D38*H38</f>
        <v/>
      </c>
      <c r="J38" s="113" t="n"/>
      <c r="K38" s="44" t="n">
        <v>20</v>
      </c>
      <c r="L38" s="48">
        <f>K38+J38+I38+F38+E38+D38</f>
        <v/>
      </c>
      <c r="M38" s="44">
        <f>D38*1%</f>
        <v/>
      </c>
      <c r="N38" s="49">
        <f>L38*8%</f>
        <v/>
      </c>
      <c r="O38" s="49">
        <f>L38*10%</f>
        <v/>
      </c>
      <c r="P38" s="49">
        <f>L38*5%</f>
        <v/>
      </c>
      <c r="Q38" s="49">
        <f>L38*2%</f>
        <v/>
      </c>
      <c r="R38" s="49">
        <f>AC38*0.5%</f>
        <v/>
      </c>
      <c r="S38" s="49">
        <f>L38*1%</f>
        <v/>
      </c>
      <c r="T38" s="50">
        <f>S38+Q38+P38+O38+N38+M38</f>
        <v/>
      </c>
      <c r="U38" s="44">
        <f>AC38*1%</f>
        <v/>
      </c>
      <c r="V38" s="44">
        <f>AC38*5%</f>
        <v/>
      </c>
      <c r="W38" s="44">
        <f>AC38*1%</f>
        <v/>
      </c>
      <c r="X38" s="44">
        <f>AC38*8%</f>
        <v/>
      </c>
      <c r="Y38" s="44">
        <f>U38+V38+W38+X38</f>
        <v/>
      </c>
      <c r="Z38" s="50">
        <f>Y38+T38+L38</f>
        <v/>
      </c>
      <c r="AA38" s="51">
        <f>Z38*20%</f>
        <v/>
      </c>
      <c r="AB38" s="49">
        <f>Z38+AA38</f>
        <v/>
      </c>
      <c r="AC38" s="44">
        <f>D38*2.1</f>
        <v/>
      </c>
      <c r="AD38" s="49">
        <f>AB38-AC38</f>
        <v/>
      </c>
      <c r="AE38" s="49">
        <f>AD38/AB38*100</f>
        <v/>
      </c>
      <c r="AF38" s="113" t="n">
        <v>1199</v>
      </c>
      <c r="AG38" s="116">
        <f>((AF38-L38)/L38)*100</f>
        <v/>
      </c>
      <c r="AH38" s="54">
        <f>AJ38-AF38</f>
        <v/>
      </c>
      <c r="AI38" s="54">
        <f>AB38</f>
        <v/>
      </c>
      <c r="AJ38" s="113" t="n">
        <v>1199</v>
      </c>
      <c r="AK38" s="55">
        <f>(AJ38-L38)/L38*100</f>
        <v/>
      </c>
      <c r="AL38" s="55" t="n"/>
      <c r="AM38" s="55">
        <f>AH38/AJ38%</f>
        <v/>
      </c>
      <c r="AN38" s="55">
        <f>AK38-AG38</f>
        <v/>
      </c>
      <c r="AO38" s="56">
        <f>AJ38/L38</f>
        <v/>
      </c>
      <c r="AP38" s="55">
        <f>(AJ38-AB38)/100</f>
        <v/>
      </c>
      <c r="AQ38" s="55">
        <f>(AJ38-AC38)/100</f>
        <v/>
      </c>
      <c r="AR38" s="57">
        <f>AI38/94</f>
        <v/>
      </c>
      <c r="AS38" s="57">
        <f>AJ38/94</f>
        <v/>
      </c>
      <c r="AT38" s="58">
        <f>AI38/24</f>
        <v/>
      </c>
      <c r="AU38" s="58">
        <f>AJ38/24</f>
        <v/>
      </c>
      <c r="AV38" s="58">
        <f>AI38/125</f>
        <v/>
      </c>
      <c r="AW38" s="58">
        <f>AJ38/125</f>
        <v/>
      </c>
      <c r="AX38" s="113" t="n"/>
      <c r="AY38" s="113" t="n"/>
    </row>
    <row r="39" ht="15.75" customHeight="1" s="258">
      <c r="A39" s="44" t="n"/>
      <c r="B39" s="44" t="inlineStr">
        <is>
          <t>vintage / without-brush</t>
        </is>
      </c>
      <c r="C39" s="44" t="inlineStr">
        <is>
          <t>CB-CVH</t>
        </is>
      </c>
      <c r="D39" s="45" t="n">
        <v>510</v>
      </c>
      <c r="E39" s="113" t="n"/>
      <c r="F39" s="44" t="n">
        <v>85</v>
      </c>
      <c r="G39" s="45" t="n">
        <v>741810</v>
      </c>
      <c r="H39" s="115" t="n">
        <v>0.05</v>
      </c>
      <c r="I39" s="44">
        <f>D39*H39</f>
        <v/>
      </c>
      <c r="J39" s="113" t="n"/>
      <c r="K39" s="44" t="n">
        <v>20</v>
      </c>
      <c r="L39" s="48">
        <f>K39+J39+I39+F39+E39+D39</f>
        <v/>
      </c>
      <c r="M39" s="44">
        <f>D39*1%</f>
        <v/>
      </c>
      <c r="N39" s="49">
        <f>L39*8%</f>
        <v/>
      </c>
      <c r="O39" s="49">
        <f>L39*10%</f>
        <v/>
      </c>
      <c r="P39" s="49">
        <f>L39*5%</f>
        <v/>
      </c>
      <c r="Q39" s="49">
        <f>L39*2%</f>
        <v/>
      </c>
      <c r="R39" s="49">
        <f>AC39*0.5%</f>
        <v/>
      </c>
      <c r="S39" s="49">
        <f>L39*1%</f>
        <v/>
      </c>
      <c r="T39" s="50">
        <f>S39+Q39+P39+O39+N39+M39</f>
        <v/>
      </c>
      <c r="U39" s="44">
        <f>AC39*1%</f>
        <v/>
      </c>
      <c r="V39" s="44">
        <f>AC39*5%</f>
        <v/>
      </c>
      <c r="W39" s="44">
        <f>AC39*1%</f>
        <v/>
      </c>
      <c r="X39" s="44">
        <f>AC39*8%</f>
        <v/>
      </c>
      <c r="Y39" s="44">
        <f>U39+V39+W39+X39</f>
        <v/>
      </c>
      <c r="Z39" s="50">
        <f>Y39+T39+L39</f>
        <v/>
      </c>
      <c r="AA39" s="51">
        <f>Z39*20%</f>
        <v/>
      </c>
      <c r="AB39" s="49">
        <f>Z39+AA39</f>
        <v/>
      </c>
      <c r="AC39" s="44">
        <f>D39*2.1</f>
        <v/>
      </c>
      <c r="AD39" s="49">
        <f>AB39-AC39</f>
        <v/>
      </c>
      <c r="AE39" s="49">
        <f>AD39/AB39*100</f>
        <v/>
      </c>
      <c r="AF39" s="113" t="n">
        <v>1099</v>
      </c>
      <c r="AG39" s="116">
        <f>((AF39-L39)/L39)*100</f>
        <v/>
      </c>
      <c r="AH39" s="54">
        <f>AJ39-AF39</f>
        <v/>
      </c>
      <c r="AI39" s="54">
        <f>AB39</f>
        <v/>
      </c>
      <c r="AJ39" s="113" t="n">
        <v>1099</v>
      </c>
      <c r="AK39" s="55">
        <f>(AJ39-L39)/L39*100</f>
        <v/>
      </c>
      <c r="AL39" s="55" t="n"/>
      <c r="AM39" s="55">
        <f>AH39/AJ39%</f>
        <v/>
      </c>
      <c r="AN39" s="55">
        <f>AK39-AG39</f>
        <v/>
      </c>
      <c r="AO39" s="56">
        <f>AJ39/L39</f>
        <v/>
      </c>
      <c r="AP39" s="55">
        <f>(AJ39-AB39)/100</f>
        <v/>
      </c>
      <c r="AQ39" s="55">
        <f>(AJ39-AC39)/100</f>
        <v/>
      </c>
      <c r="AR39" s="57">
        <f>AI39/94</f>
        <v/>
      </c>
      <c r="AS39" s="57">
        <f>AJ39/94</f>
        <v/>
      </c>
      <c r="AT39" s="58">
        <f>AI39/24</f>
        <v/>
      </c>
      <c r="AU39" s="58">
        <f>AJ39/24</f>
        <v/>
      </c>
      <c r="AV39" s="58">
        <f>AI39/125</f>
        <v/>
      </c>
      <c r="AW39" s="58">
        <f>AJ39/125</f>
        <v/>
      </c>
      <c r="AX39" s="113" t="n"/>
      <c r="AY39" s="113" t="n"/>
    </row>
    <row r="40" ht="15" customHeight="1" s="258">
      <c r="A40" s="76" t="inlineStr">
        <is>
          <t>Grooved, Hammered &amp; Plain Copper Bottle</t>
        </is>
      </c>
      <c r="B40" s="76" t="inlineStr">
        <is>
          <t>Gold / Curved / With Brush</t>
        </is>
      </c>
      <c r="C40" s="76" t="inlineStr">
        <is>
          <t>CB-CP-B-1</t>
        </is>
      </c>
      <c r="D40" s="77" t="n">
        <v>510</v>
      </c>
      <c r="E40" s="76" t="n">
        <v>50</v>
      </c>
      <c r="F40" s="76" t="n">
        <v>85</v>
      </c>
      <c r="G40" s="77" t="n">
        <v>741810</v>
      </c>
      <c r="H40" s="78" t="n">
        <v>0.05</v>
      </c>
      <c r="I40" s="76">
        <f>D40*H40</f>
        <v/>
      </c>
      <c r="J40" s="79" t="n"/>
      <c r="K40" s="76" t="n">
        <v>20</v>
      </c>
      <c r="L40" s="80">
        <f>K40+J40+I40+F40+E40+D40</f>
        <v/>
      </c>
      <c r="M40" s="76">
        <f>D40*1%</f>
        <v/>
      </c>
      <c r="N40" s="81">
        <f>L40*8%</f>
        <v/>
      </c>
      <c r="O40" s="81">
        <f>L40*10%</f>
        <v/>
      </c>
      <c r="P40" s="81">
        <f>L40*5%</f>
        <v/>
      </c>
      <c r="Q40" s="81">
        <f>L40*2%</f>
        <v/>
      </c>
      <c r="R40" s="81">
        <f>AC40*0.5%</f>
        <v/>
      </c>
      <c r="S40" s="81">
        <f>L40*1%</f>
        <v/>
      </c>
      <c r="T40" s="82">
        <f>S40+Q40+P40+O40+N40+M40</f>
        <v/>
      </c>
      <c r="U40" s="76">
        <f>AC40*1%</f>
        <v/>
      </c>
      <c r="V40" s="76">
        <f>AC40*5%</f>
        <v/>
      </c>
      <c r="W40" s="76">
        <f>AC40*1%</f>
        <v/>
      </c>
      <c r="X40" s="76">
        <f>AC40*8%</f>
        <v/>
      </c>
      <c r="Y40" s="76">
        <f>U40+V40+W40+X40</f>
        <v/>
      </c>
      <c r="Z40" s="82">
        <f>Y40+T40+L40</f>
        <v/>
      </c>
      <c r="AA40" s="83">
        <f>Z40*20%</f>
        <v/>
      </c>
      <c r="AB40" s="81">
        <f>Z40+AA40</f>
        <v/>
      </c>
      <c r="AC40" s="76">
        <f>D40*2.1</f>
        <v/>
      </c>
      <c r="AD40" s="81">
        <f>AB40-AC40</f>
        <v/>
      </c>
      <c r="AE40" s="81">
        <f>AD40/AB40*100</f>
        <v/>
      </c>
      <c r="AF40" s="79" t="n">
        <v>1199</v>
      </c>
      <c r="AG40" s="84">
        <f>((AF40-L40)/L40)*100</f>
        <v/>
      </c>
      <c r="AH40" s="86">
        <f>AJ40-AF40</f>
        <v/>
      </c>
      <c r="AI40" s="86" t="n">
        <v>1390</v>
      </c>
      <c r="AJ40" s="86" t="n">
        <v>1249</v>
      </c>
      <c r="AK40" s="87">
        <f>(AJ40-L40)/L40*100</f>
        <v/>
      </c>
      <c r="AL40" s="87" t="n"/>
      <c r="AM40" s="87">
        <f>AH40/AJ40%</f>
        <v/>
      </c>
      <c r="AN40" s="87">
        <f>AK40-AG40</f>
        <v/>
      </c>
      <c r="AO40" s="88">
        <f>AJ40/L40</f>
        <v/>
      </c>
      <c r="AP40" s="87">
        <f>(AJ40-AB40)/100</f>
        <v/>
      </c>
      <c r="AQ40" s="87">
        <f>(AJ40-AC40)/100</f>
        <v/>
      </c>
      <c r="AR40" s="89">
        <f>AI40/94</f>
        <v/>
      </c>
      <c r="AS40" s="89">
        <f>AJ40/94</f>
        <v/>
      </c>
      <c r="AT40" s="90">
        <f>AI40/24</f>
        <v/>
      </c>
      <c r="AU40" s="90">
        <f>AJ40/24</f>
        <v/>
      </c>
      <c r="AV40" s="90">
        <f>AI40/125</f>
        <v/>
      </c>
      <c r="AW40" s="90">
        <f>AJ40/125</f>
        <v/>
      </c>
      <c r="AX40" s="79" t="n"/>
      <c r="AY40" s="79" t="n"/>
    </row>
    <row r="41" ht="15.75" customHeight="1" s="258">
      <c r="A41" s="76" t="n"/>
      <c r="B41" s="76" t="inlineStr">
        <is>
          <t>Diamond Groove / Without Brush / Gold</t>
        </is>
      </c>
      <c r="C41" s="76" t="inlineStr">
        <is>
          <t>CB-CDG-1</t>
        </is>
      </c>
      <c r="D41" s="77" t="n">
        <v>510</v>
      </c>
      <c r="E41" s="79" t="n"/>
      <c r="F41" s="76" t="n">
        <v>85</v>
      </c>
      <c r="G41" s="77" t="n">
        <v>741810</v>
      </c>
      <c r="H41" s="78" t="n">
        <v>0.05</v>
      </c>
      <c r="I41" s="76">
        <f>D41*H41</f>
        <v/>
      </c>
      <c r="J41" s="79" t="n"/>
      <c r="K41" s="76" t="n">
        <v>20</v>
      </c>
      <c r="L41" s="80">
        <f>K41+J41+I41+F41+E41+D41</f>
        <v/>
      </c>
      <c r="M41" s="76">
        <f>D41*1%</f>
        <v/>
      </c>
      <c r="N41" s="81">
        <f>L41*8%</f>
        <v/>
      </c>
      <c r="O41" s="81">
        <f>L41*10%</f>
        <v/>
      </c>
      <c r="P41" s="81">
        <f>L41*5%</f>
        <v/>
      </c>
      <c r="Q41" s="81">
        <f>L41*2%</f>
        <v/>
      </c>
      <c r="R41" s="81">
        <f>AC41*0.5%</f>
        <v/>
      </c>
      <c r="S41" s="81">
        <f>L41*1%</f>
        <v/>
      </c>
      <c r="T41" s="82">
        <f>S41+Q41+P41+O41+N41+M41</f>
        <v/>
      </c>
      <c r="U41" s="76">
        <f>AC41*1%</f>
        <v/>
      </c>
      <c r="V41" s="76">
        <f>AC41*5%</f>
        <v/>
      </c>
      <c r="W41" s="76">
        <f>AC41*1%</f>
        <v/>
      </c>
      <c r="X41" s="76">
        <f>AC41*8%</f>
        <v/>
      </c>
      <c r="Y41" s="76">
        <f>U41+V41+W41+X41</f>
        <v/>
      </c>
      <c r="Z41" s="82">
        <f>Y41+T41+L41</f>
        <v/>
      </c>
      <c r="AA41" s="83">
        <f>Z41*20%</f>
        <v/>
      </c>
      <c r="AB41" s="81">
        <f>Z41+AA41</f>
        <v/>
      </c>
      <c r="AC41" s="76">
        <f>D41*2.1</f>
        <v/>
      </c>
      <c r="AD41" s="81">
        <f>AB41-AC41</f>
        <v/>
      </c>
      <c r="AE41" s="81">
        <f>AD41/AB41*100</f>
        <v/>
      </c>
      <c r="AF41" s="79" t="n">
        <v>1099</v>
      </c>
      <c r="AG41" s="84">
        <f>((AF41-L41)/L41)*100</f>
        <v/>
      </c>
      <c r="AH41" s="86">
        <f>AJ41-AF41</f>
        <v/>
      </c>
      <c r="AI41" s="86" t="n">
        <v>1390</v>
      </c>
      <c r="AJ41" s="86" t="n">
        <v>1249</v>
      </c>
      <c r="AK41" s="87">
        <f>(AJ41-L41)/L41*100</f>
        <v/>
      </c>
      <c r="AL41" s="87" t="n"/>
      <c r="AM41" s="87">
        <f>AH41/AJ41%</f>
        <v/>
      </c>
      <c r="AN41" s="87">
        <f>AK41-AG41</f>
        <v/>
      </c>
      <c r="AO41" s="88">
        <f>AJ41/L41</f>
        <v/>
      </c>
      <c r="AP41" s="87">
        <f>(AJ41-AB41)/100</f>
        <v/>
      </c>
      <c r="AQ41" s="87">
        <f>(AJ41-AC41)/100</f>
        <v/>
      </c>
      <c r="AR41" s="89">
        <f>AI41/94</f>
        <v/>
      </c>
      <c r="AS41" s="89">
        <f>AJ41/94</f>
        <v/>
      </c>
      <c r="AT41" s="90">
        <f>AI41/24</f>
        <v/>
      </c>
      <c r="AU41" s="90">
        <f>AJ41/24</f>
        <v/>
      </c>
      <c r="AV41" s="90">
        <f>AI41/125</f>
        <v/>
      </c>
      <c r="AW41" s="90">
        <f>AJ41/125</f>
        <v/>
      </c>
      <c r="AX41" s="79" t="n"/>
      <c r="AY41" s="79" t="n"/>
    </row>
    <row r="42" ht="15.75" customHeight="1" s="258">
      <c r="A42" s="2" t="n"/>
      <c r="B42" s="2" t="inlineStr">
        <is>
          <t>Diamond Groove / Gold / With Brush</t>
        </is>
      </c>
      <c r="C42" s="2" t="inlineStr">
        <is>
          <t>CB-CDG-B</t>
        </is>
      </c>
      <c r="D42" s="118" t="n">
        <v>510</v>
      </c>
      <c r="E42" s="2" t="n">
        <v>50</v>
      </c>
      <c r="F42" s="2" t="n">
        <v>85</v>
      </c>
      <c r="G42" s="118" t="n">
        <v>741810</v>
      </c>
      <c r="H42" s="255" t="n">
        <v>0.05</v>
      </c>
      <c r="I42" s="2">
        <f>D42*H42</f>
        <v/>
      </c>
      <c r="K42" s="2" t="n">
        <v>20</v>
      </c>
      <c r="L42" s="4">
        <f>K42+J42+I42+F42+E42+D42</f>
        <v/>
      </c>
      <c r="M42" s="2">
        <f>D42*1%</f>
        <v/>
      </c>
      <c r="N42" s="12">
        <f>L42*8%</f>
        <v/>
      </c>
      <c r="O42" s="12">
        <f>L42*10%</f>
        <v/>
      </c>
      <c r="P42" s="12">
        <f>L42*5%</f>
        <v/>
      </c>
      <c r="Q42" s="12">
        <f>L42*2%</f>
        <v/>
      </c>
      <c r="R42" s="12">
        <f>AC42*0.5%</f>
        <v/>
      </c>
      <c r="S42" s="12">
        <f>L42*1%</f>
        <v/>
      </c>
      <c r="T42" s="60">
        <f>S42+Q42+P42+O42+N42+M42</f>
        <v/>
      </c>
      <c r="U42" s="2">
        <f>AC42*1%</f>
        <v/>
      </c>
      <c r="V42" s="44">
        <f>AC42*5%</f>
        <v/>
      </c>
      <c r="W42" s="2">
        <f>AC42*1%</f>
        <v/>
      </c>
      <c r="X42" s="2">
        <f>AC42*8%</f>
        <v/>
      </c>
      <c r="Y42" s="2">
        <f>U42+V42+W42+X42</f>
        <v/>
      </c>
      <c r="Z42" s="60">
        <f>Y42+T42+L42</f>
        <v/>
      </c>
      <c r="AA42" s="11">
        <f>Z42*20%</f>
        <v/>
      </c>
      <c r="AB42" s="12">
        <f>Z42+AA42</f>
        <v/>
      </c>
      <c r="AC42" s="2">
        <f>D42*2.1</f>
        <v/>
      </c>
      <c r="AD42" s="12">
        <f>AB42-AC42</f>
        <v/>
      </c>
      <c r="AE42" s="12">
        <f>AD42/AB42*100</f>
        <v/>
      </c>
      <c r="AF42" s="92" t="n">
        <v>1199</v>
      </c>
      <c r="AG42" s="62">
        <f>((AF42-L42)/L42)*100</f>
        <v/>
      </c>
      <c r="AH42" s="106">
        <f>AJ42-AF42</f>
        <v/>
      </c>
      <c r="AI42" s="65" t="n">
        <v>1390</v>
      </c>
      <c r="AJ42" s="65" t="n">
        <v>1249</v>
      </c>
      <c r="AK42" s="66">
        <f>(AJ42-L42)/L42*100</f>
        <v/>
      </c>
      <c r="AL42" s="66" t="n"/>
      <c r="AM42" s="14">
        <f>AH42/AJ42%</f>
        <v/>
      </c>
      <c r="AN42" s="67">
        <f>AK42-AG42</f>
        <v/>
      </c>
      <c r="AO42" s="68">
        <f>AJ42/L42</f>
        <v/>
      </c>
      <c r="AP42" s="69">
        <f>(AJ42-AB42)/100</f>
        <v/>
      </c>
      <c r="AQ42" s="70">
        <f>(AJ42-AC42)/100</f>
        <v/>
      </c>
      <c r="AR42" s="71">
        <f>AI42/94</f>
        <v/>
      </c>
      <c r="AS42" s="71">
        <f>AJ42/94</f>
        <v/>
      </c>
      <c r="AT42" s="72">
        <f>AI42/24</f>
        <v/>
      </c>
      <c r="AU42" s="72">
        <f>AJ42/24</f>
        <v/>
      </c>
      <c r="AV42" s="73">
        <f>AI42/125</f>
        <v/>
      </c>
      <c r="AW42" s="73">
        <f>AJ42/125</f>
        <v/>
      </c>
    </row>
    <row r="43" ht="15.75" customHeight="1" s="258">
      <c r="A43" s="76" t="n"/>
      <c r="B43" s="76" t="inlineStr">
        <is>
          <t>Without Brush / Gold / Curved</t>
        </is>
      </c>
      <c r="C43" s="76" t="inlineStr">
        <is>
          <t>CB-CP-1</t>
        </is>
      </c>
      <c r="D43" s="77" t="n">
        <v>510</v>
      </c>
      <c r="E43" s="79" t="n"/>
      <c r="F43" s="76" t="n">
        <v>85</v>
      </c>
      <c r="G43" s="77" t="n">
        <v>741810</v>
      </c>
      <c r="H43" s="78" t="n">
        <v>0.05</v>
      </c>
      <c r="I43" s="76">
        <f>D43*H43</f>
        <v/>
      </c>
      <c r="J43" s="79" t="n"/>
      <c r="K43" s="76" t="n">
        <v>20</v>
      </c>
      <c r="L43" s="80">
        <f>K43+J43+I43+F43+E43+D43</f>
        <v/>
      </c>
      <c r="M43" s="76">
        <f>D43*1%</f>
        <v/>
      </c>
      <c r="N43" s="81">
        <f>L43*8%</f>
        <v/>
      </c>
      <c r="O43" s="81">
        <f>L43*10%</f>
        <v/>
      </c>
      <c r="P43" s="81">
        <f>L43*5%</f>
        <v/>
      </c>
      <c r="Q43" s="81">
        <f>L43*2%</f>
        <v/>
      </c>
      <c r="R43" s="81">
        <f>AC43*0.5%</f>
        <v/>
      </c>
      <c r="S43" s="81">
        <f>L43*1%</f>
        <v/>
      </c>
      <c r="T43" s="82">
        <f>S43+Q43+P43+O43+N43+M43</f>
        <v/>
      </c>
      <c r="U43" s="76">
        <f>AC43*1%</f>
        <v/>
      </c>
      <c r="V43" s="76">
        <f>AC43*5%</f>
        <v/>
      </c>
      <c r="W43" s="76">
        <f>AC43*1%</f>
        <v/>
      </c>
      <c r="X43" s="76">
        <f>AC43*8%</f>
        <v/>
      </c>
      <c r="Y43" s="76">
        <f>U43+V43+W43+X43</f>
        <v/>
      </c>
      <c r="Z43" s="82">
        <f>Y43+T43+L43</f>
        <v/>
      </c>
      <c r="AA43" s="83">
        <f>Z43*20%</f>
        <v/>
      </c>
      <c r="AB43" s="81">
        <f>Z43+AA43</f>
        <v/>
      </c>
      <c r="AC43" s="76">
        <f>D43*2.1</f>
        <v/>
      </c>
      <c r="AD43" s="81">
        <f>AB43-AC43</f>
        <v/>
      </c>
      <c r="AE43" s="81">
        <f>AD43/AB43*100</f>
        <v/>
      </c>
      <c r="AF43" s="79" t="n">
        <v>1099</v>
      </c>
      <c r="AG43" s="84">
        <f>((AF43-L43)/L43)*100</f>
        <v/>
      </c>
      <c r="AH43" s="86">
        <f>AJ43-AF43</f>
        <v/>
      </c>
      <c r="AI43" s="86" t="n">
        <v>1290</v>
      </c>
      <c r="AJ43" s="86" t="n">
        <v>1149</v>
      </c>
      <c r="AK43" s="87">
        <f>(AJ43-L43)/L43*100</f>
        <v/>
      </c>
      <c r="AL43" s="87" t="n"/>
      <c r="AM43" s="87">
        <f>AH43/AJ43%</f>
        <v/>
      </c>
      <c r="AN43" s="87">
        <f>AK43-AG43</f>
        <v/>
      </c>
      <c r="AO43" s="88">
        <f>AJ43/L43</f>
        <v/>
      </c>
      <c r="AP43" s="87">
        <f>(AJ43-AB43)/100</f>
        <v/>
      </c>
      <c r="AQ43" s="87">
        <f>(AJ43-AC43)/100</f>
        <v/>
      </c>
      <c r="AR43" s="89">
        <f>AI43/94</f>
        <v/>
      </c>
      <c r="AS43" s="89">
        <f>AJ43/94</f>
        <v/>
      </c>
      <c r="AT43" s="90">
        <f>AI43/24</f>
        <v/>
      </c>
      <c r="AU43" s="90">
        <f>AJ43/24</f>
        <v/>
      </c>
      <c r="AV43" s="90">
        <f>AI43/125</f>
        <v/>
      </c>
      <c r="AW43" s="90">
        <f>AJ43/125</f>
        <v/>
      </c>
      <c r="AX43" s="79" t="n"/>
      <c r="AY43" s="79" t="n"/>
    </row>
    <row r="44" ht="15.75" customHeight="1" s="258">
      <c r="A44" s="2" t="n"/>
      <c r="B44" s="2" t="inlineStr">
        <is>
          <t>Without Brush / Gold / Hammered</t>
        </is>
      </c>
      <c r="C44" s="2" t="inlineStr">
        <is>
          <t>CB-CPH</t>
        </is>
      </c>
      <c r="D44" s="118" t="n">
        <v>510</v>
      </c>
      <c r="F44" s="2" t="n">
        <v>85</v>
      </c>
      <c r="G44" s="118" t="n">
        <v>741810</v>
      </c>
      <c r="H44" s="255" t="n">
        <v>0.05</v>
      </c>
      <c r="I44" s="2">
        <f>D44*H44</f>
        <v/>
      </c>
      <c r="K44" s="2" t="n">
        <v>20</v>
      </c>
      <c r="L44" s="4">
        <f>K44+J44+I44+F44+E44+D44</f>
        <v/>
      </c>
      <c r="M44" s="2">
        <f>D44*1%</f>
        <v/>
      </c>
      <c r="N44" s="12">
        <f>L44*8%</f>
        <v/>
      </c>
      <c r="O44" s="12">
        <f>L44*10%</f>
        <v/>
      </c>
      <c r="P44" s="12">
        <f>L44*5%</f>
        <v/>
      </c>
      <c r="Q44" s="12">
        <f>L44*2%</f>
        <v/>
      </c>
      <c r="R44" s="12">
        <f>AC44*0.5%</f>
        <v/>
      </c>
      <c r="S44" s="12">
        <f>L44*1%</f>
        <v/>
      </c>
      <c r="T44" s="60">
        <f>S44+Q44+P44+O44+N44+M44</f>
        <v/>
      </c>
      <c r="U44" s="2">
        <f>AC44*1%</f>
        <v/>
      </c>
      <c r="V44" s="44">
        <f>AC44*5%</f>
        <v/>
      </c>
      <c r="W44" s="2">
        <f>AC44*1%</f>
        <v/>
      </c>
      <c r="X44" s="2">
        <f>AC44*8%</f>
        <v/>
      </c>
      <c r="Y44" s="2">
        <f>U44+V44+W44+X44</f>
        <v/>
      </c>
      <c r="Z44" s="60">
        <f>Y44+T44+L44</f>
        <v/>
      </c>
      <c r="AA44" s="11">
        <f>Z44*20%</f>
        <v/>
      </c>
      <c r="AB44" s="12">
        <f>Z44+AA44</f>
        <v/>
      </c>
      <c r="AC44" s="2">
        <f>D44*2.1</f>
        <v/>
      </c>
      <c r="AD44" s="12">
        <f>AB44-AC44</f>
        <v/>
      </c>
      <c r="AE44" s="12">
        <f>AD44/AB44*100</f>
        <v/>
      </c>
      <c r="AF44" s="92" t="n">
        <v>1099</v>
      </c>
      <c r="AG44" s="62">
        <f>((AF44-L44)/L44)*100</f>
        <v/>
      </c>
      <c r="AH44" s="106">
        <f>AJ44-AF44</f>
        <v/>
      </c>
      <c r="AI44" s="65" t="n">
        <v>1290</v>
      </c>
      <c r="AJ44" s="65" t="n">
        <v>1149</v>
      </c>
      <c r="AK44" s="66">
        <f>(AJ44-L44)/L44*100</f>
        <v/>
      </c>
      <c r="AL44" s="66" t="n"/>
      <c r="AM44" s="14">
        <f>AH44/AJ44%</f>
        <v/>
      </c>
      <c r="AN44" s="67">
        <f>AK44-AG44</f>
        <v/>
      </c>
      <c r="AO44" s="68">
        <f>AJ44/L44</f>
        <v/>
      </c>
      <c r="AP44" s="69">
        <f>(AJ44-AB44)/100</f>
        <v/>
      </c>
      <c r="AQ44" s="70">
        <f>(AJ44-AC44)/100</f>
        <v/>
      </c>
      <c r="AR44" s="71">
        <f>AI44/94</f>
        <v/>
      </c>
      <c r="AS44" s="71">
        <f>AJ44/94</f>
        <v/>
      </c>
      <c r="AT44" s="72">
        <f>AI44/24</f>
        <v/>
      </c>
      <c r="AU44" s="72">
        <f>AJ44/24</f>
        <v/>
      </c>
      <c r="AV44" s="73">
        <f>AI44/125</f>
        <v/>
      </c>
      <c r="AW44" s="73">
        <f>AJ44/125</f>
        <v/>
      </c>
    </row>
    <row r="45" ht="15.75" customHeight="1" s="258">
      <c r="A45" s="2" t="n"/>
      <c r="B45" s="2" t="inlineStr">
        <is>
          <t>Gold / Hammered / With Brush</t>
        </is>
      </c>
      <c r="C45" s="2" t="inlineStr">
        <is>
          <t>CB-CPH-B</t>
        </is>
      </c>
      <c r="D45" s="118" t="n">
        <v>510</v>
      </c>
      <c r="E45" s="2" t="n">
        <v>50</v>
      </c>
      <c r="F45" s="2" t="n">
        <v>85</v>
      </c>
      <c r="G45" s="118" t="n">
        <v>741810</v>
      </c>
      <c r="H45" s="255" t="n">
        <v>0.05</v>
      </c>
      <c r="I45" s="2">
        <f>D45*H45</f>
        <v/>
      </c>
      <c r="K45" s="2" t="n">
        <v>20</v>
      </c>
      <c r="L45" s="4">
        <f>K45+J45+I45+F45+E45+D45</f>
        <v/>
      </c>
      <c r="M45" s="2">
        <f>D45*1%</f>
        <v/>
      </c>
      <c r="N45" s="12">
        <f>L45*8%</f>
        <v/>
      </c>
      <c r="O45" s="12">
        <f>L45*10%</f>
        <v/>
      </c>
      <c r="P45" s="12">
        <f>L45*5%</f>
        <v/>
      </c>
      <c r="Q45" s="12">
        <f>L45*2%</f>
        <v/>
      </c>
      <c r="R45" s="12">
        <f>AC45*0.5%</f>
        <v/>
      </c>
      <c r="S45" s="12">
        <f>L45*1%</f>
        <v/>
      </c>
      <c r="T45" s="60">
        <f>S45+Q45+P45+O45+N45+M45</f>
        <v/>
      </c>
      <c r="U45" s="2">
        <f>AC45*1%</f>
        <v/>
      </c>
      <c r="V45" s="44">
        <f>AC45*5%</f>
        <v/>
      </c>
      <c r="W45" s="2">
        <f>AC45*1%</f>
        <v/>
      </c>
      <c r="X45" s="2">
        <f>AC45*8%</f>
        <v/>
      </c>
      <c r="Y45" s="2">
        <f>U45+V45+W45+X45</f>
        <v/>
      </c>
      <c r="Z45" s="60">
        <f>Y45+T45+L45</f>
        <v/>
      </c>
      <c r="AA45" s="11">
        <f>Z45*20%</f>
        <v/>
      </c>
      <c r="AB45" s="12">
        <f>Z45+AA45</f>
        <v/>
      </c>
      <c r="AC45" s="2">
        <f>D45*2.1</f>
        <v/>
      </c>
      <c r="AD45" s="12">
        <f>AB45-AC45</f>
        <v/>
      </c>
      <c r="AE45" s="12">
        <f>AD45/AB45*100</f>
        <v/>
      </c>
      <c r="AF45" s="92" t="n">
        <v>1199</v>
      </c>
      <c r="AG45" s="62">
        <f>((AF45-L45)/L45)*100</f>
        <v/>
      </c>
      <c r="AH45" s="106">
        <f>AJ45-AF45</f>
        <v/>
      </c>
      <c r="AI45" s="65" t="n">
        <v>1390</v>
      </c>
      <c r="AJ45" s="65" t="n">
        <v>1249</v>
      </c>
      <c r="AK45" s="66">
        <f>(AJ45-L45)/L45*100</f>
        <v/>
      </c>
      <c r="AL45" s="66" t="n"/>
      <c r="AM45" s="14">
        <f>AH45/AJ45%</f>
        <v/>
      </c>
      <c r="AN45" s="67">
        <f>AK45-AG45</f>
        <v/>
      </c>
      <c r="AO45" s="68">
        <f>AJ45/L45</f>
        <v/>
      </c>
      <c r="AP45" s="69">
        <f>(AJ45-AB45)/100</f>
        <v/>
      </c>
      <c r="AQ45" s="70">
        <f>(AJ45-AC45)/100</f>
        <v/>
      </c>
      <c r="AR45" s="71">
        <f>AI45/94</f>
        <v/>
      </c>
      <c r="AS45" s="71">
        <f>AJ45/94</f>
        <v/>
      </c>
      <c r="AT45" s="72">
        <f>AI45/24</f>
        <v/>
      </c>
      <c r="AU45" s="72">
        <f>AJ45/24</f>
        <v/>
      </c>
      <c r="AV45" s="73">
        <f>AI45/125</f>
        <v/>
      </c>
      <c r="AW45" s="73">
        <f>AJ45/125</f>
        <v/>
      </c>
    </row>
    <row r="46" ht="15.75" customHeight="1" s="258">
      <c r="A46" s="76" t="n"/>
      <c r="B46" s="76" t="inlineStr">
        <is>
          <t>Without Brush / Curved / Vintage</t>
        </is>
      </c>
      <c r="C46" s="76" t="inlineStr">
        <is>
          <t>CB-CV-1</t>
        </is>
      </c>
      <c r="D46" s="77" t="n">
        <v>520</v>
      </c>
      <c r="E46" s="79" t="n"/>
      <c r="F46" s="76" t="n">
        <v>85</v>
      </c>
      <c r="G46" s="77" t="n">
        <v>741810</v>
      </c>
      <c r="H46" s="78" t="n">
        <v>0.05</v>
      </c>
      <c r="I46" s="76">
        <f>D46*H46</f>
        <v/>
      </c>
      <c r="J46" s="79" t="n"/>
      <c r="K46" s="76" t="n">
        <v>20</v>
      </c>
      <c r="L46" s="80">
        <f>K46+J46+I46+F46+E46+D46</f>
        <v/>
      </c>
      <c r="M46" s="76">
        <f>D46*1%</f>
        <v/>
      </c>
      <c r="N46" s="81">
        <f>L46*8%</f>
        <v/>
      </c>
      <c r="O46" s="81">
        <f>L46*10%</f>
        <v/>
      </c>
      <c r="P46" s="81">
        <f>L46*5%</f>
        <v/>
      </c>
      <c r="Q46" s="81">
        <f>L46*2%</f>
        <v/>
      </c>
      <c r="R46" s="81">
        <f>AC46*0.5%</f>
        <v/>
      </c>
      <c r="S46" s="81">
        <f>L46*1%</f>
        <v/>
      </c>
      <c r="T46" s="82">
        <f>S46+Q46+P46+O46+N46+M46</f>
        <v/>
      </c>
      <c r="U46" s="76">
        <f>AC46*1%</f>
        <v/>
      </c>
      <c r="V46" s="76">
        <f>AC46*5%</f>
        <v/>
      </c>
      <c r="W46" s="76">
        <f>AC46*1%</f>
        <v/>
      </c>
      <c r="X46" s="76">
        <f>AC46*8%</f>
        <v/>
      </c>
      <c r="Y46" s="76">
        <f>U46+V46+W46+X46</f>
        <v/>
      </c>
      <c r="Z46" s="82">
        <f>Y46+T46+L46</f>
        <v/>
      </c>
      <c r="AA46" s="83">
        <f>Z46*20%</f>
        <v/>
      </c>
      <c r="AB46" s="81">
        <f>Z46+AA46</f>
        <v/>
      </c>
      <c r="AC46" s="76">
        <f>D46*2.1</f>
        <v/>
      </c>
      <c r="AD46" s="81">
        <f>AB46-AC46</f>
        <v/>
      </c>
      <c r="AE46" s="81">
        <f>AD46/AB46*100</f>
        <v/>
      </c>
      <c r="AF46" s="79" t="n">
        <v>1099</v>
      </c>
      <c r="AG46" s="84">
        <f>((AF46-L46)/L46)*100</f>
        <v/>
      </c>
      <c r="AH46" s="86">
        <f>AJ46-AF46</f>
        <v/>
      </c>
      <c r="AI46" s="86" t="n">
        <v>1290</v>
      </c>
      <c r="AJ46" s="86" t="n">
        <v>1149</v>
      </c>
      <c r="AK46" s="87">
        <f>(AJ46-L46)/L46*100</f>
        <v/>
      </c>
      <c r="AL46" s="87" t="n"/>
      <c r="AM46" s="87">
        <f>AH46/AJ46%</f>
        <v/>
      </c>
      <c r="AN46" s="87">
        <f>AK46-AG46</f>
        <v/>
      </c>
      <c r="AO46" s="88">
        <f>AJ46/L46</f>
        <v/>
      </c>
      <c r="AP46" s="87">
        <f>(AJ46-AB46)/100</f>
        <v/>
      </c>
      <c r="AQ46" s="87">
        <f>(AJ46-AC46)/100</f>
        <v/>
      </c>
      <c r="AR46" s="89">
        <f>AI46/94</f>
        <v/>
      </c>
      <c r="AS46" s="89">
        <f>AJ46/94</f>
        <v/>
      </c>
      <c r="AT46" s="90">
        <f>AI46/24</f>
        <v/>
      </c>
      <c r="AU46" s="90">
        <f>AJ46/24</f>
        <v/>
      </c>
      <c r="AV46" s="90">
        <f>AI46/125</f>
        <v/>
      </c>
      <c r="AW46" s="90">
        <f>AJ46/125</f>
        <v/>
      </c>
      <c r="AX46" s="79" t="n"/>
      <c r="AY46" s="79" t="n"/>
    </row>
    <row r="47" ht="15.75" customHeight="1" s="258">
      <c r="A47" s="76" t="n"/>
      <c r="B47" s="76" t="inlineStr">
        <is>
          <t>Without Brush / Curved / Vintage</t>
        </is>
      </c>
      <c r="C47" s="76" t="inlineStr">
        <is>
          <t>CB-CV-B-1</t>
        </is>
      </c>
      <c r="D47" s="77" t="n">
        <v>520</v>
      </c>
      <c r="E47" s="79" t="n"/>
      <c r="F47" s="76" t="n">
        <v>85</v>
      </c>
      <c r="G47" s="77" t="n">
        <v>741810</v>
      </c>
      <c r="H47" s="78" t="n">
        <v>0.05</v>
      </c>
      <c r="I47" s="76">
        <f>D47*H47</f>
        <v/>
      </c>
      <c r="J47" s="79" t="n"/>
      <c r="K47" s="76" t="n">
        <v>20</v>
      </c>
      <c r="L47" s="80">
        <f>K47+J47+I47+F47+E47+D47</f>
        <v/>
      </c>
      <c r="M47" s="76">
        <f>D47*1%</f>
        <v/>
      </c>
      <c r="N47" s="81">
        <f>L47*8%</f>
        <v/>
      </c>
      <c r="O47" s="81">
        <f>L47*10%</f>
        <v/>
      </c>
      <c r="P47" s="81">
        <f>L47*5%</f>
        <v/>
      </c>
      <c r="Q47" s="81">
        <f>L47*2%</f>
        <v/>
      </c>
      <c r="R47" s="81">
        <f>AC47*0.5%</f>
        <v/>
      </c>
      <c r="S47" s="81">
        <f>L47*1%</f>
        <v/>
      </c>
      <c r="T47" s="82">
        <f>S47+Q47+P47+O47+N47+M47</f>
        <v/>
      </c>
      <c r="U47" s="76">
        <f>AC47*1%</f>
        <v/>
      </c>
      <c r="V47" s="76">
        <f>AC47*5%</f>
        <v/>
      </c>
      <c r="W47" s="76">
        <f>AC47*1%</f>
        <v/>
      </c>
      <c r="X47" s="76">
        <f>AC47*8%</f>
        <v/>
      </c>
      <c r="Y47" s="76">
        <f>U47+V47+W47+X47</f>
        <v/>
      </c>
      <c r="Z47" s="82">
        <f>Y47+T47+L47</f>
        <v/>
      </c>
      <c r="AA47" s="83">
        <f>Z47*20%</f>
        <v/>
      </c>
      <c r="AB47" s="81">
        <f>Z47+AA47</f>
        <v/>
      </c>
      <c r="AC47" s="76">
        <f>D47*2.1</f>
        <v/>
      </c>
      <c r="AD47" s="81">
        <f>AB47-AC47</f>
        <v/>
      </c>
      <c r="AE47" s="81">
        <f>AD47/AB47*100</f>
        <v/>
      </c>
      <c r="AF47" s="79" t="n">
        <v>1199</v>
      </c>
      <c r="AG47" s="84">
        <f>((AF47-L47)/L47)*100</f>
        <v/>
      </c>
      <c r="AH47" s="86">
        <f>AJ47-AF47</f>
        <v/>
      </c>
      <c r="AI47" s="86" t="n">
        <v>1390</v>
      </c>
      <c r="AJ47" s="86" t="n">
        <v>1249</v>
      </c>
      <c r="AK47" s="87">
        <f>(AJ47-L47)/L47*100</f>
        <v/>
      </c>
      <c r="AL47" s="87" t="n"/>
      <c r="AM47" s="87">
        <f>AH47/AJ47%</f>
        <v/>
      </c>
      <c r="AN47" s="87">
        <f>AK47-AG47</f>
        <v/>
      </c>
      <c r="AO47" s="88">
        <f>AJ47/L47</f>
        <v/>
      </c>
      <c r="AP47" s="87">
        <f>(AJ47-AB47)/100</f>
        <v/>
      </c>
      <c r="AQ47" s="87">
        <f>(AJ47-AC47)/100</f>
        <v/>
      </c>
      <c r="AR47" s="89">
        <f>AI47/94</f>
        <v/>
      </c>
      <c r="AS47" s="89">
        <f>AJ47/94</f>
        <v/>
      </c>
      <c r="AT47" s="90">
        <f>AI47/24</f>
        <v/>
      </c>
      <c r="AU47" s="90">
        <f>AJ47/24</f>
        <v/>
      </c>
      <c r="AV47" s="90">
        <f>AI47/125</f>
        <v/>
      </c>
      <c r="AW47" s="90">
        <f>AJ47/125</f>
        <v/>
      </c>
      <c r="AX47" s="79" t="n"/>
      <c r="AY47" s="79" t="n"/>
    </row>
    <row r="48" ht="15.75" customHeight="1" s="258">
      <c r="A48" s="76" t="n"/>
      <c r="B48" s="76" t="inlineStr">
        <is>
          <t>Diamond Groove / Without Brush / Vintage</t>
        </is>
      </c>
      <c r="C48" s="76" t="inlineStr">
        <is>
          <t>CB-CVDG-1</t>
        </is>
      </c>
      <c r="D48" s="77" t="n">
        <v>510</v>
      </c>
      <c r="E48" s="79" t="n"/>
      <c r="F48" s="76" t="n">
        <v>85</v>
      </c>
      <c r="G48" s="77" t="n">
        <v>741810</v>
      </c>
      <c r="H48" s="78" t="n">
        <v>0.05</v>
      </c>
      <c r="I48" s="76">
        <f>D48*H48</f>
        <v/>
      </c>
      <c r="J48" s="79" t="n"/>
      <c r="K48" s="76" t="n">
        <v>20</v>
      </c>
      <c r="L48" s="80">
        <f>K48+J48+I48+F48+E48+D48</f>
        <v/>
      </c>
      <c r="M48" s="76">
        <f>D48*1%</f>
        <v/>
      </c>
      <c r="N48" s="81">
        <f>L48*8%</f>
        <v/>
      </c>
      <c r="O48" s="81">
        <f>L48*10%</f>
        <v/>
      </c>
      <c r="P48" s="81">
        <f>L48*5%</f>
        <v/>
      </c>
      <c r="Q48" s="81">
        <f>L48*2%</f>
        <v/>
      </c>
      <c r="R48" s="81">
        <f>AC48*0.5%</f>
        <v/>
      </c>
      <c r="S48" s="81">
        <f>L48*1%</f>
        <v/>
      </c>
      <c r="T48" s="82">
        <f>S48+Q48+P48+O48+N48+M48</f>
        <v/>
      </c>
      <c r="U48" s="76">
        <f>AC48*1%</f>
        <v/>
      </c>
      <c r="V48" s="76">
        <f>AC48*5%</f>
        <v/>
      </c>
      <c r="W48" s="76">
        <f>AC48*1%</f>
        <v/>
      </c>
      <c r="X48" s="76">
        <f>AC48*8%</f>
        <v/>
      </c>
      <c r="Y48" s="76">
        <f>U48+V48+W48+X48</f>
        <v/>
      </c>
      <c r="Z48" s="82">
        <f>Y48+T48+L48</f>
        <v/>
      </c>
      <c r="AA48" s="83">
        <f>Z48*20%</f>
        <v/>
      </c>
      <c r="AB48" s="81">
        <f>Z48+AA48</f>
        <v/>
      </c>
      <c r="AC48" s="76">
        <f>D48*2.1</f>
        <v/>
      </c>
      <c r="AD48" s="81">
        <f>AB48-AC48</f>
        <v/>
      </c>
      <c r="AE48" s="81">
        <f>AD48/AB48*100</f>
        <v/>
      </c>
      <c r="AF48" s="79" t="n">
        <v>1099</v>
      </c>
      <c r="AG48" s="84">
        <f>((AF48-L48)/L48)*100</f>
        <v/>
      </c>
      <c r="AH48" s="86">
        <f>AJ48-AF48</f>
        <v/>
      </c>
      <c r="AI48" s="86" t="n">
        <v>1290</v>
      </c>
      <c r="AJ48" s="86" t="n">
        <v>1149</v>
      </c>
      <c r="AK48" s="87">
        <f>(AJ48-L48)/L48*100</f>
        <v/>
      </c>
      <c r="AL48" s="87" t="n"/>
      <c r="AM48" s="87">
        <f>AH48/AJ48%</f>
        <v/>
      </c>
      <c r="AN48" s="87">
        <f>AK48-AG48</f>
        <v/>
      </c>
      <c r="AO48" s="88">
        <f>AJ48/L48</f>
        <v/>
      </c>
      <c r="AP48" s="87">
        <f>(AJ48-AB48)/100</f>
        <v/>
      </c>
      <c r="AQ48" s="87">
        <f>(AJ48-AC48)/100</f>
        <v/>
      </c>
      <c r="AR48" s="89">
        <f>AI48/94</f>
        <v/>
      </c>
      <c r="AS48" s="89">
        <f>AJ48/94</f>
        <v/>
      </c>
      <c r="AT48" s="90">
        <f>AI48/24</f>
        <v/>
      </c>
      <c r="AU48" s="90">
        <f>AJ48/24</f>
        <v/>
      </c>
      <c r="AV48" s="90">
        <f>AI48/125</f>
        <v/>
      </c>
      <c r="AW48" s="90">
        <f>AJ48/125</f>
        <v/>
      </c>
      <c r="AX48" s="79" t="n"/>
      <c r="AY48" s="79" t="n"/>
    </row>
    <row r="49" ht="15.75" customHeight="1" s="258">
      <c r="A49" s="2" t="n"/>
      <c r="B49" s="2" t="inlineStr">
        <is>
          <t>Diamond Groove / Vintage / With Brush</t>
        </is>
      </c>
      <c r="C49" s="2" t="inlineStr">
        <is>
          <t>CB-CVDG-B</t>
        </is>
      </c>
      <c r="D49" s="118" t="n">
        <v>520</v>
      </c>
      <c r="E49" s="2" t="n">
        <v>50</v>
      </c>
      <c r="F49" s="2" t="n">
        <v>85</v>
      </c>
      <c r="G49" s="118" t="n">
        <v>741810</v>
      </c>
      <c r="H49" s="255" t="n">
        <v>0.05</v>
      </c>
      <c r="I49" s="2">
        <f>D49*H49</f>
        <v/>
      </c>
      <c r="K49" s="2" t="n">
        <v>20</v>
      </c>
      <c r="L49" s="4">
        <f>K49+J49+I49+F49+E49+D49</f>
        <v/>
      </c>
      <c r="M49" s="2">
        <f>D49*1%</f>
        <v/>
      </c>
      <c r="N49" s="12">
        <f>L49*8%</f>
        <v/>
      </c>
      <c r="O49" s="12">
        <f>L49*10%</f>
        <v/>
      </c>
      <c r="P49" s="12">
        <f>L49*5%</f>
        <v/>
      </c>
      <c r="Q49" s="12">
        <f>L49*2%</f>
        <v/>
      </c>
      <c r="R49" s="12">
        <f>AC49*0.5%</f>
        <v/>
      </c>
      <c r="S49" s="12">
        <f>L49*1%</f>
        <v/>
      </c>
      <c r="T49" s="60">
        <f>S49+Q49+P49+O49+N49+M49</f>
        <v/>
      </c>
      <c r="U49" s="2">
        <f>AC49*1%</f>
        <v/>
      </c>
      <c r="V49" s="44">
        <f>AC49*5%</f>
        <v/>
      </c>
      <c r="W49" s="2">
        <f>AC49*1%</f>
        <v/>
      </c>
      <c r="X49" s="2">
        <f>AC49*8%</f>
        <v/>
      </c>
      <c r="Y49" s="2">
        <f>U49+V49+W49+X49</f>
        <v/>
      </c>
      <c r="Z49" s="60">
        <f>Y49+T49+L49</f>
        <v/>
      </c>
      <c r="AA49" s="11">
        <f>Z49*20%</f>
        <v/>
      </c>
      <c r="AB49" s="12">
        <f>Z49+AA49</f>
        <v/>
      </c>
      <c r="AC49" s="2">
        <f>D49*2.1</f>
        <v/>
      </c>
      <c r="AD49" s="12">
        <f>AB49-AC49</f>
        <v/>
      </c>
      <c r="AE49" s="12">
        <f>AD49/AB49*100</f>
        <v/>
      </c>
      <c r="AF49" s="92" t="n">
        <v>1199</v>
      </c>
      <c r="AG49" s="62">
        <f>((AF49-L49)/L49)*100</f>
        <v/>
      </c>
      <c r="AH49" s="106">
        <f>AJ49-AF49</f>
        <v/>
      </c>
      <c r="AI49" s="65" t="n">
        <v>1390</v>
      </c>
      <c r="AJ49" s="65" t="n">
        <v>1249</v>
      </c>
      <c r="AK49" s="66">
        <f>(AJ49-L49)/L49*100</f>
        <v/>
      </c>
      <c r="AL49" s="66" t="n"/>
      <c r="AM49" s="14">
        <f>AH49/AJ49%</f>
        <v/>
      </c>
      <c r="AN49" s="67">
        <f>AK49-AG49</f>
        <v/>
      </c>
      <c r="AO49" s="68">
        <f>AJ49/L49</f>
        <v/>
      </c>
      <c r="AP49" s="69">
        <f>(AJ49-AB49)/100</f>
        <v/>
      </c>
      <c r="AQ49" s="70">
        <f>(AJ49-AC49)/100</f>
        <v/>
      </c>
      <c r="AR49" s="71">
        <f>AI49/94</f>
        <v/>
      </c>
      <c r="AS49" s="71">
        <f>AJ49/94</f>
        <v/>
      </c>
      <c r="AT49" s="72">
        <f>AI49/24</f>
        <v/>
      </c>
      <c r="AU49" s="72">
        <f>AJ49/24</f>
        <v/>
      </c>
      <c r="AV49" s="73">
        <f>AI49/125</f>
        <v/>
      </c>
      <c r="AW49" s="73">
        <f>AJ49/125</f>
        <v/>
      </c>
    </row>
    <row r="50" ht="15.75" customHeight="1" s="258">
      <c r="A50" s="76" t="n"/>
      <c r="B50" s="76" t="inlineStr">
        <is>
          <t>Without Brush / Curved Hammered / Vintage</t>
        </is>
      </c>
      <c r="C50" s="76" t="inlineStr">
        <is>
          <t>CB-CVH-1</t>
        </is>
      </c>
      <c r="D50" s="77" t="n">
        <v>520</v>
      </c>
      <c r="E50" s="79" t="n"/>
      <c r="F50" s="76" t="n">
        <v>85</v>
      </c>
      <c r="G50" s="77" t="n">
        <v>741810</v>
      </c>
      <c r="H50" s="78" t="n">
        <v>0.05</v>
      </c>
      <c r="I50" s="76">
        <f>D50*H50</f>
        <v/>
      </c>
      <c r="J50" s="79" t="n"/>
      <c r="K50" s="76" t="n">
        <v>20</v>
      </c>
      <c r="L50" s="80">
        <f>K50+J50+I50+F50+E50+D50</f>
        <v/>
      </c>
      <c r="M50" s="76">
        <f>D50*1%</f>
        <v/>
      </c>
      <c r="N50" s="81">
        <f>L50*8%</f>
        <v/>
      </c>
      <c r="O50" s="81">
        <f>L50*10%</f>
        <v/>
      </c>
      <c r="P50" s="81">
        <f>L50*5%</f>
        <v/>
      </c>
      <c r="Q50" s="81">
        <f>L50*2%</f>
        <v/>
      </c>
      <c r="R50" s="81">
        <f>AC50*0.5%</f>
        <v/>
      </c>
      <c r="S50" s="81">
        <f>L50*1%</f>
        <v/>
      </c>
      <c r="T50" s="82">
        <f>S50+Q50+P50+O50+N50+M50</f>
        <v/>
      </c>
      <c r="U50" s="76">
        <f>AC50*1%</f>
        <v/>
      </c>
      <c r="V50" s="76">
        <f>AC50*5%</f>
        <v/>
      </c>
      <c r="W50" s="76">
        <f>AC50*1%</f>
        <v/>
      </c>
      <c r="X50" s="76">
        <f>AC50*8%</f>
        <v/>
      </c>
      <c r="Y50" s="76">
        <f>U50+V50+W50+X50</f>
        <v/>
      </c>
      <c r="Z50" s="82">
        <f>Y50+T50+L50</f>
        <v/>
      </c>
      <c r="AA50" s="83">
        <f>Z50*20%</f>
        <v/>
      </c>
      <c r="AB50" s="81">
        <f>Z50+AA50</f>
        <v/>
      </c>
      <c r="AC50" s="76">
        <f>D50*2.1</f>
        <v/>
      </c>
      <c r="AD50" s="81">
        <f>AB50-AC50</f>
        <v/>
      </c>
      <c r="AE50" s="81">
        <f>AD50/AB50*100</f>
        <v/>
      </c>
      <c r="AF50" s="79" t="n">
        <v>1099</v>
      </c>
      <c r="AG50" s="84">
        <f>((AF50-L50)/L50)*100</f>
        <v/>
      </c>
      <c r="AH50" s="86">
        <f>AJ50-AF50</f>
        <v/>
      </c>
      <c r="AI50" s="86" t="n">
        <v>1290</v>
      </c>
      <c r="AJ50" s="86" t="n">
        <v>1149</v>
      </c>
      <c r="AK50" s="87">
        <f>(AJ50-L50)/L50*100</f>
        <v/>
      </c>
      <c r="AL50" s="87" t="n"/>
      <c r="AM50" s="87">
        <f>AH50/AJ50%</f>
        <v/>
      </c>
      <c r="AN50" s="87">
        <f>AK50-AG50</f>
        <v/>
      </c>
      <c r="AO50" s="88">
        <f>AJ50/L50</f>
        <v/>
      </c>
      <c r="AP50" s="87">
        <f>(AJ50-AB50)/100</f>
        <v/>
      </c>
      <c r="AQ50" s="87">
        <f>(AJ50-AC50)/100</f>
        <v/>
      </c>
      <c r="AR50" s="89">
        <f>AI50/94</f>
        <v/>
      </c>
      <c r="AS50" s="89">
        <f>AJ50/94</f>
        <v/>
      </c>
      <c r="AT50" s="90">
        <f>AI50/24</f>
        <v/>
      </c>
      <c r="AU50" s="90">
        <f>AJ50/24</f>
        <v/>
      </c>
      <c r="AV50" s="90">
        <f>AI50/125</f>
        <v/>
      </c>
      <c r="AW50" s="90">
        <f>AJ50/125</f>
        <v/>
      </c>
      <c r="AX50" s="79" t="n"/>
      <c r="AY50" s="79" t="n"/>
    </row>
    <row r="51" ht="15.75" customHeight="1" s="258">
      <c r="A51" s="76" t="n"/>
      <c r="B51" s="76" t="inlineStr">
        <is>
          <t>Curved Hammered / Vintage / With Brush</t>
        </is>
      </c>
      <c r="C51" s="76" t="inlineStr">
        <is>
          <t>CB-CVH-B-1</t>
        </is>
      </c>
      <c r="D51" s="77" t="n">
        <v>510</v>
      </c>
      <c r="E51" s="79" t="n"/>
      <c r="F51" s="76" t="n">
        <v>85</v>
      </c>
      <c r="G51" s="77" t="n">
        <v>741810</v>
      </c>
      <c r="H51" s="78" t="n">
        <v>0.05</v>
      </c>
      <c r="I51" s="76">
        <f>D51*H51</f>
        <v/>
      </c>
      <c r="J51" s="79" t="n"/>
      <c r="K51" s="76" t="n">
        <v>20</v>
      </c>
      <c r="L51" s="80">
        <f>K51+J51+I51+F51+E51+D51</f>
        <v/>
      </c>
      <c r="M51" s="76">
        <f>D51*1%</f>
        <v/>
      </c>
      <c r="N51" s="81">
        <f>L51*8%</f>
        <v/>
      </c>
      <c r="O51" s="81">
        <f>L51*10%</f>
        <v/>
      </c>
      <c r="P51" s="81">
        <f>L51*5%</f>
        <v/>
      </c>
      <c r="Q51" s="81">
        <f>L51*2%</f>
        <v/>
      </c>
      <c r="R51" s="81">
        <f>AC51*0.5%</f>
        <v/>
      </c>
      <c r="S51" s="81">
        <f>L51*1%</f>
        <v/>
      </c>
      <c r="T51" s="82">
        <f>S51+Q51+P51+O51+N51+M51</f>
        <v/>
      </c>
      <c r="U51" s="76">
        <f>AC51*1%</f>
        <v/>
      </c>
      <c r="V51" s="76">
        <f>AC51*5%</f>
        <v/>
      </c>
      <c r="W51" s="76">
        <f>AC51*1%</f>
        <v/>
      </c>
      <c r="X51" s="76">
        <f>AC51*8%</f>
        <v/>
      </c>
      <c r="Y51" s="76">
        <f>U51+V51+W51+X51</f>
        <v/>
      </c>
      <c r="Z51" s="82">
        <f>Y51+T51+L51</f>
        <v/>
      </c>
      <c r="AA51" s="83">
        <f>Z51*20%</f>
        <v/>
      </c>
      <c r="AB51" s="81">
        <f>Z51+AA51</f>
        <v/>
      </c>
      <c r="AC51" s="76">
        <f>D51*2.1</f>
        <v/>
      </c>
      <c r="AD51" s="81">
        <f>AB51-AC51</f>
        <v/>
      </c>
      <c r="AE51" s="81">
        <f>AD51/AB51*100</f>
        <v/>
      </c>
      <c r="AF51" s="79" t="n">
        <v>1199</v>
      </c>
      <c r="AG51" s="84">
        <f>((AF51-L51)/L51)*100</f>
        <v/>
      </c>
      <c r="AH51" s="86">
        <f>AJ51-AF51</f>
        <v/>
      </c>
      <c r="AI51" s="86" t="n">
        <v>1390</v>
      </c>
      <c r="AJ51" s="86" t="n">
        <v>1249</v>
      </c>
      <c r="AK51" s="87">
        <f>(AJ51-L51)/L51*100</f>
        <v/>
      </c>
      <c r="AL51" s="87" t="n"/>
      <c r="AM51" s="87">
        <f>AH51/AJ51%</f>
        <v/>
      </c>
      <c r="AN51" s="87">
        <f>AK51-AG51</f>
        <v/>
      </c>
      <c r="AO51" s="88">
        <f>AJ51/L51</f>
        <v/>
      </c>
      <c r="AP51" s="87">
        <f>(AJ51-AB51)/100</f>
        <v/>
      </c>
      <c r="AQ51" s="87">
        <f>(AJ51-AC51)/100</f>
        <v/>
      </c>
      <c r="AR51" s="89">
        <f>AI51/94</f>
        <v/>
      </c>
      <c r="AS51" s="89">
        <f>AJ51/94</f>
        <v/>
      </c>
      <c r="AT51" s="90">
        <f>AI51/24</f>
        <v/>
      </c>
      <c r="AU51" s="90">
        <f>AJ51/24</f>
        <v/>
      </c>
      <c r="AV51" s="90">
        <f>AI51/125</f>
        <v/>
      </c>
      <c r="AW51" s="90">
        <f>AJ51/125</f>
        <v/>
      </c>
      <c r="AX51" s="79" t="n"/>
      <c r="AY51" s="79" t="n"/>
    </row>
    <row r="52" ht="15" customHeight="1" s="258">
      <c r="A52" s="2" t="inlineStr">
        <is>
          <t>Sunshine within Me</t>
        </is>
      </c>
      <c r="B52" s="2" t="inlineStr">
        <is>
          <t>with-brush / 1L</t>
        </is>
      </c>
      <c r="C52" s="91" t="inlineStr">
        <is>
          <t>SWM-B-1</t>
        </is>
      </c>
      <c r="D52" s="118" t="n">
        <v>510</v>
      </c>
      <c r="E52" s="2" t="n">
        <v>50</v>
      </c>
      <c r="F52" s="2" t="n">
        <v>85</v>
      </c>
      <c r="G52" s="118" t="n">
        <v>741810</v>
      </c>
      <c r="H52" s="255" t="n">
        <v>0.05</v>
      </c>
      <c r="I52" s="2">
        <f>D52*H52</f>
        <v/>
      </c>
      <c r="K52" s="2" t="n">
        <v>20</v>
      </c>
      <c r="L52" s="4">
        <f>K52+J52+I52+F52+E52+D52</f>
        <v/>
      </c>
      <c r="M52" s="2">
        <f>D52*1%</f>
        <v/>
      </c>
      <c r="N52" s="12">
        <f>L52*8%</f>
        <v/>
      </c>
      <c r="O52" s="12">
        <f>L52*10%</f>
        <v/>
      </c>
      <c r="P52" s="12">
        <f>L52*5%</f>
        <v/>
      </c>
      <c r="Q52" s="12">
        <f>L52*2%</f>
        <v/>
      </c>
      <c r="R52" s="12">
        <f>AC52*0.5%</f>
        <v/>
      </c>
      <c r="S52" s="12">
        <f>L52*1%</f>
        <v/>
      </c>
      <c r="T52" s="60">
        <f>S52+Q52+P52+O52+N52+M52</f>
        <v/>
      </c>
      <c r="U52" s="2">
        <f>AC52*1%</f>
        <v/>
      </c>
      <c r="V52" s="44">
        <f>AC52*5%</f>
        <v/>
      </c>
      <c r="W52" s="2">
        <f>AC52*1%</f>
        <v/>
      </c>
      <c r="X52" s="2">
        <f>AC52*8%</f>
        <v/>
      </c>
      <c r="Y52" s="2">
        <f>U52+V52+W52+X52</f>
        <v/>
      </c>
      <c r="Z52" s="60">
        <f>Y52+T52+L52</f>
        <v/>
      </c>
      <c r="AA52" s="11">
        <f>Z52*20%</f>
        <v/>
      </c>
      <c r="AB52" s="12">
        <f>Z52+AA52</f>
        <v/>
      </c>
      <c r="AC52" s="2">
        <f>D52*2.1</f>
        <v/>
      </c>
      <c r="AD52" s="12">
        <f>AB52-AC52</f>
        <v/>
      </c>
      <c r="AE52" s="12">
        <f>AD52/AB52*100</f>
        <v/>
      </c>
      <c r="AG52" s="62">
        <f>((AF52-L52)/L52)*100</f>
        <v/>
      </c>
      <c r="AH52" s="106">
        <f>AJ52-AF52</f>
        <v/>
      </c>
      <c r="AI52" s="65">
        <f>AB52</f>
        <v/>
      </c>
      <c r="AJ52" s="65" t="n">
        <v>1290</v>
      </c>
      <c r="AK52" s="66">
        <f>(AJ52-L52)/L52*100</f>
        <v/>
      </c>
      <c r="AL52" s="66" t="n"/>
      <c r="AM52" s="14">
        <f>AH52/AJ52%</f>
        <v/>
      </c>
      <c r="AN52" s="67">
        <f>AK52-AG52</f>
        <v/>
      </c>
      <c r="AO52" s="68">
        <f>AJ52/L52</f>
        <v/>
      </c>
      <c r="AP52" s="69">
        <f>(AJ52-AB52)/100</f>
        <v/>
      </c>
      <c r="AQ52" s="70">
        <f>(AJ52-AC52)/100</f>
        <v/>
      </c>
      <c r="AR52" s="71">
        <f>AI52/94</f>
        <v/>
      </c>
      <c r="AS52" s="71">
        <f>AJ52/94</f>
        <v/>
      </c>
      <c r="AT52" s="72">
        <f>AI52/24</f>
        <v/>
      </c>
      <c r="AU52" s="72">
        <f>AJ52/24</f>
        <v/>
      </c>
      <c r="AV52" s="73">
        <f>AI52/125</f>
        <v/>
      </c>
      <c r="AW52" s="73">
        <f>AJ52/125</f>
        <v/>
      </c>
    </row>
    <row r="53" ht="15.75" customHeight="1" s="258">
      <c r="A53" s="2" t="n"/>
      <c r="B53" s="2" t="inlineStr">
        <is>
          <t>without-brush / 500ml</t>
        </is>
      </c>
      <c r="C53" s="91" t="inlineStr">
        <is>
          <t>SWM-N-.5</t>
        </is>
      </c>
      <c r="D53" s="118" t="n">
        <v>410</v>
      </c>
      <c r="F53" s="2" t="n">
        <v>85</v>
      </c>
      <c r="G53" s="118" t="n">
        <v>741810</v>
      </c>
      <c r="H53" s="255" t="n">
        <v>0.05</v>
      </c>
      <c r="I53" s="2">
        <f>D53*H53</f>
        <v/>
      </c>
      <c r="K53" s="2" t="n">
        <v>20</v>
      </c>
      <c r="L53" s="4">
        <f>K53+J53+I53+F53+E53+D53</f>
        <v/>
      </c>
      <c r="M53" s="2">
        <f>D53*1%</f>
        <v/>
      </c>
      <c r="N53" s="12">
        <f>L53*8%</f>
        <v/>
      </c>
      <c r="O53" s="12">
        <f>L53*10%</f>
        <v/>
      </c>
      <c r="P53" s="12">
        <f>L53*5%</f>
        <v/>
      </c>
      <c r="Q53" s="12">
        <f>L53*2%</f>
        <v/>
      </c>
      <c r="R53" s="12">
        <f>AC53*0.5%</f>
        <v/>
      </c>
      <c r="S53" s="12">
        <f>L53*1%</f>
        <v/>
      </c>
      <c r="T53" s="60">
        <f>S53+Q53+P53+O53+N53+M53</f>
        <v/>
      </c>
      <c r="U53" s="2">
        <f>AC53*1%</f>
        <v/>
      </c>
      <c r="V53" s="44">
        <f>AC53*5%</f>
        <v/>
      </c>
      <c r="W53" s="2">
        <f>AC53*1%</f>
        <v/>
      </c>
      <c r="X53" s="2">
        <f>AC53*8%</f>
        <v/>
      </c>
      <c r="Y53" s="2">
        <f>U53+V53+W53+X53</f>
        <v/>
      </c>
      <c r="Z53" s="60">
        <f>Y53+T53+L53</f>
        <v/>
      </c>
      <c r="AA53" s="11">
        <f>Z53*20%</f>
        <v/>
      </c>
      <c r="AB53" s="12">
        <f>Z53+AA53</f>
        <v/>
      </c>
      <c r="AC53" s="2">
        <f>D53*2.1</f>
        <v/>
      </c>
      <c r="AD53" s="12">
        <f>AB53-AC53</f>
        <v/>
      </c>
      <c r="AE53" s="12">
        <f>AD53/AB53*100</f>
        <v/>
      </c>
      <c r="AG53" s="62">
        <f>((AF53-L53)/L53)*100</f>
        <v/>
      </c>
      <c r="AH53" s="106">
        <f>AJ53-AF53</f>
        <v/>
      </c>
      <c r="AI53" s="65">
        <f>AB53</f>
        <v/>
      </c>
      <c r="AJ53" s="65" t="n">
        <v>990</v>
      </c>
      <c r="AK53" s="66">
        <f>(AJ53-L53)/L53*100</f>
        <v/>
      </c>
      <c r="AL53" s="66" t="n"/>
      <c r="AM53" s="14">
        <f>AH53/AJ53%</f>
        <v/>
      </c>
      <c r="AN53" s="67">
        <f>AK53-AG53</f>
        <v/>
      </c>
      <c r="AO53" s="68">
        <f>AJ53/L53</f>
        <v/>
      </c>
      <c r="AP53" s="69">
        <f>(AJ53-AB53)/100</f>
        <v/>
      </c>
      <c r="AQ53" s="70">
        <f>(AJ53-AC53)/100</f>
        <v/>
      </c>
      <c r="AR53" s="71">
        <f>AI53/94</f>
        <v/>
      </c>
      <c r="AS53" s="71">
        <f>AJ53/94</f>
        <v/>
      </c>
      <c r="AT53" s="72">
        <f>AI53/24</f>
        <v/>
      </c>
      <c r="AU53" s="72">
        <f>AJ53/24</f>
        <v/>
      </c>
      <c r="AV53" s="73">
        <f>AI53/125</f>
        <v/>
      </c>
      <c r="AW53" s="73">
        <f>AJ53/125</f>
        <v/>
      </c>
    </row>
    <row r="54" ht="15.75" customHeight="1" s="258">
      <c r="A54" s="2" t="n"/>
      <c r="B54" s="2" t="inlineStr">
        <is>
          <t>with-brush / 500ml</t>
        </is>
      </c>
      <c r="C54" s="91" t="inlineStr">
        <is>
          <t>SWM-B-.5</t>
        </is>
      </c>
      <c r="D54" s="118" t="n">
        <v>410</v>
      </c>
      <c r="E54" s="2" t="n">
        <v>50</v>
      </c>
      <c r="F54" s="2" t="n">
        <v>85</v>
      </c>
      <c r="G54" s="118" t="n">
        <v>741810</v>
      </c>
      <c r="H54" s="255" t="n">
        <v>0.05</v>
      </c>
      <c r="I54" s="2">
        <f>D54*H54</f>
        <v/>
      </c>
      <c r="K54" s="2" t="n">
        <v>20</v>
      </c>
      <c r="L54" s="4">
        <f>K54+J54+I54+F54+E54+D54</f>
        <v/>
      </c>
      <c r="M54" s="2">
        <f>D54*1%</f>
        <v/>
      </c>
      <c r="N54" s="12">
        <f>L54*8%</f>
        <v/>
      </c>
      <c r="O54" s="12">
        <f>L54*10%</f>
        <v/>
      </c>
      <c r="P54" s="12">
        <f>L54*5%</f>
        <v/>
      </c>
      <c r="Q54" s="12">
        <f>L54*2%</f>
        <v/>
      </c>
      <c r="R54" s="12">
        <f>AC54*0.5%</f>
        <v/>
      </c>
      <c r="S54" s="12">
        <f>L54*1%</f>
        <v/>
      </c>
      <c r="T54" s="60">
        <f>S54+Q54+P54+O54+N54+M54</f>
        <v/>
      </c>
      <c r="U54" s="2">
        <f>AC54*1%</f>
        <v/>
      </c>
      <c r="V54" s="44">
        <f>AC54*5%</f>
        <v/>
      </c>
      <c r="W54" s="2">
        <f>AC54*1%</f>
        <v/>
      </c>
      <c r="X54" s="2">
        <f>AC54*8%</f>
        <v/>
      </c>
      <c r="Y54" s="2">
        <f>U54+V54+W54+X54</f>
        <v/>
      </c>
      <c r="Z54" s="60">
        <f>Y54+T54+L54</f>
        <v/>
      </c>
      <c r="AA54" s="11">
        <f>Z54*20%</f>
        <v/>
      </c>
      <c r="AB54" s="12">
        <f>Z54+AA54</f>
        <v/>
      </c>
      <c r="AC54" s="2">
        <f>D54*2.1</f>
        <v/>
      </c>
      <c r="AD54" s="12">
        <f>AB54-AC54</f>
        <v/>
      </c>
      <c r="AE54" s="12">
        <f>AD54/AB54*100</f>
        <v/>
      </c>
      <c r="AG54" s="62">
        <f>((AF54-L54)/L54)*100</f>
        <v/>
      </c>
      <c r="AH54" s="106">
        <f>AJ54-AF54</f>
        <v/>
      </c>
      <c r="AI54" s="65">
        <f>AB54</f>
        <v/>
      </c>
      <c r="AJ54" s="65" t="n">
        <v>1090</v>
      </c>
      <c r="AK54" s="66">
        <f>(AJ54-L54)/L54*100</f>
        <v/>
      </c>
      <c r="AL54" s="66" t="n"/>
      <c r="AM54" s="14">
        <f>AH54/AJ54%</f>
        <v/>
      </c>
      <c r="AN54" s="67">
        <f>AK54-AG54</f>
        <v/>
      </c>
      <c r="AO54" s="68">
        <f>AJ54/L54</f>
        <v/>
      </c>
      <c r="AP54" s="69">
        <f>(AJ54-AB54)/100</f>
        <v/>
      </c>
      <c r="AQ54" s="70">
        <f>(AJ54-AC54)/100</f>
        <v/>
      </c>
      <c r="AR54" s="71">
        <f>AI54/94</f>
        <v/>
      </c>
      <c r="AS54" s="71">
        <f>AJ54/94</f>
        <v/>
      </c>
      <c r="AT54" s="72">
        <f>AI54/24</f>
        <v/>
      </c>
      <c r="AU54" s="72">
        <f>AJ54/24</f>
        <v/>
      </c>
      <c r="AV54" s="73">
        <f>AI54/125</f>
        <v/>
      </c>
      <c r="AW54" s="73">
        <f>AJ54/125</f>
        <v/>
      </c>
    </row>
    <row r="55" ht="15.75" customHeight="1" s="258">
      <c r="A55" s="2" t="n"/>
      <c r="B55" s="2" t="inlineStr">
        <is>
          <t>without-brush / 1L</t>
        </is>
      </c>
      <c r="C55" s="91" t="inlineStr">
        <is>
          <t>SWM-N-1</t>
        </is>
      </c>
      <c r="D55" s="118" t="n">
        <v>510</v>
      </c>
      <c r="F55" s="2" t="n">
        <v>85</v>
      </c>
      <c r="G55" s="118" t="n">
        <v>741810</v>
      </c>
      <c r="H55" s="255" t="n">
        <v>0.05</v>
      </c>
      <c r="I55" s="2">
        <f>D55*H55</f>
        <v/>
      </c>
      <c r="K55" s="2" t="n">
        <v>20</v>
      </c>
      <c r="L55" s="4">
        <f>K55+J55+I55+F55+E55+D55</f>
        <v/>
      </c>
      <c r="M55" s="2">
        <f>D55*1%</f>
        <v/>
      </c>
      <c r="N55" s="12">
        <f>L55*8%</f>
        <v/>
      </c>
      <c r="O55" s="12">
        <f>L55*10%</f>
        <v/>
      </c>
      <c r="P55" s="12">
        <f>L55*5%</f>
        <v/>
      </c>
      <c r="Q55" s="12">
        <f>L55*2%</f>
        <v/>
      </c>
      <c r="R55" s="12">
        <f>AC55*0.5%</f>
        <v/>
      </c>
      <c r="S55" s="12">
        <f>L55*1%</f>
        <v/>
      </c>
      <c r="T55" s="60">
        <f>S55+Q55+P55+O55+N55+M55</f>
        <v/>
      </c>
      <c r="U55" s="2">
        <f>AC55*1%</f>
        <v/>
      </c>
      <c r="V55" s="44">
        <f>AC55*5%</f>
        <v/>
      </c>
      <c r="W55" s="2">
        <f>AC55*1%</f>
        <v/>
      </c>
      <c r="X55" s="2">
        <f>AC55*8%</f>
        <v/>
      </c>
      <c r="Y55" s="2">
        <f>U55+V55+W55+X55</f>
        <v/>
      </c>
      <c r="Z55" s="60">
        <f>Y55+T55+L55</f>
        <v/>
      </c>
      <c r="AA55" s="11">
        <f>Z55*20%</f>
        <v/>
      </c>
      <c r="AB55" s="12">
        <f>Z55+AA55</f>
        <v/>
      </c>
      <c r="AC55" s="2">
        <f>D55*2.1</f>
        <v/>
      </c>
      <c r="AD55" s="12">
        <f>AB55-AC55</f>
        <v/>
      </c>
      <c r="AE55" s="12">
        <f>AD55/AB55*100</f>
        <v/>
      </c>
      <c r="AG55" s="62">
        <f>((AF55-L55)/L55)*100</f>
        <v/>
      </c>
      <c r="AH55" s="106">
        <f>AJ55-AF55</f>
        <v/>
      </c>
      <c r="AI55" s="65">
        <f>AB55</f>
        <v/>
      </c>
      <c r="AJ55" s="65" t="n">
        <v>1190</v>
      </c>
      <c r="AK55" s="66">
        <f>(AJ55-L55)/L55*100</f>
        <v/>
      </c>
      <c r="AL55" s="66" t="n"/>
      <c r="AM55" s="14">
        <f>AH55/AJ55%</f>
        <v/>
      </c>
      <c r="AN55" s="67">
        <f>AK55-AG55</f>
        <v/>
      </c>
      <c r="AO55" s="68">
        <f>AJ55/L55</f>
        <v/>
      </c>
      <c r="AP55" s="69">
        <f>(AJ55-AB55)/100</f>
        <v/>
      </c>
      <c r="AQ55" s="70">
        <f>(AJ55-AC55)/100</f>
        <v/>
      </c>
      <c r="AR55" s="71">
        <f>AI55/94</f>
        <v/>
      </c>
      <c r="AS55" s="71">
        <f>AJ55/94</f>
        <v/>
      </c>
      <c r="AT55" s="72">
        <f>AI55/24</f>
        <v/>
      </c>
      <c r="AU55" s="72">
        <f>AJ55/24</f>
        <v/>
      </c>
      <c r="AV55" s="73">
        <f>AI55/125</f>
        <v/>
      </c>
      <c r="AW55" s="73">
        <f>AJ55/125</f>
        <v/>
      </c>
    </row>
    <row r="56" ht="15" customHeight="1" s="258">
      <c r="A56" s="2" t="inlineStr">
        <is>
          <t>Tattvamasi-I am Infinite</t>
        </is>
      </c>
      <c r="B56" s="2" t="inlineStr">
        <is>
          <t>with-brush / 1L</t>
        </is>
      </c>
      <c r="C56" s="91" t="inlineStr">
        <is>
          <t>TIAI-B-1</t>
        </is>
      </c>
      <c r="D56" s="118" t="n">
        <v>520</v>
      </c>
      <c r="E56" s="2" t="n">
        <v>50</v>
      </c>
      <c r="F56" s="2" t="n">
        <v>85</v>
      </c>
      <c r="G56" s="118" t="n">
        <v>741810</v>
      </c>
      <c r="H56" s="255" t="n">
        <v>0.05</v>
      </c>
      <c r="I56" s="2">
        <f>D56*H56</f>
        <v/>
      </c>
      <c r="K56" s="2" t="n">
        <v>20</v>
      </c>
      <c r="L56" s="4">
        <f>K56+J56+I56+F56+E56+D56</f>
        <v/>
      </c>
      <c r="M56" s="2">
        <f>D56*1%</f>
        <v/>
      </c>
      <c r="N56" s="12">
        <f>L56*8%</f>
        <v/>
      </c>
      <c r="O56" s="12">
        <f>L56*10%</f>
        <v/>
      </c>
      <c r="P56" s="12">
        <f>L56*5%</f>
        <v/>
      </c>
      <c r="Q56" s="12">
        <f>L56*2%</f>
        <v/>
      </c>
      <c r="R56" s="12">
        <f>AC56*0.5%</f>
        <v/>
      </c>
      <c r="S56" s="12">
        <f>L56*1%</f>
        <v/>
      </c>
      <c r="T56" s="60">
        <f>S56+Q56+P56+O56+N56+M56</f>
        <v/>
      </c>
      <c r="U56" s="2">
        <f>AC56*1%</f>
        <v/>
      </c>
      <c r="V56" s="44">
        <f>AC56*5%</f>
        <v/>
      </c>
      <c r="W56" s="2">
        <f>AC56*1%</f>
        <v/>
      </c>
      <c r="X56" s="2">
        <f>AC56*8%</f>
        <v/>
      </c>
      <c r="Y56" s="2">
        <f>U56+V56+W56+X56</f>
        <v/>
      </c>
      <c r="Z56" s="60">
        <f>Y56+T56+L56</f>
        <v/>
      </c>
      <c r="AA56" s="11">
        <f>Z56*20%</f>
        <v/>
      </c>
      <c r="AB56" s="12">
        <f>Z56+AA56</f>
        <v/>
      </c>
      <c r="AC56" s="2">
        <f>D56*2.1</f>
        <v/>
      </c>
      <c r="AD56" s="12">
        <f>AB56-AC56</f>
        <v/>
      </c>
      <c r="AE56" s="12">
        <f>AD56/AB56*100</f>
        <v/>
      </c>
      <c r="AG56" s="62">
        <f>((AF56-L56)/L56)*100</f>
        <v/>
      </c>
      <c r="AH56" s="106">
        <f>AJ56-AF56</f>
        <v/>
      </c>
      <c r="AI56" s="65">
        <f>AB56</f>
        <v/>
      </c>
      <c r="AJ56" s="65" t="n">
        <v>1390</v>
      </c>
      <c r="AK56" s="66">
        <f>(AJ56-L56)/L56*100</f>
        <v/>
      </c>
      <c r="AL56" s="66" t="n"/>
      <c r="AM56" s="14">
        <f>AH56/AJ56%</f>
        <v/>
      </c>
      <c r="AN56" s="67">
        <f>AK56-AG56</f>
        <v/>
      </c>
      <c r="AO56" s="68">
        <f>AJ56/L56</f>
        <v/>
      </c>
      <c r="AP56" s="69">
        <f>(AJ56-AB56)/100</f>
        <v/>
      </c>
      <c r="AQ56" s="70">
        <f>(AJ56-AC56)/100</f>
        <v/>
      </c>
      <c r="AR56" s="71">
        <f>AI56/94</f>
        <v/>
      </c>
      <c r="AS56" s="71">
        <f>AJ56/94</f>
        <v/>
      </c>
      <c r="AT56" s="72">
        <f>AI56/24</f>
        <v/>
      </c>
      <c r="AU56" s="72">
        <f>AJ56/24</f>
        <v/>
      </c>
      <c r="AV56" s="73">
        <f>AI56/125</f>
        <v/>
      </c>
      <c r="AW56" s="73">
        <f>AJ56/125</f>
        <v/>
      </c>
    </row>
    <row r="57" ht="15.75" customHeight="1" s="258">
      <c r="A57" s="2" t="n"/>
      <c r="B57" s="2" t="inlineStr">
        <is>
          <t>without-brush / 500ml</t>
        </is>
      </c>
      <c r="C57" s="91" t="inlineStr">
        <is>
          <t>TIAI-N-.5</t>
        </is>
      </c>
      <c r="D57" s="118" t="n">
        <v>410</v>
      </c>
      <c r="F57" s="2" t="n">
        <v>85</v>
      </c>
      <c r="G57" s="118" t="n">
        <v>741810</v>
      </c>
      <c r="H57" s="255" t="n">
        <v>0.05</v>
      </c>
      <c r="I57" s="2">
        <f>D57*H57</f>
        <v/>
      </c>
      <c r="K57" s="2" t="n">
        <v>20</v>
      </c>
      <c r="L57" s="4">
        <f>K57+J57+I57+F57+E57+D57</f>
        <v/>
      </c>
      <c r="M57" s="2">
        <f>D57*1%</f>
        <v/>
      </c>
      <c r="N57" s="12">
        <f>L57*8%</f>
        <v/>
      </c>
      <c r="O57" s="12">
        <f>L57*10%</f>
        <v/>
      </c>
      <c r="P57" s="12">
        <f>L57*5%</f>
        <v/>
      </c>
      <c r="Q57" s="12">
        <f>L57*2%</f>
        <v/>
      </c>
      <c r="R57" s="12">
        <f>AC57*0.5%</f>
        <v/>
      </c>
      <c r="S57" s="12">
        <f>L57*1%</f>
        <v/>
      </c>
      <c r="T57" s="60">
        <f>S57+Q57+P57+O57+N57+M57</f>
        <v/>
      </c>
      <c r="U57" s="2">
        <f>AC57*1%</f>
        <v/>
      </c>
      <c r="V57" s="44">
        <f>AC57*5%</f>
        <v/>
      </c>
      <c r="W57" s="2">
        <f>AC57*1%</f>
        <v/>
      </c>
      <c r="X57" s="2">
        <f>AC57*8%</f>
        <v/>
      </c>
      <c r="Y57" s="2">
        <f>U57+V57+W57+X57</f>
        <v/>
      </c>
      <c r="Z57" s="60">
        <f>Y57+T57+L57</f>
        <v/>
      </c>
      <c r="AA57" s="11">
        <f>Z57*20%</f>
        <v/>
      </c>
      <c r="AB57" s="12">
        <f>Z57+AA57</f>
        <v/>
      </c>
      <c r="AC57" s="2">
        <f>D57*2.1</f>
        <v/>
      </c>
      <c r="AD57" s="12">
        <f>AB57-AC57</f>
        <v/>
      </c>
      <c r="AE57" s="12">
        <f>AD57/AB57*100</f>
        <v/>
      </c>
      <c r="AG57" s="62">
        <f>((AF57-L57)/L57)*100</f>
        <v/>
      </c>
      <c r="AH57" s="106">
        <f>AJ57-AF57</f>
        <v/>
      </c>
      <c r="AI57" s="65">
        <f>AB57</f>
        <v/>
      </c>
      <c r="AJ57" s="65" t="n">
        <v>990</v>
      </c>
      <c r="AK57" s="66">
        <f>(AJ57-L57)/L57*100</f>
        <v/>
      </c>
      <c r="AL57" s="66" t="n"/>
      <c r="AM57" s="14">
        <f>AH57/AJ57%</f>
        <v/>
      </c>
      <c r="AN57" s="67">
        <f>AK57-AG57</f>
        <v/>
      </c>
      <c r="AO57" s="68">
        <f>AJ57/L57</f>
        <v/>
      </c>
      <c r="AP57" s="69">
        <f>(AJ57-AB57)/100</f>
        <v/>
      </c>
      <c r="AQ57" s="70">
        <f>(AJ57-AC57)/100</f>
        <v/>
      </c>
      <c r="AR57" s="71">
        <f>AI57/94</f>
        <v/>
      </c>
      <c r="AS57" s="71">
        <f>AJ57/94</f>
        <v/>
      </c>
      <c r="AT57" s="72">
        <f>AI57/24</f>
        <v/>
      </c>
      <c r="AU57" s="72">
        <f>AJ57/24</f>
        <v/>
      </c>
      <c r="AV57" s="73">
        <f>AI57/125</f>
        <v/>
      </c>
      <c r="AW57" s="73">
        <f>AJ57/125</f>
        <v/>
      </c>
    </row>
    <row r="58" ht="15.75" customHeight="1" s="258">
      <c r="A58" s="2" t="n"/>
      <c r="B58" s="2" t="inlineStr">
        <is>
          <t>with-brush / 500ml</t>
        </is>
      </c>
      <c r="C58" s="91" t="inlineStr">
        <is>
          <t>TIAI-B-.5</t>
        </is>
      </c>
      <c r="D58" s="118" t="n">
        <v>410</v>
      </c>
      <c r="E58" s="2" t="n">
        <v>50</v>
      </c>
      <c r="F58" s="2" t="n">
        <v>85</v>
      </c>
      <c r="G58" s="118" t="n">
        <v>741810</v>
      </c>
      <c r="H58" s="255" t="n">
        <v>0.05</v>
      </c>
      <c r="I58" s="2">
        <f>D58*H58</f>
        <v/>
      </c>
      <c r="K58" s="2" t="n">
        <v>20</v>
      </c>
      <c r="L58" s="4">
        <f>K58+J58+I58+F58+E58+D58</f>
        <v/>
      </c>
      <c r="M58" s="2">
        <f>D58*1%</f>
        <v/>
      </c>
      <c r="N58" s="12">
        <f>L58*8%</f>
        <v/>
      </c>
      <c r="O58" s="12">
        <f>L58*10%</f>
        <v/>
      </c>
      <c r="P58" s="12">
        <f>L58*5%</f>
        <v/>
      </c>
      <c r="Q58" s="12">
        <f>L58*2%</f>
        <v/>
      </c>
      <c r="R58" s="12">
        <f>AC58*0.5%</f>
        <v/>
      </c>
      <c r="S58" s="12">
        <f>L58*1%</f>
        <v/>
      </c>
      <c r="T58" s="60">
        <f>S58+Q58+P58+O58+N58+M58</f>
        <v/>
      </c>
      <c r="U58" s="2">
        <f>AC58*1%</f>
        <v/>
      </c>
      <c r="V58" s="44">
        <f>AC58*5%</f>
        <v/>
      </c>
      <c r="W58" s="2">
        <f>AC58*1%</f>
        <v/>
      </c>
      <c r="X58" s="2">
        <f>AC58*8%</f>
        <v/>
      </c>
      <c r="Y58" s="2">
        <f>U58+V58+W58+X58</f>
        <v/>
      </c>
      <c r="Z58" s="60">
        <f>Y58+T58+L58</f>
        <v/>
      </c>
      <c r="AA58" s="11">
        <f>Z58*20%</f>
        <v/>
      </c>
      <c r="AB58" s="12">
        <f>Z58+AA58</f>
        <v/>
      </c>
      <c r="AC58" s="2">
        <f>D58*2.1</f>
        <v/>
      </c>
      <c r="AD58" s="12">
        <f>AB58-AC58</f>
        <v/>
      </c>
      <c r="AE58" s="12">
        <f>AD58/AB58*100</f>
        <v/>
      </c>
      <c r="AG58" s="62">
        <f>((AF58-L58)/L58)*100</f>
        <v/>
      </c>
      <c r="AH58" s="106">
        <f>AJ58-AF58</f>
        <v/>
      </c>
      <c r="AI58" s="65">
        <f>AB58</f>
        <v/>
      </c>
      <c r="AJ58" s="65" t="n">
        <v>1090</v>
      </c>
      <c r="AK58" s="66">
        <f>(AJ58-L58)/L58*100</f>
        <v/>
      </c>
      <c r="AL58" s="66" t="n"/>
      <c r="AM58" s="14">
        <f>AH58/AJ58%</f>
        <v/>
      </c>
      <c r="AN58" s="67">
        <f>AK58-AG58</f>
        <v/>
      </c>
      <c r="AO58" s="68">
        <f>AJ58/L58</f>
        <v/>
      </c>
      <c r="AP58" s="69">
        <f>(AJ58-AB58)/100</f>
        <v/>
      </c>
      <c r="AQ58" s="70">
        <f>(AJ58-AC58)/100</f>
        <v/>
      </c>
      <c r="AR58" s="71">
        <f>AI58/94</f>
        <v/>
      </c>
      <c r="AS58" s="71">
        <f>AJ58/94</f>
        <v/>
      </c>
      <c r="AT58" s="72">
        <f>AI58/24</f>
        <v/>
      </c>
      <c r="AU58" s="72">
        <f>AJ58/24</f>
        <v/>
      </c>
      <c r="AV58" s="73">
        <f>AI58/125</f>
        <v/>
      </c>
      <c r="AW58" s="73">
        <f>AJ58/125</f>
        <v/>
      </c>
    </row>
    <row r="59" ht="15.75" customHeight="1" s="258">
      <c r="A59" s="2" t="n"/>
      <c r="B59" s="2" t="inlineStr">
        <is>
          <t>without-brush / 1L</t>
        </is>
      </c>
      <c r="C59" s="91" t="inlineStr">
        <is>
          <t>TIAI-N-1</t>
        </is>
      </c>
      <c r="D59" s="118" t="n">
        <v>520</v>
      </c>
      <c r="F59" s="2" t="n">
        <v>85</v>
      </c>
      <c r="G59" s="118" t="n">
        <v>741810</v>
      </c>
      <c r="H59" s="255" t="n">
        <v>0.05</v>
      </c>
      <c r="I59" s="2">
        <f>D59*H59</f>
        <v/>
      </c>
      <c r="K59" s="2" t="n">
        <v>20</v>
      </c>
      <c r="L59" s="4">
        <f>K59+J59+I59+F59+E59+D59</f>
        <v/>
      </c>
      <c r="M59" s="2">
        <f>D59*1%</f>
        <v/>
      </c>
      <c r="N59" s="12">
        <f>L59*8%</f>
        <v/>
      </c>
      <c r="O59" s="12">
        <f>L59*10%</f>
        <v/>
      </c>
      <c r="P59" s="12">
        <f>L59*5%</f>
        <v/>
      </c>
      <c r="Q59" s="12">
        <f>L59*2%</f>
        <v/>
      </c>
      <c r="R59" s="12">
        <f>AC59*0.5%</f>
        <v/>
      </c>
      <c r="S59" s="12">
        <f>L59*1%</f>
        <v/>
      </c>
      <c r="T59" s="60">
        <f>S59+Q59+P59+O59+N59+M59</f>
        <v/>
      </c>
      <c r="U59" s="2">
        <f>AC59*1%</f>
        <v/>
      </c>
      <c r="V59" s="44">
        <f>AC59*5%</f>
        <v/>
      </c>
      <c r="W59" s="2">
        <f>AC59*1%</f>
        <v/>
      </c>
      <c r="X59" s="2">
        <f>AC59*8%</f>
        <v/>
      </c>
      <c r="Y59" s="2">
        <f>U59+V59+W59+X59</f>
        <v/>
      </c>
      <c r="Z59" s="60">
        <f>Y59+T59+L59</f>
        <v/>
      </c>
      <c r="AA59" s="11">
        <f>Z59*20%</f>
        <v/>
      </c>
      <c r="AB59" s="12">
        <f>Z59+AA59</f>
        <v/>
      </c>
      <c r="AC59" s="2">
        <f>D59*2.1</f>
        <v/>
      </c>
      <c r="AD59" s="12">
        <f>AB59-AC59</f>
        <v/>
      </c>
      <c r="AE59" s="12">
        <f>AD59/AB59*100</f>
        <v/>
      </c>
      <c r="AG59" s="62">
        <f>((AF59-L59)/L59)*100</f>
        <v/>
      </c>
      <c r="AH59" s="106">
        <f>AJ59-AF59</f>
        <v/>
      </c>
      <c r="AI59" s="65">
        <f>AB59</f>
        <v/>
      </c>
      <c r="AJ59" s="65" t="n">
        <v>1290</v>
      </c>
      <c r="AK59" s="66">
        <f>(AJ59-L59)/L59*100</f>
        <v/>
      </c>
      <c r="AL59" s="66" t="n"/>
      <c r="AM59" s="14">
        <f>AH59/AJ59%</f>
        <v/>
      </c>
      <c r="AN59" s="67">
        <f>AK59-AG59</f>
        <v/>
      </c>
      <c r="AO59" s="68">
        <f>AJ59/L59</f>
        <v/>
      </c>
      <c r="AP59" s="69">
        <f>(AJ59-AB59)/100</f>
        <v/>
      </c>
      <c r="AQ59" s="70">
        <f>(AJ59-AC59)/100</f>
        <v/>
      </c>
      <c r="AR59" s="71">
        <f>AI59/94</f>
        <v/>
      </c>
      <c r="AS59" s="71">
        <f>AJ59/94</f>
        <v/>
      </c>
      <c r="AT59" s="72">
        <f>AI59/24</f>
        <v/>
      </c>
      <c r="AU59" s="72">
        <f>AJ59/24</f>
        <v/>
      </c>
      <c r="AV59" s="73">
        <f>AI59/125</f>
        <v/>
      </c>
      <c r="AW59" s="73">
        <f>AJ59/125</f>
        <v/>
      </c>
    </row>
    <row r="60" ht="15" customHeight="1" s="258">
      <c r="A60" s="2" t="inlineStr">
        <is>
          <t>Pink &amp; Positive</t>
        </is>
      </c>
      <c r="B60" s="2" t="inlineStr">
        <is>
          <t>without-brush / 1L</t>
        </is>
      </c>
      <c r="C60" s="91" t="inlineStr">
        <is>
          <t>PP-N-1</t>
        </is>
      </c>
      <c r="D60" s="118" t="n">
        <v>520</v>
      </c>
      <c r="F60" s="2" t="n">
        <v>85</v>
      </c>
      <c r="G60" s="118" t="n">
        <v>741810</v>
      </c>
      <c r="H60" s="255" t="n">
        <v>0.05</v>
      </c>
      <c r="I60" s="2">
        <f>D60*H60</f>
        <v/>
      </c>
      <c r="K60" s="2" t="n">
        <v>20</v>
      </c>
      <c r="L60" s="4">
        <f>K60+J60+I60+F60+E60+D60</f>
        <v/>
      </c>
      <c r="M60" s="2">
        <f>D60*1%</f>
        <v/>
      </c>
      <c r="N60" s="12">
        <f>L60*8%</f>
        <v/>
      </c>
      <c r="O60" s="12">
        <f>L60*10%</f>
        <v/>
      </c>
      <c r="P60" s="12">
        <f>L60*5%</f>
        <v/>
      </c>
      <c r="Q60" s="12">
        <f>L60*2%</f>
        <v/>
      </c>
      <c r="R60" s="12">
        <f>AC60*0.5%</f>
        <v/>
      </c>
      <c r="S60" s="12">
        <f>L60*1%</f>
        <v/>
      </c>
      <c r="T60" s="60">
        <f>S60+Q60+P60+O60+N60+M60</f>
        <v/>
      </c>
      <c r="U60" s="2">
        <f>AC60*1%</f>
        <v/>
      </c>
      <c r="V60" s="44">
        <f>AC60*5%</f>
        <v/>
      </c>
      <c r="W60" s="2">
        <f>AC60*1%</f>
        <v/>
      </c>
      <c r="X60" s="2">
        <f>AC60*8%</f>
        <v/>
      </c>
      <c r="Y60" s="2">
        <f>U60+V60+W60+X60</f>
        <v/>
      </c>
      <c r="Z60" s="60">
        <f>Y60+T60+L60</f>
        <v/>
      </c>
      <c r="AA60" s="11">
        <f>Z60*20%</f>
        <v/>
      </c>
      <c r="AB60" s="12">
        <f>Z60+AA60</f>
        <v/>
      </c>
      <c r="AC60" s="2">
        <f>D60*2.1</f>
        <v/>
      </c>
      <c r="AD60" s="12">
        <f>AB60-AC60</f>
        <v/>
      </c>
      <c r="AE60" s="12">
        <f>AD60/AB60*100</f>
        <v/>
      </c>
      <c r="AG60" s="62">
        <f>((AF60-L60)/L60)*100</f>
        <v/>
      </c>
      <c r="AH60" s="106">
        <f>AJ60-AF60</f>
        <v/>
      </c>
      <c r="AI60" s="65">
        <f>AB60</f>
        <v/>
      </c>
      <c r="AJ60" s="65" t="n">
        <v>1190</v>
      </c>
      <c r="AK60" s="66">
        <f>(AJ60-L60)/L60*100</f>
        <v/>
      </c>
      <c r="AL60" s="66" t="n"/>
      <c r="AM60" s="14">
        <f>AH60/AJ60%</f>
        <v/>
      </c>
      <c r="AN60" s="67">
        <f>AK60-AG60</f>
        <v/>
      </c>
      <c r="AO60" s="68">
        <f>AJ60/L60</f>
        <v/>
      </c>
      <c r="AP60" s="69">
        <f>(AJ60-AB60)/100</f>
        <v/>
      </c>
      <c r="AQ60" s="70">
        <f>(AJ60-AC60)/100</f>
        <v/>
      </c>
      <c r="AR60" s="71">
        <f>AI60/94</f>
        <v/>
      </c>
      <c r="AS60" s="71">
        <f>AJ60/94</f>
        <v/>
      </c>
      <c r="AT60" s="72">
        <f>AI60/24</f>
        <v/>
      </c>
      <c r="AU60" s="72">
        <f>AJ60/24</f>
        <v/>
      </c>
      <c r="AV60" s="73">
        <f>AI60/125</f>
        <v/>
      </c>
      <c r="AW60" s="73">
        <f>AJ60/125</f>
        <v/>
      </c>
    </row>
    <row r="61" ht="15.75" customHeight="1" s="258">
      <c r="A61" s="2" t="n"/>
      <c r="B61" s="2" t="inlineStr">
        <is>
          <t>without-brush / 500ml</t>
        </is>
      </c>
      <c r="C61" s="91" t="inlineStr">
        <is>
          <t>PP-N-.5</t>
        </is>
      </c>
      <c r="D61" s="118" t="n">
        <v>400</v>
      </c>
      <c r="F61" s="2" t="n">
        <v>85</v>
      </c>
      <c r="G61" s="118" t="n">
        <v>741810</v>
      </c>
      <c r="H61" s="255" t="n">
        <v>0.05</v>
      </c>
      <c r="I61" s="2">
        <f>D61*H61</f>
        <v/>
      </c>
      <c r="K61" s="2" t="n">
        <v>20</v>
      </c>
      <c r="L61" s="4">
        <f>K61+J61+I61+F61+E61+D61</f>
        <v/>
      </c>
      <c r="M61" s="2">
        <f>D61*1%</f>
        <v/>
      </c>
      <c r="N61" s="12">
        <f>L61*8%</f>
        <v/>
      </c>
      <c r="O61" s="12">
        <f>L61*10%</f>
        <v/>
      </c>
      <c r="P61" s="12">
        <f>L61*5%</f>
        <v/>
      </c>
      <c r="Q61" s="12">
        <f>L61*2%</f>
        <v/>
      </c>
      <c r="R61" s="12">
        <f>AC61*0.5%</f>
        <v/>
      </c>
      <c r="S61" s="12">
        <f>L61*1%</f>
        <v/>
      </c>
      <c r="T61" s="60">
        <f>S61+Q61+P61+O61+N61+M61</f>
        <v/>
      </c>
      <c r="U61" s="2">
        <f>AC61*1%</f>
        <v/>
      </c>
      <c r="V61" s="44">
        <f>AC61*5%</f>
        <v/>
      </c>
      <c r="W61" s="2">
        <f>AC61*1%</f>
        <v/>
      </c>
      <c r="X61" s="2">
        <f>AC61*8%</f>
        <v/>
      </c>
      <c r="Y61" s="2">
        <f>U61+V61+W61+X61</f>
        <v/>
      </c>
      <c r="Z61" s="60">
        <f>Y61+T61+L61</f>
        <v/>
      </c>
      <c r="AA61" s="11">
        <f>Z61*20%</f>
        <v/>
      </c>
      <c r="AB61" s="12">
        <f>Z61+AA61</f>
        <v/>
      </c>
      <c r="AC61" s="2">
        <f>D61*2.1</f>
        <v/>
      </c>
      <c r="AD61" s="12">
        <f>AB61-AC61</f>
        <v/>
      </c>
      <c r="AE61" s="12">
        <f>AD61/AB61*100</f>
        <v/>
      </c>
      <c r="AG61" s="62">
        <f>((AF61-L61)/L61)*100</f>
        <v/>
      </c>
      <c r="AH61" s="106">
        <f>AJ61-AF61</f>
        <v/>
      </c>
      <c r="AI61" s="65">
        <f>AB61</f>
        <v/>
      </c>
      <c r="AJ61" s="65" t="n">
        <v>990</v>
      </c>
      <c r="AK61" s="66">
        <f>(AJ61-L61)/L61*100</f>
        <v/>
      </c>
      <c r="AL61" s="66" t="n"/>
      <c r="AM61" s="14">
        <f>AH61/AJ61%</f>
        <v/>
      </c>
      <c r="AN61" s="67">
        <f>AK61-AG61</f>
        <v/>
      </c>
      <c r="AO61" s="68">
        <f>AJ61/L61</f>
        <v/>
      </c>
      <c r="AP61" s="69">
        <f>(AJ61-AB61)/100</f>
        <v/>
      </c>
      <c r="AQ61" s="70">
        <f>(AJ61-AC61)/100</f>
        <v/>
      </c>
      <c r="AR61" s="71">
        <f>AI61/94</f>
        <v/>
      </c>
      <c r="AS61" s="71">
        <f>AJ61/94</f>
        <v/>
      </c>
      <c r="AT61" s="72">
        <f>AI61/24</f>
        <v/>
      </c>
      <c r="AU61" s="72">
        <f>AJ61/24</f>
        <v/>
      </c>
      <c r="AV61" s="73">
        <f>AI61/125</f>
        <v/>
      </c>
      <c r="AW61" s="73">
        <f>AJ61/125</f>
        <v/>
      </c>
    </row>
    <row r="62" ht="15.75" customHeight="1" s="258">
      <c r="A62" s="2" t="n"/>
      <c r="B62" s="2" t="inlineStr">
        <is>
          <t>with-brush / 500ml</t>
        </is>
      </c>
      <c r="C62" s="91" t="inlineStr">
        <is>
          <t>PP-B-.5</t>
        </is>
      </c>
      <c r="D62" s="118" t="n">
        <v>400</v>
      </c>
      <c r="E62" s="2" t="n">
        <v>50</v>
      </c>
      <c r="F62" s="2" t="n">
        <v>85</v>
      </c>
      <c r="G62" s="118" t="n">
        <v>741810</v>
      </c>
      <c r="H62" s="255" t="n">
        <v>0.05</v>
      </c>
      <c r="I62" s="2">
        <f>D62*H62</f>
        <v/>
      </c>
      <c r="K62" s="2" t="n">
        <v>20</v>
      </c>
      <c r="L62" s="4">
        <f>K62+J62+I62+F62+E62+D62</f>
        <v/>
      </c>
      <c r="M62" s="2">
        <f>D62*1%</f>
        <v/>
      </c>
      <c r="N62" s="12">
        <f>L62*8%</f>
        <v/>
      </c>
      <c r="O62" s="12">
        <f>L62*10%</f>
        <v/>
      </c>
      <c r="P62" s="12">
        <f>L62*5%</f>
        <v/>
      </c>
      <c r="Q62" s="12">
        <f>L62*2%</f>
        <v/>
      </c>
      <c r="R62" s="12">
        <f>AC62*0.5%</f>
        <v/>
      </c>
      <c r="S62" s="12">
        <f>L62*1%</f>
        <v/>
      </c>
      <c r="T62" s="60">
        <f>S62+Q62+P62+O62+N62+M62</f>
        <v/>
      </c>
      <c r="U62" s="2">
        <f>AC62*1%</f>
        <v/>
      </c>
      <c r="V62" s="44">
        <f>AC62*5%</f>
        <v/>
      </c>
      <c r="W62" s="2">
        <f>AC62*1%</f>
        <v/>
      </c>
      <c r="X62" s="2">
        <f>AC62*8%</f>
        <v/>
      </c>
      <c r="Y62" s="2">
        <f>U62+V62+W62+X62</f>
        <v/>
      </c>
      <c r="Z62" s="60">
        <f>Y62+T62+L62</f>
        <v/>
      </c>
      <c r="AA62" s="11">
        <f>Z62*20%</f>
        <v/>
      </c>
      <c r="AB62" s="12">
        <f>Z62+AA62</f>
        <v/>
      </c>
      <c r="AC62" s="2">
        <f>D62*2.1</f>
        <v/>
      </c>
      <c r="AD62" s="12">
        <f>AB62-AC62</f>
        <v/>
      </c>
      <c r="AE62" s="12">
        <f>AD62/AB62*100</f>
        <v/>
      </c>
      <c r="AG62" s="62">
        <f>((AF62-L62)/L62)*100</f>
        <v/>
      </c>
      <c r="AH62" s="106">
        <f>AJ62-AF62</f>
        <v/>
      </c>
      <c r="AI62" s="65">
        <f>AB62</f>
        <v/>
      </c>
      <c r="AJ62" s="65" t="n">
        <v>1090</v>
      </c>
      <c r="AK62" s="66">
        <f>(AJ62-L62)/L62*100</f>
        <v/>
      </c>
      <c r="AL62" s="66" t="n"/>
      <c r="AM62" s="14">
        <f>AH62/AJ62%</f>
        <v/>
      </c>
      <c r="AN62" s="67">
        <f>AK62-AG62</f>
        <v/>
      </c>
      <c r="AO62" s="68">
        <f>AJ62/L62</f>
        <v/>
      </c>
      <c r="AP62" s="69">
        <f>(AJ62-AB62)/100</f>
        <v/>
      </c>
      <c r="AQ62" s="70">
        <f>(AJ62-AC62)/100</f>
        <v/>
      </c>
      <c r="AR62" s="71">
        <f>AI62/94</f>
        <v/>
      </c>
      <c r="AS62" s="71">
        <f>AJ62/94</f>
        <v/>
      </c>
      <c r="AT62" s="72">
        <f>AI62/24</f>
        <v/>
      </c>
      <c r="AU62" s="72">
        <f>AJ62/24</f>
        <v/>
      </c>
      <c r="AV62" s="73">
        <f>AI62/125</f>
        <v/>
      </c>
      <c r="AW62" s="73">
        <f>AJ62/125</f>
        <v/>
      </c>
    </row>
    <row r="63" ht="15.75" customHeight="1" s="258">
      <c r="A63" s="2" t="n"/>
      <c r="B63" s="2" t="inlineStr">
        <is>
          <t>with-brush / 1L</t>
        </is>
      </c>
      <c r="C63" s="91" t="inlineStr">
        <is>
          <t>PP-B-1</t>
        </is>
      </c>
      <c r="D63" s="118" t="n">
        <v>520</v>
      </c>
      <c r="E63" s="2" t="n">
        <v>50</v>
      </c>
      <c r="F63" s="2" t="n">
        <v>85</v>
      </c>
      <c r="G63" s="118" t="n">
        <v>741810</v>
      </c>
      <c r="H63" s="255" t="n">
        <v>0.05</v>
      </c>
      <c r="I63" s="2">
        <f>D63*H63</f>
        <v/>
      </c>
      <c r="K63" s="2" t="n">
        <v>20</v>
      </c>
      <c r="L63" s="4">
        <f>K63+J63+I63+F63+E63+D63</f>
        <v/>
      </c>
      <c r="M63" s="2">
        <f>D63*1%</f>
        <v/>
      </c>
      <c r="N63" s="12">
        <f>L63*8%</f>
        <v/>
      </c>
      <c r="O63" s="12">
        <f>L63*10%</f>
        <v/>
      </c>
      <c r="P63" s="12">
        <f>L63*5%</f>
        <v/>
      </c>
      <c r="Q63" s="12">
        <f>L63*2%</f>
        <v/>
      </c>
      <c r="R63" s="12">
        <f>AC63*0.5%</f>
        <v/>
      </c>
      <c r="S63" s="12">
        <f>L63*1%</f>
        <v/>
      </c>
      <c r="T63" s="60">
        <f>S63+Q63+P63+O63+N63+M63</f>
        <v/>
      </c>
      <c r="U63" s="2">
        <f>AC63*1%</f>
        <v/>
      </c>
      <c r="V63" s="44">
        <f>AC63*5%</f>
        <v/>
      </c>
      <c r="W63" s="2">
        <f>AC63*1%</f>
        <v/>
      </c>
      <c r="X63" s="2">
        <f>AC63*8%</f>
        <v/>
      </c>
      <c r="Y63" s="2">
        <f>U63+V63+W63+X63</f>
        <v/>
      </c>
      <c r="Z63" s="60">
        <f>Y63+T63+L63</f>
        <v/>
      </c>
      <c r="AA63" s="11">
        <f>Z63*20%</f>
        <v/>
      </c>
      <c r="AB63" s="12">
        <f>Z63+AA63</f>
        <v/>
      </c>
      <c r="AC63" s="2">
        <f>D63*2.1</f>
        <v/>
      </c>
      <c r="AD63" s="12">
        <f>AB63-AC63</f>
        <v/>
      </c>
      <c r="AE63" s="12">
        <f>AD63/AB63*100</f>
        <v/>
      </c>
      <c r="AG63" s="62">
        <f>((AF63-L63)/L63)*100</f>
        <v/>
      </c>
      <c r="AH63" s="106">
        <f>AJ63-AF63</f>
        <v/>
      </c>
      <c r="AI63" s="65">
        <f>AB63</f>
        <v/>
      </c>
      <c r="AJ63" s="65" t="n">
        <v>1290</v>
      </c>
      <c r="AK63" s="66">
        <f>(AJ63-L63)/L63*100</f>
        <v/>
      </c>
      <c r="AL63" s="66" t="n"/>
      <c r="AM63" s="14">
        <f>AH63/AJ63%</f>
        <v/>
      </c>
      <c r="AN63" s="67">
        <f>AK63-AG63</f>
        <v/>
      </c>
      <c r="AO63" s="68">
        <f>AJ63/L63</f>
        <v/>
      </c>
      <c r="AP63" s="69">
        <f>(AJ63-AB63)/100</f>
        <v/>
      </c>
      <c r="AQ63" s="70">
        <f>(AJ63-AC63)/100</f>
        <v/>
      </c>
      <c r="AR63" s="71">
        <f>AI63/94</f>
        <v/>
      </c>
      <c r="AS63" s="71">
        <f>AJ63/94</f>
        <v/>
      </c>
      <c r="AT63" s="72">
        <f>AI63/24</f>
        <v/>
      </c>
      <c r="AU63" s="72">
        <f>AJ63/24</f>
        <v/>
      </c>
      <c r="AV63" s="73">
        <f>AI63/125</f>
        <v/>
      </c>
      <c r="AW63" s="73">
        <f>AJ63/125</f>
        <v/>
      </c>
    </row>
    <row r="64" ht="15" customHeight="1" s="258">
      <c r="A64" s="2" t="inlineStr">
        <is>
          <t>Happiness is Inside</t>
        </is>
      </c>
      <c r="B64" s="2" t="inlineStr">
        <is>
          <t>with-brush / 1L</t>
        </is>
      </c>
      <c r="C64" s="91" t="inlineStr">
        <is>
          <t>HII-B-1</t>
        </is>
      </c>
      <c r="D64" s="118" t="n">
        <v>520</v>
      </c>
      <c r="F64" s="2" t="n">
        <v>85</v>
      </c>
      <c r="G64" s="118" t="n">
        <v>7418</v>
      </c>
      <c r="H64" s="255" t="n">
        <v>0.05</v>
      </c>
      <c r="I64" s="2">
        <f>D64*H64</f>
        <v/>
      </c>
      <c r="K64" s="2" t="n">
        <v>20</v>
      </c>
      <c r="L64" s="4">
        <f>K64+J64+I64+F64+E64+D64</f>
        <v/>
      </c>
      <c r="M64" s="2">
        <f>D64*1%</f>
        <v/>
      </c>
      <c r="N64" s="12">
        <f>L64*8%</f>
        <v/>
      </c>
      <c r="O64" s="12">
        <f>L64*10%</f>
        <v/>
      </c>
      <c r="P64" s="12">
        <f>L64*5%</f>
        <v/>
      </c>
      <c r="Q64" s="12">
        <f>L64*2%</f>
        <v/>
      </c>
      <c r="R64" s="12">
        <f>AC64*0.5%</f>
        <v/>
      </c>
      <c r="S64" s="12">
        <f>L64*1%</f>
        <v/>
      </c>
      <c r="T64" s="60">
        <f>S64+Q64+P64+O64+N64+M64</f>
        <v/>
      </c>
      <c r="U64" s="2">
        <f>AC64*1%</f>
        <v/>
      </c>
      <c r="V64" s="44">
        <f>AC64*5%</f>
        <v/>
      </c>
      <c r="W64" s="2">
        <f>AC64*1%</f>
        <v/>
      </c>
      <c r="X64" s="2">
        <f>AC64*8%</f>
        <v/>
      </c>
      <c r="Y64" s="2">
        <f>U64+V64+W64+X64</f>
        <v/>
      </c>
      <c r="Z64" s="60">
        <f>Y64+T64+L64</f>
        <v/>
      </c>
      <c r="AA64" s="11">
        <f>Z64*20%</f>
        <v/>
      </c>
      <c r="AB64" s="12">
        <f>Z64+AA64</f>
        <v/>
      </c>
      <c r="AC64" s="2">
        <f>D64*2.1</f>
        <v/>
      </c>
      <c r="AD64" s="12">
        <f>AB64-AC64</f>
        <v/>
      </c>
      <c r="AE64" s="12">
        <f>AD64/AB64*100</f>
        <v/>
      </c>
      <c r="AF64" s="92" t="n">
        <v>1390</v>
      </c>
      <c r="AG64" s="62">
        <f>((AF64-L64)/L64)*100</f>
        <v/>
      </c>
      <c r="AH64" s="106">
        <f>AJ64-AF64</f>
        <v/>
      </c>
      <c r="AI64" s="65">
        <f>AB64</f>
        <v/>
      </c>
      <c r="AJ64" s="65" t="n">
        <v>1390</v>
      </c>
      <c r="AK64" s="66">
        <f>(AJ64-L64)/L64*100</f>
        <v/>
      </c>
      <c r="AL64" s="66" t="n"/>
      <c r="AM64" s="14">
        <f>AH64/AJ64%</f>
        <v/>
      </c>
      <c r="AN64" s="67">
        <f>AK64-AG64</f>
        <v/>
      </c>
      <c r="AO64" s="68">
        <f>AJ64/L64</f>
        <v/>
      </c>
      <c r="AP64" s="69">
        <f>(AJ64-AB64)/100</f>
        <v/>
      </c>
      <c r="AQ64" s="70">
        <f>(AJ64-AC64)/100</f>
        <v/>
      </c>
      <c r="AR64" s="71">
        <f>AI64/94</f>
        <v/>
      </c>
      <c r="AS64" s="71">
        <f>AJ64/94</f>
        <v/>
      </c>
      <c r="AT64" s="72">
        <f>AI64/24</f>
        <v/>
      </c>
      <c r="AU64" s="72">
        <f>AJ64/24</f>
        <v/>
      </c>
      <c r="AV64" s="73">
        <f>AI64/125</f>
        <v/>
      </c>
      <c r="AW64" s="73">
        <f>AJ64/125</f>
        <v/>
      </c>
    </row>
    <row r="65" ht="15.75" customHeight="1" s="258">
      <c r="A65" s="2" t="inlineStr">
        <is>
          <t>Bottle</t>
        </is>
      </c>
      <c r="B65" s="2" t="inlineStr">
        <is>
          <t>without-brush / 500ml</t>
        </is>
      </c>
      <c r="C65" s="91" t="inlineStr">
        <is>
          <t>BO-N-.5</t>
        </is>
      </c>
      <c r="D65" s="118" t="n">
        <v>390</v>
      </c>
      <c r="F65" s="2" t="n">
        <v>85</v>
      </c>
      <c r="G65" s="118" t="n">
        <v>7418</v>
      </c>
      <c r="H65" s="255" t="n">
        <v>0.05</v>
      </c>
      <c r="I65" s="2">
        <f>D65*H65</f>
        <v/>
      </c>
      <c r="K65" s="2" t="n">
        <v>20</v>
      </c>
      <c r="L65" s="4">
        <f>K65+J65+I65+F65+E65+D65</f>
        <v/>
      </c>
      <c r="M65" s="2">
        <f>D65*1%</f>
        <v/>
      </c>
      <c r="N65" s="12">
        <f>L65*8%</f>
        <v/>
      </c>
      <c r="O65" s="12">
        <f>L65*10%</f>
        <v/>
      </c>
      <c r="P65" s="12">
        <f>L65*5%</f>
        <v/>
      </c>
      <c r="Q65" s="12">
        <f>L65*2%</f>
        <v/>
      </c>
      <c r="R65" s="12">
        <f>AC65*0.5%</f>
        <v/>
      </c>
      <c r="S65" s="12">
        <f>L65*1%</f>
        <v/>
      </c>
      <c r="T65" s="60">
        <f>S65+Q65+P65+O65+N65+M65</f>
        <v/>
      </c>
      <c r="U65" s="2">
        <f>AC65*1%</f>
        <v/>
      </c>
      <c r="V65" s="44">
        <f>AC65*5%</f>
        <v/>
      </c>
      <c r="W65" s="2">
        <f>AC65*1%</f>
        <v/>
      </c>
      <c r="X65" s="2">
        <f>AC65*8%</f>
        <v/>
      </c>
      <c r="Y65" s="2">
        <f>U65+V65+W65+X65</f>
        <v/>
      </c>
      <c r="Z65" s="60">
        <f>Y65+T65+L65</f>
        <v/>
      </c>
      <c r="AA65" s="11">
        <f>Z65*20%</f>
        <v/>
      </c>
      <c r="AB65" s="12">
        <f>Z65+AA65</f>
        <v/>
      </c>
      <c r="AC65" s="2">
        <f>D65*2.1</f>
        <v/>
      </c>
      <c r="AD65" s="12">
        <f>AB65-AC65</f>
        <v/>
      </c>
      <c r="AE65" s="12">
        <f>AD65/AB65*100</f>
        <v/>
      </c>
      <c r="AF65" s="92" t="n">
        <v>990</v>
      </c>
      <c r="AG65" s="62">
        <f>((AF65-L65)/L65)*100</f>
        <v/>
      </c>
      <c r="AH65" s="106">
        <f>AJ65-AF65</f>
        <v/>
      </c>
      <c r="AI65" s="65">
        <f>AB65</f>
        <v/>
      </c>
      <c r="AJ65" s="65" t="n">
        <v>990</v>
      </c>
      <c r="AK65" s="66">
        <f>(AJ65-L65)/L65*100</f>
        <v/>
      </c>
      <c r="AL65" s="66" t="n"/>
      <c r="AM65" s="14">
        <f>AH65/AJ65%</f>
        <v/>
      </c>
      <c r="AN65" s="67">
        <f>AK65-AG65</f>
        <v/>
      </c>
      <c r="AO65" s="68">
        <f>AJ65/L65</f>
        <v/>
      </c>
      <c r="AP65" s="69">
        <f>(AJ65-AB65)/100</f>
        <v/>
      </c>
      <c r="AQ65" s="70">
        <f>(AJ65-AC65)/100</f>
        <v/>
      </c>
      <c r="AR65" s="71">
        <f>AI65/94</f>
        <v/>
      </c>
      <c r="AS65" s="71">
        <f>AJ65/94</f>
        <v/>
      </c>
      <c r="AT65" s="72">
        <f>AI65/24</f>
        <v/>
      </c>
      <c r="AU65" s="72">
        <f>AJ65/24</f>
        <v/>
      </c>
      <c r="AV65" s="73">
        <f>AI65/125</f>
        <v/>
      </c>
      <c r="AW65" s="73">
        <f>AJ65/125</f>
        <v/>
      </c>
    </row>
    <row r="66" ht="15.75" customHeight="1" s="258">
      <c r="A66" s="2" t="n"/>
      <c r="B66" s="2" t="inlineStr">
        <is>
          <t>with-brush / 500ml</t>
        </is>
      </c>
      <c r="C66" s="91" t="inlineStr">
        <is>
          <t>BO-B-.5</t>
        </is>
      </c>
      <c r="D66" s="118" t="n">
        <v>390</v>
      </c>
      <c r="F66" s="2" t="n">
        <v>85</v>
      </c>
      <c r="G66" s="118" t="n">
        <v>7418</v>
      </c>
      <c r="H66" s="255" t="n">
        <v>0.05</v>
      </c>
      <c r="I66" s="2">
        <f>D66*H66</f>
        <v/>
      </c>
      <c r="K66" s="2" t="n">
        <v>20</v>
      </c>
      <c r="L66" s="4">
        <f>K66+J66+I66+F66+E66+D66</f>
        <v/>
      </c>
      <c r="M66" s="2">
        <f>D66*1%</f>
        <v/>
      </c>
      <c r="N66" s="12">
        <f>L66*8%</f>
        <v/>
      </c>
      <c r="O66" s="12">
        <f>L66*10%</f>
        <v/>
      </c>
      <c r="P66" s="12">
        <f>L66*5%</f>
        <v/>
      </c>
      <c r="Q66" s="12">
        <f>L66*2%</f>
        <v/>
      </c>
      <c r="R66" s="12">
        <f>AC66*0.5%</f>
        <v/>
      </c>
      <c r="S66" s="12">
        <f>L66*1%</f>
        <v/>
      </c>
      <c r="T66" s="60">
        <f>S66+Q66+P66+O66+N66+M66</f>
        <v/>
      </c>
      <c r="U66" s="2">
        <f>AC66*1%</f>
        <v/>
      </c>
      <c r="V66" s="44">
        <f>AC66*5%</f>
        <v/>
      </c>
      <c r="W66" s="2">
        <f>AC66*1%</f>
        <v/>
      </c>
      <c r="X66" s="2">
        <f>AC66*8%</f>
        <v/>
      </c>
      <c r="Y66" s="2">
        <f>U66+V66+W66+X66</f>
        <v/>
      </c>
      <c r="Z66" s="60">
        <f>Y66+T66+L66</f>
        <v/>
      </c>
      <c r="AA66" s="11">
        <f>Z66*20%</f>
        <v/>
      </c>
      <c r="AB66" s="12">
        <f>Z66+AA66</f>
        <v/>
      </c>
      <c r="AC66" s="2">
        <f>D66*2.1</f>
        <v/>
      </c>
      <c r="AD66" s="12">
        <f>AB66-AC66</f>
        <v/>
      </c>
      <c r="AE66" s="12">
        <f>AD66/AB66*100</f>
        <v/>
      </c>
      <c r="AF66" s="92" t="n">
        <v>990</v>
      </c>
      <c r="AG66" s="62">
        <f>((AF66-L66)/L66)*100</f>
        <v/>
      </c>
      <c r="AH66" s="106">
        <f>AJ66-AF66</f>
        <v/>
      </c>
      <c r="AI66" s="65">
        <f>AB66</f>
        <v/>
      </c>
      <c r="AJ66" s="65" t="n">
        <v>990</v>
      </c>
      <c r="AK66" s="66">
        <f>(AJ66-L66)/L66*100</f>
        <v/>
      </c>
      <c r="AL66" s="66" t="n"/>
      <c r="AM66" s="14">
        <f>AH66/AJ66%</f>
        <v/>
      </c>
      <c r="AN66" s="67">
        <f>AK66-AG66</f>
        <v/>
      </c>
      <c r="AO66" s="68">
        <f>AJ66/L66</f>
        <v/>
      </c>
      <c r="AP66" s="69">
        <f>(AJ66-AB66)/100</f>
        <v/>
      </c>
      <c r="AQ66" s="70">
        <f>(AJ66-AC66)/100</f>
        <v/>
      </c>
      <c r="AR66" s="71">
        <f>AI66/94</f>
        <v/>
      </c>
      <c r="AS66" s="71">
        <f>AJ66/94</f>
        <v/>
      </c>
      <c r="AT66" s="72">
        <f>AI66/24</f>
        <v/>
      </c>
      <c r="AU66" s="72">
        <f>AJ66/24</f>
        <v/>
      </c>
      <c r="AV66" s="73">
        <f>AI66/125</f>
        <v/>
      </c>
      <c r="AW66" s="73">
        <f>AJ66/125</f>
        <v/>
      </c>
    </row>
    <row r="67" ht="15.75" customHeight="1" s="258">
      <c r="A67" s="2" t="n"/>
      <c r="B67" s="2" t="inlineStr">
        <is>
          <t>without-brush / 1L</t>
        </is>
      </c>
      <c r="C67" s="91" t="inlineStr">
        <is>
          <t>BO-N-1</t>
        </is>
      </c>
      <c r="D67" s="118" t="n">
        <v>520</v>
      </c>
      <c r="F67" s="2" t="n">
        <v>85</v>
      </c>
      <c r="G67" s="118" t="n">
        <v>7418</v>
      </c>
      <c r="H67" s="255" t="n">
        <v>0.05</v>
      </c>
      <c r="I67" s="2">
        <f>D67*H67</f>
        <v/>
      </c>
      <c r="K67" s="2" t="n">
        <v>20</v>
      </c>
      <c r="L67" s="4">
        <f>K67+J67+I67+F67+E67+D67</f>
        <v/>
      </c>
      <c r="M67" s="2">
        <f>D67*1%</f>
        <v/>
      </c>
      <c r="N67" s="12">
        <f>L67*8%</f>
        <v/>
      </c>
      <c r="O67" s="12">
        <f>L67*10%</f>
        <v/>
      </c>
      <c r="P67" s="12">
        <f>L67*5%</f>
        <v/>
      </c>
      <c r="Q67" s="12">
        <f>L67*2%</f>
        <v/>
      </c>
      <c r="R67" s="12">
        <f>AC67*0.5%</f>
        <v/>
      </c>
      <c r="S67" s="12">
        <f>L67*1%</f>
        <v/>
      </c>
      <c r="T67" s="60">
        <f>S67+Q67+P67+O67+N67+M67</f>
        <v/>
      </c>
      <c r="U67" s="2">
        <f>AC67*1%</f>
        <v/>
      </c>
      <c r="V67" s="44">
        <f>AC67*5%</f>
        <v/>
      </c>
      <c r="W67" s="2">
        <f>AC67*1%</f>
        <v/>
      </c>
      <c r="X67" s="2">
        <f>AC67*8%</f>
        <v/>
      </c>
      <c r="Y67" s="2">
        <f>U67+V67+W67+X67</f>
        <v/>
      </c>
      <c r="Z67" s="60">
        <f>Y67+T67+L67</f>
        <v/>
      </c>
      <c r="AA67" s="11">
        <f>Z67*20%</f>
        <v/>
      </c>
      <c r="AB67" s="12">
        <f>Z67+AA67</f>
        <v/>
      </c>
      <c r="AC67" s="2">
        <f>D67*2.1</f>
        <v/>
      </c>
      <c r="AD67" s="12">
        <f>AB67-AC67</f>
        <v/>
      </c>
      <c r="AE67" s="12">
        <f>AD67/AB67*100</f>
        <v/>
      </c>
      <c r="AF67" s="92" t="n">
        <v>1349</v>
      </c>
      <c r="AG67" s="62">
        <f>((AF67-L67)/L67)*100</f>
        <v/>
      </c>
      <c r="AH67" s="106">
        <f>AJ67-AF67</f>
        <v/>
      </c>
      <c r="AI67" s="65">
        <f>AB67</f>
        <v/>
      </c>
      <c r="AJ67" s="65" t="n">
        <v>1349</v>
      </c>
      <c r="AK67" s="66">
        <f>(AJ67-L67)/L67*100</f>
        <v/>
      </c>
      <c r="AL67" s="66" t="n"/>
      <c r="AM67" s="14">
        <f>AH67/AJ67%</f>
        <v/>
      </c>
      <c r="AN67" s="67">
        <f>AK67-AG67</f>
        <v/>
      </c>
      <c r="AO67" s="68">
        <f>AJ67/L67</f>
        <v/>
      </c>
      <c r="AP67" s="69">
        <f>(AJ67-AB67)/100</f>
        <v/>
      </c>
      <c r="AQ67" s="70">
        <f>(AJ67-AC67)/100</f>
        <v/>
      </c>
      <c r="AR67" s="71">
        <f>AI67/94</f>
        <v/>
      </c>
      <c r="AS67" s="71">
        <f>AJ67/94</f>
        <v/>
      </c>
      <c r="AT67" s="72">
        <f>AI67/24</f>
        <v/>
      </c>
      <c r="AU67" s="72">
        <f>AJ67/24</f>
        <v/>
      </c>
      <c r="AV67" s="73">
        <f>AI67/125</f>
        <v/>
      </c>
      <c r="AW67" s="73">
        <f>AJ67/125</f>
        <v/>
      </c>
    </row>
    <row r="68" ht="15" customHeight="1" s="258">
      <c r="A68" s="2" t="inlineStr">
        <is>
          <t>Hammered Copper Bottle</t>
        </is>
      </c>
      <c r="B68" s="2" t="inlineStr">
        <is>
          <t>copper / without-brush</t>
        </is>
      </c>
      <c r="C68" s="91" t="inlineStr">
        <is>
          <t>HCB-C-N</t>
        </is>
      </c>
      <c r="D68" s="118" t="n">
        <v>510</v>
      </c>
      <c r="F68" s="2" t="n">
        <v>85</v>
      </c>
      <c r="G68" s="118" t="n">
        <v>741810</v>
      </c>
      <c r="H68" s="255" t="n">
        <v>0.05</v>
      </c>
      <c r="I68" s="2">
        <f>D68*H68</f>
        <v/>
      </c>
      <c r="K68" s="2" t="n">
        <v>20</v>
      </c>
      <c r="L68" s="4">
        <f>K68+J68+I68+F68+E68+D68</f>
        <v/>
      </c>
      <c r="M68" s="2">
        <f>D68*1%</f>
        <v/>
      </c>
      <c r="N68" s="12">
        <f>L68*8%</f>
        <v/>
      </c>
      <c r="O68" s="12">
        <f>L68*10%</f>
        <v/>
      </c>
      <c r="P68" s="12">
        <f>L68*5%</f>
        <v/>
      </c>
      <c r="Q68" s="12">
        <f>L68*2%</f>
        <v/>
      </c>
      <c r="R68" s="12">
        <f>AC68*0.5%</f>
        <v/>
      </c>
      <c r="S68" s="12">
        <f>L68*1%</f>
        <v/>
      </c>
      <c r="T68" s="60">
        <f>S68+Q68+P68+O68+N68+M68</f>
        <v/>
      </c>
      <c r="U68" s="2">
        <f>AC68*1%</f>
        <v/>
      </c>
      <c r="V68" s="44">
        <f>AC68*5%</f>
        <v/>
      </c>
      <c r="W68" s="2">
        <f>AC68*1%</f>
        <v/>
      </c>
      <c r="X68" s="2">
        <f>AC68*8%</f>
        <v/>
      </c>
      <c r="Y68" s="2">
        <f>U68+V68+W68+X68</f>
        <v/>
      </c>
      <c r="Z68" s="60">
        <f>Y68+T68+L68</f>
        <v/>
      </c>
      <c r="AA68" s="11">
        <f>Z68*20%</f>
        <v/>
      </c>
      <c r="AB68" s="12">
        <f>Z68+AA68</f>
        <v/>
      </c>
      <c r="AC68" s="2">
        <f>D68*2.1</f>
        <v/>
      </c>
      <c r="AD68" s="12">
        <f>AB68-AC68</f>
        <v/>
      </c>
      <c r="AE68" s="12">
        <f>AD68/AB68*100</f>
        <v/>
      </c>
      <c r="AG68" s="62">
        <f>((AF68-L68)/L68)*100</f>
        <v/>
      </c>
      <c r="AH68" s="106">
        <f>AJ68-AF68</f>
        <v/>
      </c>
      <c r="AI68" s="65" t="n">
        <v>1290</v>
      </c>
      <c r="AJ68" s="65" t="n">
        <v>1149</v>
      </c>
      <c r="AK68" s="66">
        <f>(AJ68-L68)/L68*100</f>
        <v/>
      </c>
      <c r="AL68" s="66" t="n"/>
      <c r="AM68" s="14">
        <f>AH68/AJ68%</f>
        <v/>
      </c>
      <c r="AN68" s="67">
        <f>AK68-AG68</f>
        <v/>
      </c>
      <c r="AO68" s="68">
        <f>AJ68/L68</f>
        <v/>
      </c>
      <c r="AP68" s="69">
        <f>(AJ68-AB68)/100</f>
        <v/>
      </c>
      <c r="AQ68" s="70">
        <f>(AJ68-AC68)/100</f>
        <v/>
      </c>
      <c r="AR68" s="71">
        <f>AI68/94</f>
        <v/>
      </c>
      <c r="AS68" s="71">
        <f>AJ68/94</f>
        <v/>
      </c>
      <c r="AT68" s="72">
        <f>AI68/24</f>
        <v/>
      </c>
      <c r="AU68" s="72">
        <f>AJ68/24</f>
        <v/>
      </c>
      <c r="AV68" s="73">
        <f>AI68/125</f>
        <v/>
      </c>
      <c r="AW68" s="73">
        <f>AJ68/125</f>
        <v/>
      </c>
    </row>
    <row r="69" ht="15.75" customHeight="1" s="258">
      <c r="A69" s="2" t="n"/>
      <c r="B69" s="2" t="inlineStr">
        <is>
          <t>with-brush / copper</t>
        </is>
      </c>
      <c r="C69" s="91" t="inlineStr">
        <is>
          <t>HCB-C-B</t>
        </is>
      </c>
      <c r="D69" s="118" t="n">
        <v>510</v>
      </c>
      <c r="E69" s="2" t="n">
        <v>50</v>
      </c>
      <c r="F69" s="2" t="n">
        <v>85</v>
      </c>
      <c r="G69" s="118" t="n">
        <v>741810</v>
      </c>
      <c r="H69" s="255" t="n">
        <v>0.05</v>
      </c>
      <c r="I69" s="2">
        <f>D69*H69</f>
        <v/>
      </c>
      <c r="K69" s="2" t="n">
        <v>20</v>
      </c>
      <c r="L69" s="4">
        <f>K69+J69+I69+F69+E69+D69</f>
        <v/>
      </c>
      <c r="M69" s="2">
        <f>D69*1%</f>
        <v/>
      </c>
      <c r="N69" s="12">
        <f>L69*8%</f>
        <v/>
      </c>
      <c r="O69" s="12">
        <f>L69*10%</f>
        <v/>
      </c>
      <c r="P69" s="12">
        <f>L69*5%</f>
        <v/>
      </c>
      <c r="Q69" s="12">
        <f>L69*2%</f>
        <v/>
      </c>
      <c r="R69" s="12">
        <f>AC69*0.5%</f>
        <v/>
      </c>
      <c r="S69" s="12">
        <f>L69*1%</f>
        <v/>
      </c>
      <c r="T69" s="60">
        <f>S69+Q69+P69+O69+N69+M69</f>
        <v/>
      </c>
      <c r="U69" s="2">
        <f>AC69*1%</f>
        <v/>
      </c>
      <c r="V69" s="44">
        <f>AC69*5%</f>
        <v/>
      </c>
      <c r="W69" s="2">
        <f>AC69*1%</f>
        <v/>
      </c>
      <c r="X69" s="2">
        <f>AC69*8%</f>
        <v/>
      </c>
      <c r="Y69" s="2">
        <f>U69+V69+W69+X69</f>
        <v/>
      </c>
      <c r="Z69" s="60">
        <f>Y69+T69+L69</f>
        <v/>
      </c>
      <c r="AA69" s="11">
        <f>Z69*20%</f>
        <v/>
      </c>
      <c r="AB69" s="12">
        <f>Z69+AA69</f>
        <v/>
      </c>
      <c r="AC69" s="2">
        <f>D69*2.1</f>
        <v/>
      </c>
      <c r="AD69" s="12">
        <f>AB69-AC69</f>
        <v/>
      </c>
      <c r="AE69" s="12">
        <f>AD69/AB69*100</f>
        <v/>
      </c>
      <c r="AG69" s="62">
        <f>((AF69-L69)/L69)*100</f>
        <v/>
      </c>
      <c r="AH69" s="106">
        <f>AJ69-AF69</f>
        <v/>
      </c>
      <c r="AI69" s="65" t="n">
        <v>1390</v>
      </c>
      <c r="AJ69" s="65" t="n">
        <v>1249</v>
      </c>
      <c r="AK69" s="66">
        <f>(AJ69-L69)/L69*100</f>
        <v/>
      </c>
      <c r="AL69" s="66" t="n"/>
      <c r="AM69" s="14">
        <f>AH69/AJ69%</f>
        <v/>
      </c>
      <c r="AN69" s="67">
        <f>AK69-AG69</f>
        <v/>
      </c>
      <c r="AO69" s="68">
        <f>AJ69/L69</f>
        <v/>
      </c>
      <c r="AP69" s="69">
        <f>(AJ69-AB69)/100</f>
        <v/>
      </c>
      <c r="AQ69" s="70">
        <f>(AJ69-AC69)/100</f>
        <v/>
      </c>
      <c r="AR69" s="71">
        <f>AI69/94</f>
        <v/>
      </c>
      <c r="AS69" s="71">
        <f>AJ69/94</f>
        <v/>
      </c>
      <c r="AT69" s="72">
        <f>AI69/24</f>
        <v/>
      </c>
      <c r="AU69" s="72">
        <f>AJ69/24</f>
        <v/>
      </c>
      <c r="AV69" s="73">
        <f>AI69/125</f>
        <v/>
      </c>
      <c r="AW69" s="73">
        <f>AJ69/125</f>
        <v/>
      </c>
    </row>
    <row r="70" ht="15" customHeight="1" s="258">
      <c r="A70" s="2" t="inlineStr">
        <is>
          <t>Artistically Designed Copper Bottles</t>
        </is>
      </c>
      <c r="B70" s="2" t="inlineStr">
        <is>
          <t>Tatvamasi - I am Infinite / With Brush / 500ml</t>
        </is>
      </c>
      <c r="C70" s="2" t="inlineStr">
        <is>
          <t>CB-T-B-.5</t>
        </is>
      </c>
      <c r="D70" s="118" t="n">
        <v>390</v>
      </c>
      <c r="E70" s="2" t="n">
        <v>50</v>
      </c>
      <c r="F70" s="2" t="n">
        <v>85</v>
      </c>
      <c r="G70" s="118" t="n">
        <v>741810</v>
      </c>
      <c r="H70" s="255" t="n">
        <v>0.05</v>
      </c>
      <c r="I70" s="2">
        <f>D70*H70</f>
        <v/>
      </c>
      <c r="K70" s="2" t="n">
        <v>20</v>
      </c>
      <c r="L70" s="4">
        <f>K70+J70+I70+F70+E70+D70</f>
        <v/>
      </c>
      <c r="M70" s="2">
        <f>D70*1%</f>
        <v/>
      </c>
      <c r="N70" s="12">
        <f>L70*8%</f>
        <v/>
      </c>
      <c r="O70" s="12">
        <f>L70*10%</f>
        <v/>
      </c>
      <c r="P70" s="12">
        <f>L70*5%</f>
        <v/>
      </c>
      <c r="Q70" s="12">
        <f>L70*2%</f>
        <v/>
      </c>
      <c r="R70" s="12">
        <f>AC70*0.5%</f>
        <v/>
      </c>
      <c r="S70" s="12">
        <f>L70*1%</f>
        <v/>
      </c>
      <c r="T70" s="60">
        <f>S70+Q70+P70+O70+N70+M70</f>
        <v/>
      </c>
      <c r="U70" s="2">
        <f>AC70*1%</f>
        <v/>
      </c>
      <c r="V70" s="44">
        <f>AC70*5%</f>
        <v/>
      </c>
      <c r="W70" s="2">
        <f>AC70*1%</f>
        <v/>
      </c>
      <c r="X70" s="2">
        <f>AC70*8%</f>
        <v/>
      </c>
      <c r="Y70" s="2">
        <f>U70+V70+W70+X70</f>
        <v/>
      </c>
      <c r="Z70" s="60">
        <f>Y70+T70+L70</f>
        <v/>
      </c>
      <c r="AA70" s="11">
        <f>Z70*20%</f>
        <v/>
      </c>
      <c r="AB70" s="12">
        <f>Z70+AA70</f>
        <v/>
      </c>
      <c r="AC70" s="2">
        <f>D70*2.1</f>
        <v/>
      </c>
      <c r="AD70" s="12">
        <f>AB70-AC70</f>
        <v/>
      </c>
      <c r="AE70" s="12">
        <f>AD70/AB70*100</f>
        <v/>
      </c>
      <c r="AF70" s="92" t="n">
        <v>985</v>
      </c>
      <c r="AG70" s="62">
        <f>((AF70-L70)/L70)*100</f>
        <v/>
      </c>
      <c r="AH70" s="106">
        <f>AJ70-AF70</f>
        <v/>
      </c>
      <c r="AI70" s="65" t="n">
        <v>1090</v>
      </c>
      <c r="AJ70" s="65" t="n">
        <v>990</v>
      </c>
      <c r="AK70" s="66">
        <f>(AJ70-L70)/L70*100</f>
        <v/>
      </c>
      <c r="AL70" s="66" t="n"/>
      <c r="AM70" s="14">
        <f>(AH70/AJ70)*100</f>
        <v/>
      </c>
      <c r="AN70" s="67">
        <f>AK70-AG70</f>
        <v/>
      </c>
      <c r="AO70" s="68">
        <f>AJ70/L70</f>
        <v/>
      </c>
      <c r="AP70" s="69">
        <f>(AJ70-AB70)/100</f>
        <v/>
      </c>
      <c r="AQ70" s="70">
        <f>(AJ70-AC70)/100</f>
        <v/>
      </c>
      <c r="AR70" s="71">
        <f>AI70/94</f>
        <v/>
      </c>
      <c r="AS70" s="71">
        <f>AJ70/94</f>
        <v/>
      </c>
      <c r="AT70" s="72">
        <f>AI70/24</f>
        <v/>
      </c>
      <c r="AU70" s="72">
        <f>AJ70/24</f>
        <v/>
      </c>
      <c r="AV70" s="73">
        <f>AI70/125</f>
        <v/>
      </c>
      <c r="AW70" s="73">
        <f>AJ70/125</f>
        <v/>
      </c>
    </row>
    <row r="71" ht="15.75" customHeight="1" s="258">
      <c r="A71" s="2" t="n"/>
      <c r="B71" s="2" t="inlineStr">
        <is>
          <t>Without Brush / 1L / Blue Tranquillity</t>
        </is>
      </c>
      <c r="C71" s="2" t="inlineStr">
        <is>
          <t>CB-BM</t>
        </is>
      </c>
      <c r="D71" s="118" t="n">
        <v>460</v>
      </c>
      <c r="F71" s="2" t="n">
        <v>85</v>
      </c>
      <c r="G71" s="118" t="n">
        <v>741810</v>
      </c>
      <c r="H71" s="255" t="n">
        <v>0.05</v>
      </c>
      <c r="I71" s="2">
        <f>D71*H71</f>
        <v/>
      </c>
      <c r="K71" s="2" t="n">
        <v>20</v>
      </c>
      <c r="L71" s="4">
        <f>K71+J71+I71+F71+E71+D71</f>
        <v/>
      </c>
      <c r="M71" s="2">
        <f>D71*1%</f>
        <v/>
      </c>
      <c r="N71" s="12">
        <f>L71*8%</f>
        <v/>
      </c>
      <c r="O71" s="12">
        <f>L71*10%</f>
        <v/>
      </c>
      <c r="P71" s="12">
        <f>L71*5%</f>
        <v/>
      </c>
      <c r="Q71" s="12">
        <f>L71*2%</f>
        <v/>
      </c>
      <c r="R71" s="12">
        <f>AC71*0.5%</f>
        <v/>
      </c>
      <c r="S71" s="12">
        <f>L71*1%</f>
        <v/>
      </c>
      <c r="T71" s="60">
        <f>S71+Q71+P71+O71+N71+M71</f>
        <v/>
      </c>
      <c r="U71" s="2">
        <f>AC71*1%</f>
        <v/>
      </c>
      <c r="V71" s="44">
        <f>AC71*5%</f>
        <v/>
      </c>
      <c r="W71" s="2">
        <f>AC71*1%</f>
        <v/>
      </c>
      <c r="X71" s="2">
        <f>AC71*8%</f>
        <v/>
      </c>
      <c r="Y71" s="2">
        <f>U71+V71+W71+X71</f>
        <v/>
      </c>
      <c r="Z71" s="60">
        <f>Y71+T71+L71</f>
        <v/>
      </c>
      <c r="AA71" s="11">
        <f>Z71*20%</f>
        <v/>
      </c>
      <c r="AB71" s="12">
        <f>Z71+AA71</f>
        <v/>
      </c>
      <c r="AC71" s="2">
        <f>D71*2.1</f>
        <v/>
      </c>
      <c r="AD71" s="12">
        <f>AB71-AC71</f>
        <v/>
      </c>
      <c r="AE71" s="12">
        <f>AD71/AB71*100</f>
        <v/>
      </c>
      <c r="AF71" s="92" t="n">
        <v>1245</v>
      </c>
      <c r="AG71" s="62">
        <f>((AF71-L71)/L71)*100</f>
        <v/>
      </c>
      <c r="AH71" s="106">
        <f>AJ71-AF71</f>
        <v/>
      </c>
      <c r="AI71" s="65" t="n">
        <v>1350</v>
      </c>
      <c r="AJ71" s="65" t="n">
        <v>1290</v>
      </c>
      <c r="AK71" s="66">
        <f>(AJ71-L71)/L71*100</f>
        <v/>
      </c>
      <c r="AL71" s="66" t="n"/>
      <c r="AM71" s="14">
        <f>(AH71/AJ71)*100</f>
        <v/>
      </c>
      <c r="AN71" s="67">
        <f>AK71-AG71</f>
        <v/>
      </c>
      <c r="AO71" s="68">
        <f>AJ71/L71</f>
        <v/>
      </c>
      <c r="AP71" s="69">
        <f>(AJ71-AB71)/100</f>
        <v/>
      </c>
      <c r="AQ71" s="70">
        <f>(AJ71-AC71)/100</f>
        <v/>
      </c>
      <c r="AR71" s="71">
        <f>AI71/94</f>
        <v/>
      </c>
      <c r="AS71" s="71">
        <f>AJ71/94</f>
        <v/>
      </c>
      <c r="AT71" s="72">
        <f>AI71/24</f>
        <v/>
      </c>
      <c r="AU71" s="72">
        <f>AJ71/24</f>
        <v/>
      </c>
      <c r="AV71" s="73">
        <f>AI71/125</f>
        <v/>
      </c>
      <c r="AW71" s="73">
        <f>AJ71/125</f>
        <v/>
      </c>
    </row>
    <row r="72" ht="15.75" customHeight="1" s="258">
      <c r="A72" s="2" t="n"/>
      <c r="B72" s="2" t="inlineStr">
        <is>
          <t>Without Brush / Blue Tranquillity / 500ml</t>
        </is>
      </c>
      <c r="C72" s="2" t="inlineStr">
        <is>
          <t>CB-BM-.5</t>
        </is>
      </c>
      <c r="D72" s="118" t="n">
        <v>390</v>
      </c>
      <c r="F72" s="2" t="n">
        <v>85</v>
      </c>
      <c r="G72" s="118" t="n">
        <v>741810</v>
      </c>
      <c r="H72" s="255" t="n">
        <v>0.05</v>
      </c>
      <c r="I72" s="2">
        <f>D72*H72</f>
        <v/>
      </c>
      <c r="K72" s="2" t="n">
        <v>20</v>
      </c>
      <c r="L72" s="4">
        <f>K72+J72+I72+F72+E72+D72</f>
        <v/>
      </c>
      <c r="M72" s="2">
        <f>D72*1%</f>
        <v/>
      </c>
      <c r="N72" s="12">
        <f>L72*8%</f>
        <v/>
      </c>
      <c r="O72" s="12">
        <f>L72*10%</f>
        <v/>
      </c>
      <c r="P72" s="12">
        <f>L72*5%</f>
        <v/>
      </c>
      <c r="Q72" s="12">
        <f>L72*2%</f>
        <v/>
      </c>
      <c r="R72" s="12">
        <f>AC72*0.5%</f>
        <v/>
      </c>
      <c r="S72" s="12">
        <f>L72*1%</f>
        <v/>
      </c>
      <c r="T72" s="60">
        <f>S72+Q72+P72+O72+N72+M72</f>
        <v/>
      </c>
      <c r="U72" s="2">
        <f>AC72*1%</f>
        <v/>
      </c>
      <c r="V72" s="44">
        <f>AC72*5%</f>
        <v/>
      </c>
      <c r="W72" s="2">
        <f>AC72*1%</f>
        <v/>
      </c>
      <c r="X72" s="2">
        <f>AC72*8%</f>
        <v/>
      </c>
      <c r="Y72" s="2">
        <f>U72+V72+W72+X72</f>
        <v/>
      </c>
      <c r="Z72" s="60">
        <f>Y72+T72+L72</f>
        <v/>
      </c>
      <c r="AA72" s="11">
        <f>Z72*20%</f>
        <v/>
      </c>
      <c r="AB72" s="12">
        <f>Z72+AA72</f>
        <v/>
      </c>
      <c r="AC72" s="2">
        <f>D72*2.1</f>
        <v/>
      </c>
      <c r="AD72" s="12">
        <f>AB72-AC72</f>
        <v/>
      </c>
      <c r="AE72" s="12">
        <f>AD72/AB72*100</f>
        <v/>
      </c>
      <c r="AF72" s="92" t="n">
        <v>890</v>
      </c>
      <c r="AG72" s="62">
        <f>((AF72-L72)/L72)*100</f>
        <v/>
      </c>
      <c r="AH72" s="106">
        <f>AJ72-AF72</f>
        <v/>
      </c>
      <c r="AI72" s="65" t="n">
        <v>1090</v>
      </c>
      <c r="AJ72" s="65" t="n">
        <v>990</v>
      </c>
      <c r="AK72" s="66">
        <f>(AJ72-L72)/L72*100</f>
        <v/>
      </c>
      <c r="AL72" s="66" t="n"/>
      <c r="AM72" s="14">
        <f>(AH72/AJ72)*100</f>
        <v/>
      </c>
      <c r="AN72" s="67">
        <f>AK72-AG72</f>
        <v/>
      </c>
      <c r="AO72" s="68">
        <f>AJ72/L72</f>
        <v/>
      </c>
      <c r="AP72" s="69">
        <f>(AJ72-AB72)/100</f>
        <v/>
      </c>
      <c r="AQ72" s="70">
        <f>(AJ72-AC72)/100</f>
        <v/>
      </c>
      <c r="AR72" s="71">
        <f>AI72/94</f>
        <v/>
      </c>
      <c r="AS72" s="71">
        <f>AJ72/94</f>
        <v/>
      </c>
      <c r="AT72" s="72">
        <f>AI72/24</f>
        <v/>
      </c>
      <c r="AU72" s="72">
        <f>AJ72/24</f>
        <v/>
      </c>
      <c r="AV72" s="73">
        <f>AI72/125</f>
        <v/>
      </c>
      <c r="AW72" s="73">
        <f>AJ72/125</f>
        <v/>
      </c>
    </row>
    <row r="73" ht="15.75" customHeight="1" s="258">
      <c r="A73" s="2" t="n"/>
      <c r="B73" s="2" t="inlineStr">
        <is>
          <t>1L / With Brush / Blue Tranquillity</t>
        </is>
      </c>
      <c r="C73" s="2" t="inlineStr">
        <is>
          <t>CB-BM-B</t>
        </is>
      </c>
      <c r="D73" s="118" t="n">
        <v>460</v>
      </c>
      <c r="E73" s="2" t="n">
        <v>50</v>
      </c>
      <c r="F73" s="2" t="n">
        <v>85</v>
      </c>
      <c r="G73" s="118" t="n">
        <v>741810</v>
      </c>
      <c r="H73" s="255" t="n">
        <v>0.05</v>
      </c>
      <c r="I73" s="2">
        <f>D73*H73</f>
        <v/>
      </c>
      <c r="K73" s="2" t="n">
        <v>20</v>
      </c>
      <c r="L73" s="4">
        <f>K73+J73+I73+F73+E73+D73</f>
        <v/>
      </c>
      <c r="M73" s="2">
        <f>D73*1%</f>
        <v/>
      </c>
      <c r="N73" s="12">
        <f>L73*8%</f>
        <v/>
      </c>
      <c r="O73" s="12">
        <f>L73*10%</f>
        <v/>
      </c>
      <c r="P73" s="12">
        <f>L73*5%</f>
        <v/>
      </c>
      <c r="Q73" s="12">
        <f>L73*2%</f>
        <v/>
      </c>
      <c r="R73" s="12">
        <f>AC73*0.5%</f>
        <v/>
      </c>
      <c r="S73" s="12">
        <f>L73*1%</f>
        <v/>
      </c>
      <c r="T73" s="60">
        <f>S73+Q73+P73+O73+N73+M73</f>
        <v/>
      </c>
      <c r="U73" s="2">
        <f>AC73*1%</f>
        <v/>
      </c>
      <c r="V73" s="44">
        <f>AC73*5%</f>
        <v/>
      </c>
      <c r="W73" s="2">
        <f>AC73*1%</f>
        <v/>
      </c>
      <c r="X73" s="2">
        <f>AC73*8%</f>
        <v/>
      </c>
      <c r="Y73" s="2">
        <f>U73+V73+W73+X73</f>
        <v/>
      </c>
      <c r="Z73" s="60">
        <f>Y73+T73+L73</f>
        <v/>
      </c>
      <c r="AA73" s="11">
        <f>Z73*20%</f>
        <v/>
      </c>
      <c r="AB73" s="12">
        <f>Z73+AA73</f>
        <v/>
      </c>
      <c r="AC73" s="2">
        <f>D73*2.1</f>
        <v/>
      </c>
      <c r="AD73" s="12">
        <f>AB73-AC73</f>
        <v/>
      </c>
      <c r="AE73" s="12">
        <f>AD73/AB73*100</f>
        <v/>
      </c>
      <c r="AF73" s="92" t="n">
        <v>1345</v>
      </c>
      <c r="AG73" s="62">
        <f>((AF73-L73)/L73)*100</f>
        <v/>
      </c>
      <c r="AH73" s="106">
        <f>AJ73-AF73</f>
        <v/>
      </c>
      <c r="AI73" s="65" t="n">
        <v>1450</v>
      </c>
      <c r="AJ73" s="65" t="n">
        <v>1390</v>
      </c>
      <c r="AK73" s="66">
        <f>(AJ73-L73)/L73*100</f>
        <v/>
      </c>
      <c r="AL73" s="66" t="n"/>
      <c r="AM73" s="14">
        <f>(AH73/AJ73)*100</f>
        <v/>
      </c>
      <c r="AN73" s="67">
        <f>AK73-AG73</f>
        <v/>
      </c>
      <c r="AO73" s="68">
        <f>AJ73/L73</f>
        <v/>
      </c>
      <c r="AP73" s="69">
        <f>(AJ73-AB73)/100</f>
        <v/>
      </c>
      <c r="AQ73" s="70">
        <f>(AJ73-AC73)/100</f>
        <v/>
      </c>
      <c r="AR73" s="71">
        <f>AI73/94</f>
        <v/>
      </c>
      <c r="AS73" s="71">
        <f>AJ73/94</f>
        <v/>
      </c>
      <c r="AT73" s="72">
        <f>AI73/24</f>
        <v/>
      </c>
      <c r="AU73" s="72">
        <f>AJ73/24</f>
        <v/>
      </c>
      <c r="AV73" s="73">
        <f>AI73/125</f>
        <v/>
      </c>
      <c r="AW73" s="73">
        <f>AJ73/125</f>
        <v/>
      </c>
    </row>
    <row r="74" ht="15.75" customHeight="1" s="258">
      <c r="A74" s="2" t="n"/>
      <c r="B74" s="2" t="inlineStr">
        <is>
          <t>With Brush / Blue Tranquillity / 500ml</t>
        </is>
      </c>
      <c r="C74" s="2" t="inlineStr">
        <is>
          <t>CB-BM-B-.5</t>
        </is>
      </c>
      <c r="D74" s="118" t="n">
        <v>390</v>
      </c>
      <c r="E74" s="2" t="n">
        <v>50</v>
      </c>
      <c r="F74" s="2" t="n">
        <v>85</v>
      </c>
      <c r="G74" s="118" t="n">
        <v>741810</v>
      </c>
      <c r="H74" s="255" t="n">
        <v>0.05</v>
      </c>
      <c r="I74" s="2">
        <f>D74*H74</f>
        <v/>
      </c>
      <c r="K74" s="2" t="n">
        <v>20</v>
      </c>
      <c r="L74" s="4">
        <f>K74+J74+I74+F74+E74+D74</f>
        <v/>
      </c>
      <c r="M74" s="2">
        <f>D74*1%</f>
        <v/>
      </c>
      <c r="N74" s="12">
        <f>L74*8%</f>
        <v/>
      </c>
      <c r="O74" s="12">
        <f>L74*10%</f>
        <v/>
      </c>
      <c r="P74" s="12">
        <f>L74*5%</f>
        <v/>
      </c>
      <c r="Q74" s="12">
        <f>L74*2%</f>
        <v/>
      </c>
      <c r="R74" s="12">
        <f>AC74*0.5%</f>
        <v/>
      </c>
      <c r="S74" s="12">
        <f>L74*1%</f>
        <v/>
      </c>
      <c r="T74" s="60">
        <f>S74+Q74+P74+O74+N74+M74</f>
        <v/>
      </c>
      <c r="U74" s="2">
        <f>AC74*1%</f>
        <v/>
      </c>
      <c r="V74" s="44">
        <f>AC74*5%</f>
        <v/>
      </c>
      <c r="W74" s="2">
        <f>AC74*1%</f>
        <v/>
      </c>
      <c r="X74" s="2">
        <f>AC74*8%</f>
        <v/>
      </c>
      <c r="Y74" s="2">
        <f>U74+V74+W74+X74</f>
        <v/>
      </c>
      <c r="Z74" s="60">
        <f>Y74+T74+L74</f>
        <v/>
      </c>
      <c r="AA74" s="11">
        <f>Z74*20%</f>
        <v/>
      </c>
      <c r="AB74" s="12">
        <f>Z74+AA74</f>
        <v/>
      </c>
      <c r="AC74" s="2">
        <f>D74*2.1</f>
        <v/>
      </c>
      <c r="AD74" s="12">
        <f>AB74-AC74</f>
        <v/>
      </c>
      <c r="AE74" s="12">
        <f>AD74/AB74*100</f>
        <v/>
      </c>
      <c r="AF74" s="92" t="n">
        <v>985</v>
      </c>
      <c r="AG74" s="62">
        <f>((AF74-L74)/L74)*100</f>
        <v/>
      </c>
      <c r="AH74" s="106">
        <f>AJ74-AF74</f>
        <v/>
      </c>
      <c r="AI74" s="65" t="n">
        <v>1090</v>
      </c>
      <c r="AJ74" s="65" t="n">
        <v>990</v>
      </c>
      <c r="AK74" s="66">
        <f>(AJ74-L74)/L74*100</f>
        <v/>
      </c>
      <c r="AL74" s="66" t="n"/>
      <c r="AM74" s="14">
        <f>(AH74/AJ74)*100</f>
        <v/>
      </c>
      <c r="AN74" s="67">
        <f>AK74-AG74</f>
        <v/>
      </c>
      <c r="AO74" s="68">
        <f>AJ74/L74</f>
        <v/>
      </c>
      <c r="AP74" s="69">
        <f>(AJ74-AB74)/100</f>
        <v/>
      </c>
      <c r="AQ74" s="70">
        <f>(AJ74-AC74)/100</f>
        <v/>
      </c>
      <c r="AR74" s="71">
        <f>AI74/94</f>
        <v/>
      </c>
      <c r="AS74" s="71">
        <f>AJ74/94</f>
        <v/>
      </c>
      <c r="AT74" s="72">
        <f>AI74/24</f>
        <v/>
      </c>
      <c r="AU74" s="72">
        <f>AJ74/24</f>
        <v/>
      </c>
      <c r="AV74" s="73">
        <f>AI74/125</f>
        <v/>
      </c>
      <c r="AW74" s="73">
        <f>AJ74/125</f>
        <v/>
      </c>
    </row>
    <row r="75" ht="15.75" customHeight="1" s="258">
      <c r="A75" s="2" t="n"/>
      <c r="B75" s="2" t="inlineStr">
        <is>
          <t>Without Brush / 1L / Happiness is inside</t>
        </is>
      </c>
      <c r="C75" s="2" t="inlineStr">
        <is>
          <t>CB-HW</t>
        </is>
      </c>
      <c r="D75" s="118" t="n">
        <v>460</v>
      </c>
      <c r="F75" s="2" t="n">
        <v>85</v>
      </c>
      <c r="G75" s="118" t="n">
        <v>741810</v>
      </c>
      <c r="H75" s="255" t="n">
        <v>0.05</v>
      </c>
      <c r="I75" s="2">
        <f>D75*H75</f>
        <v/>
      </c>
      <c r="K75" s="2" t="n">
        <v>20</v>
      </c>
      <c r="L75" s="4">
        <f>K75+J75+I75+F75+E75+D75</f>
        <v/>
      </c>
      <c r="M75" s="2">
        <f>D75*1%</f>
        <v/>
      </c>
      <c r="N75" s="12">
        <f>L75*8%</f>
        <v/>
      </c>
      <c r="O75" s="12">
        <f>L75*10%</f>
        <v/>
      </c>
      <c r="P75" s="12">
        <f>L75*5%</f>
        <v/>
      </c>
      <c r="Q75" s="12">
        <f>L75*2%</f>
        <v/>
      </c>
      <c r="R75" s="12">
        <f>AC75*0.5%</f>
        <v/>
      </c>
      <c r="S75" s="12">
        <f>L75*1%</f>
        <v/>
      </c>
      <c r="T75" s="60">
        <f>S75+Q75+P75+O75+N75+M75</f>
        <v/>
      </c>
      <c r="U75" s="2">
        <f>AC75*1%</f>
        <v/>
      </c>
      <c r="V75" s="44">
        <f>AC75*5%</f>
        <v/>
      </c>
      <c r="W75" s="2">
        <f>AC75*1%</f>
        <v/>
      </c>
      <c r="X75" s="2">
        <f>AC75*8%</f>
        <v/>
      </c>
      <c r="Y75" s="2">
        <f>U75+V75+W75+X75</f>
        <v/>
      </c>
      <c r="Z75" s="60">
        <f>Y75+T75+L75</f>
        <v/>
      </c>
      <c r="AA75" s="11">
        <f>Z75*20%</f>
        <v/>
      </c>
      <c r="AB75" s="12">
        <f>Z75+AA75</f>
        <v/>
      </c>
      <c r="AC75" s="2">
        <f>D75*2.1</f>
        <v/>
      </c>
      <c r="AD75" s="12">
        <f>AB75-AC75</f>
        <v/>
      </c>
      <c r="AE75" s="12">
        <f>AD75/AB75*100</f>
        <v/>
      </c>
      <c r="AF75" s="92" t="n">
        <v>1245</v>
      </c>
      <c r="AG75" s="62">
        <f>((AF75-L75)/L75)*100</f>
        <v/>
      </c>
      <c r="AH75" s="106">
        <f>AJ75-AF75</f>
        <v/>
      </c>
      <c r="AI75" s="65" t="n">
        <v>1450</v>
      </c>
      <c r="AJ75" s="65" t="n">
        <v>1245</v>
      </c>
      <c r="AK75" s="66">
        <f>(AJ75-L75)/L75*100</f>
        <v/>
      </c>
      <c r="AL75" s="66" t="n"/>
      <c r="AM75" s="14">
        <f>(AH75/AJ75)*100</f>
        <v/>
      </c>
      <c r="AN75" s="67">
        <f>AK75-AG75</f>
        <v/>
      </c>
      <c r="AO75" s="68">
        <f>AJ75/L75</f>
        <v/>
      </c>
      <c r="AP75" s="69">
        <f>(AJ75-AB75)/100</f>
        <v/>
      </c>
      <c r="AQ75" s="70">
        <f>(AJ75-AC75)/100</f>
        <v/>
      </c>
      <c r="AR75" s="71">
        <f>AI75/94</f>
        <v/>
      </c>
      <c r="AS75" s="71">
        <f>AJ75/94</f>
        <v/>
      </c>
      <c r="AT75" s="72">
        <f>AI75/24</f>
        <v/>
      </c>
      <c r="AU75" s="72">
        <f>AJ75/24</f>
        <v/>
      </c>
      <c r="AV75" s="73">
        <f>AI75/125</f>
        <v/>
      </c>
      <c r="AW75" s="73">
        <f>AJ75/125</f>
        <v/>
      </c>
    </row>
    <row r="76" ht="15.75" customHeight="1" s="258">
      <c r="A76" s="2" t="n"/>
      <c r="B76" s="2" t="inlineStr">
        <is>
          <t>Without Brush / Happiness is inside / 500ml</t>
        </is>
      </c>
      <c r="C76" s="2" t="inlineStr">
        <is>
          <t>CB-HW-.5</t>
        </is>
      </c>
      <c r="D76" s="118" t="n">
        <v>390</v>
      </c>
      <c r="F76" s="2" t="n">
        <v>85</v>
      </c>
      <c r="G76" s="118" t="n">
        <v>741810</v>
      </c>
      <c r="H76" s="255" t="n">
        <v>0.05</v>
      </c>
      <c r="I76" s="2">
        <f>D76*H76</f>
        <v/>
      </c>
      <c r="K76" s="2" t="n">
        <v>20</v>
      </c>
      <c r="L76" s="4">
        <f>K76+J76+I76+F76+E76+D76</f>
        <v/>
      </c>
      <c r="M76" s="2">
        <f>D76*1%</f>
        <v/>
      </c>
      <c r="N76" s="12">
        <f>L76*8%</f>
        <v/>
      </c>
      <c r="O76" s="12">
        <f>L76*10%</f>
        <v/>
      </c>
      <c r="P76" s="12">
        <f>L76*5%</f>
        <v/>
      </c>
      <c r="Q76" s="12">
        <f>L76*2%</f>
        <v/>
      </c>
      <c r="R76" s="12">
        <f>AC76*0.5%</f>
        <v/>
      </c>
      <c r="S76" s="12">
        <f>L76*1%</f>
        <v/>
      </c>
      <c r="T76" s="60">
        <f>S76+Q76+P76+O76+N76+M76</f>
        <v/>
      </c>
      <c r="U76" s="2">
        <f>AC76*1%</f>
        <v/>
      </c>
      <c r="V76" s="44">
        <f>AC76*5%</f>
        <v/>
      </c>
      <c r="W76" s="2">
        <f>AC76*1%</f>
        <v/>
      </c>
      <c r="X76" s="2">
        <f>AC76*8%</f>
        <v/>
      </c>
      <c r="Y76" s="2">
        <f>U76+V76+W76+X76</f>
        <v/>
      </c>
      <c r="Z76" s="60">
        <f>Y76+T76+L76</f>
        <v/>
      </c>
      <c r="AA76" s="11">
        <f>Z76*20%</f>
        <v/>
      </c>
      <c r="AB76" s="12">
        <f>Z76+AA76</f>
        <v/>
      </c>
      <c r="AC76" s="2">
        <f>D76*2.1</f>
        <v/>
      </c>
      <c r="AD76" s="12">
        <f>AB76-AC76</f>
        <v/>
      </c>
      <c r="AE76" s="12">
        <f>AD76/AB76*100</f>
        <v/>
      </c>
      <c r="AF76" s="92" t="n">
        <v>890</v>
      </c>
      <c r="AG76" s="62">
        <f>((AF76-L76)/L76)*100</f>
        <v/>
      </c>
      <c r="AH76" s="106">
        <f>AJ76-AF76</f>
        <v/>
      </c>
      <c r="AI76" s="65" t="n">
        <v>1090</v>
      </c>
      <c r="AJ76" s="65" t="n">
        <v>990</v>
      </c>
      <c r="AK76" s="66">
        <f>(AJ76-L76)/L76*100</f>
        <v/>
      </c>
      <c r="AL76" s="66" t="n"/>
      <c r="AM76" s="14">
        <f>(AH76/AJ76)*100</f>
        <v/>
      </c>
      <c r="AN76" s="67">
        <f>AK76-AG76</f>
        <v/>
      </c>
      <c r="AO76" s="68">
        <f>AJ76/L76</f>
        <v/>
      </c>
      <c r="AP76" s="69">
        <f>(AJ76-AB76)/100</f>
        <v/>
      </c>
      <c r="AQ76" s="70">
        <f>(AJ76-AC76)/100</f>
        <v/>
      </c>
      <c r="AR76" s="71">
        <f>AI76/94</f>
        <v/>
      </c>
      <c r="AS76" s="71">
        <f>AJ76/94</f>
        <v/>
      </c>
      <c r="AT76" s="72">
        <f>AI76/24</f>
        <v/>
      </c>
      <c r="AU76" s="72">
        <f>AJ76/24</f>
        <v/>
      </c>
      <c r="AV76" s="73">
        <f>AI76/125</f>
        <v/>
      </c>
      <c r="AW76" s="73">
        <f>AJ76/125</f>
        <v/>
      </c>
    </row>
    <row r="77" ht="15.75" customHeight="1" s="258">
      <c r="A77" s="2" t="n"/>
      <c r="B77" s="2" t="inlineStr">
        <is>
          <t>1L / Happiness is inside / With Brush</t>
        </is>
      </c>
      <c r="C77" s="2" t="inlineStr">
        <is>
          <t>CB-HW-B</t>
        </is>
      </c>
      <c r="D77" s="118" t="n">
        <v>460</v>
      </c>
      <c r="E77" s="2" t="n">
        <v>50</v>
      </c>
      <c r="F77" s="2" t="n">
        <v>85</v>
      </c>
      <c r="G77" s="118" t="n">
        <v>741810</v>
      </c>
      <c r="H77" s="255" t="n">
        <v>0.05</v>
      </c>
      <c r="I77" s="2">
        <f>D77*H77</f>
        <v/>
      </c>
      <c r="K77" s="2" t="n">
        <v>20</v>
      </c>
      <c r="L77" s="4">
        <f>K77+J77+I77+F77+E77+D77</f>
        <v/>
      </c>
      <c r="M77" s="2">
        <f>D77*1%</f>
        <v/>
      </c>
      <c r="N77" s="12">
        <f>L77*8%</f>
        <v/>
      </c>
      <c r="O77" s="12">
        <f>L77*10%</f>
        <v/>
      </c>
      <c r="P77" s="12">
        <f>L77*5%</f>
        <v/>
      </c>
      <c r="Q77" s="12">
        <f>L77*2%</f>
        <v/>
      </c>
      <c r="R77" s="12">
        <f>AC77*0.5%</f>
        <v/>
      </c>
      <c r="S77" s="12">
        <f>L77*1%</f>
        <v/>
      </c>
      <c r="T77" s="60">
        <f>S77+Q77+P77+O77+N77+M77</f>
        <v/>
      </c>
      <c r="U77" s="2">
        <f>AC77*1%</f>
        <v/>
      </c>
      <c r="V77" s="44">
        <f>AC77*5%</f>
        <v/>
      </c>
      <c r="W77" s="2">
        <f>AC77*1%</f>
        <v/>
      </c>
      <c r="X77" s="2">
        <f>AC77*8%</f>
        <v/>
      </c>
      <c r="Y77" s="2">
        <f>U77+V77+W77+X77</f>
        <v/>
      </c>
      <c r="Z77" s="60">
        <f>Y77+T77+L77</f>
        <v/>
      </c>
      <c r="AA77" s="11">
        <f>Z77*20%</f>
        <v/>
      </c>
      <c r="AB77" s="12">
        <f>Z77+AA77</f>
        <v/>
      </c>
      <c r="AC77" s="2">
        <f>D77*2.1</f>
        <v/>
      </c>
      <c r="AD77" s="12">
        <f>AB77-AC77</f>
        <v/>
      </c>
      <c r="AE77" s="12">
        <f>AD77/AB77*100</f>
        <v/>
      </c>
      <c r="AF77" s="92" t="n">
        <v>1345</v>
      </c>
      <c r="AG77" s="62">
        <f>((AF77-L77)/L77)*100</f>
        <v/>
      </c>
      <c r="AH77" s="106">
        <f>AJ77-AF77</f>
        <v/>
      </c>
      <c r="AI77" s="65" t="n">
        <v>1450</v>
      </c>
      <c r="AJ77" s="65">
        <f>AI77-(AI77*7%)</f>
        <v/>
      </c>
      <c r="AK77" s="66">
        <f>(AJ77-L77)/L77*100</f>
        <v/>
      </c>
      <c r="AL77" s="66" t="n"/>
      <c r="AM77" s="14">
        <f>(AH77/AJ77)*100</f>
        <v/>
      </c>
      <c r="AN77" s="67">
        <f>AK77-AG77</f>
        <v/>
      </c>
      <c r="AO77" s="68">
        <f>AJ77/L77</f>
        <v/>
      </c>
      <c r="AP77" s="69">
        <f>(AJ77-AB77)/100</f>
        <v/>
      </c>
      <c r="AQ77" s="70">
        <f>(AJ77-AC77)/100</f>
        <v/>
      </c>
      <c r="AR77" s="71">
        <f>AI77/94</f>
        <v/>
      </c>
      <c r="AS77" s="71">
        <f>AJ77/94</f>
        <v/>
      </c>
      <c r="AT77" s="72">
        <f>AI77/24</f>
        <v/>
      </c>
      <c r="AU77" s="72">
        <f>AJ77/24</f>
        <v/>
      </c>
      <c r="AV77" s="73">
        <f>AI77/125</f>
        <v/>
      </c>
      <c r="AW77" s="73">
        <f>AJ77/125</f>
        <v/>
      </c>
    </row>
    <row r="78" ht="15.75" customHeight="1" s="258">
      <c r="A78" s="2" t="n"/>
      <c r="B78" s="2" t="inlineStr">
        <is>
          <t>Happiness is inside / With Brush / 500ml</t>
        </is>
      </c>
      <c r="C78" s="2" t="inlineStr">
        <is>
          <t>CB-HW-B.-.5</t>
        </is>
      </c>
      <c r="D78" s="118" t="n">
        <v>390</v>
      </c>
      <c r="E78" s="2" t="n">
        <v>50</v>
      </c>
      <c r="F78" s="2" t="n">
        <v>85</v>
      </c>
      <c r="G78" s="118" t="n">
        <v>741810</v>
      </c>
      <c r="H78" s="255" t="n">
        <v>0.05</v>
      </c>
      <c r="I78" s="2">
        <f>D78*H78</f>
        <v/>
      </c>
      <c r="K78" s="2" t="n">
        <v>20</v>
      </c>
      <c r="L78" s="4">
        <f>K78+J78+I78+F78+E78+D78</f>
        <v/>
      </c>
      <c r="M78" s="2">
        <f>D78*1%</f>
        <v/>
      </c>
      <c r="N78" s="12">
        <f>L78*8%</f>
        <v/>
      </c>
      <c r="O78" s="12">
        <f>L78*10%</f>
        <v/>
      </c>
      <c r="P78" s="12">
        <f>L78*5%</f>
        <v/>
      </c>
      <c r="Q78" s="12">
        <f>L78*2%</f>
        <v/>
      </c>
      <c r="R78" s="12">
        <f>AC78*0.5%</f>
        <v/>
      </c>
      <c r="S78" s="12">
        <f>L78*1%</f>
        <v/>
      </c>
      <c r="T78" s="60">
        <f>S78+Q78+P78+O78+N78+M78</f>
        <v/>
      </c>
      <c r="U78" s="2">
        <f>AC78*1%</f>
        <v/>
      </c>
      <c r="V78" s="44">
        <f>AC78*5%</f>
        <v/>
      </c>
      <c r="W78" s="2">
        <f>AC78*1%</f>
        <v/>
      </c>
      <c r="X78" s="2">
        <f>AC78*8%</f>
        <v/>
      </c>
      <c r="Y78" s="2">
        <f>U78+V78+W78+X78</f>
        <v/>
      </c>
      <c r="Z78" s="60">
        <f>Y78+T78+L78</f>
        <v/>
      </c>
      <c r="AA78" s="11">
        <f>Z78*20%</f>
        <v/>
      </c>
      <c r="AB78" s="12">
        <f>Z78+AA78</f>
        <v/>
      </c>
      <c r="AC78" s="2">
        <f>D78*2.1</f>
        <v/>
      </c>
      <c r="AD78" s="12">
        <f>AB78-AC78</f>
        <v/>
      </c>
      <c r="AE78" s="12">
        <f>AD78/AB78*100</f>
        <v/>
      </c>
      <c r="AF78" s="92" t="n">
        <v>985</v>
      </c>
      <c r="AG78" s="62">
        <f>((AF78-L78)/L78)*100</f>
        <v/>
      </c>
      <c r="AH78" s="106">
        <f>AJ78-AF78</f>
        <v/>
      </c>
      <c r="AI78" s="65" t="n">
        <v>1090</v>
      </c>
      <c r="AJ78" s="65" t="n">
        <v>990</v>
      </c>
      <c r="AK78" s="66">
        <f>(AJ78-L78)/L78*100</f>
        <v/>
      </c>
      <c r="AL78" s="66" t="n"/>
      <c r="AM78" s="14">
        <f>(AH78/AJ78)*100</f>
        <v/>
      </c>
      <c r="AN78" s="67">
        <f>AK78-AG78</f>
        <v/>
      </c>
      <c r="AO78" s="68">
        <f>AJ78/L78</f>
        <v/>
      </c>
      <c r="AP78" s="69">
        <f>(AJ78-AB78)/100</f>
        <v/>
      </c>
      <c r="AQ78" s="70">
        <f>(AJ78-AC78)/100</f>
        <v/>
      </c>
      <c r="AR78" s="71">
        <f>AI78/94</f>
        <v/>
      </c>
      <c r="AS78" s="71">
        <f>AJ78/94</f>
        <v/>
      </c>
      <c r="AT78" s="72">
        <f>AI78/24</f>
        <v/>
      </c>
      <c r="AU78" s="72">
        <f>AJ78/24</f>
        <v/>
      </c>
      <c r="AV78" s="73">
        <f>AI78/125</f>
        <v/>
      </c>
      <c r="AW78" s="73">
        <f>AJ78/125</f>
        <v/>
      </c>
    </row>
    <row r="79" ht="15.75" customHeight="1" s="258">
      <c r="A79" s="2" t="n"/>
      <c r="B79" s="2" t="inlineStr">
        <is>
          <t>Without Brush / Sunshine within me / 1L</t>
        </is>
      </c>
      <c r="C79" s="2" t="inlineStr">
        <is>
          <t>CB-OL</t>
        </is>
      </c>
      <c r="D79" s="118" t="n">
        <v>460</v>
      </c>
      <c r="F79" s="2" t="n">
        <v>85</v>
      </c>
      <c r="G79" s="118" t="n">
        <v>741810</v>
      </c>
      <c r="H79" s="255" t="n">
        <v>0.05</v>
      </c>
      <c r="I79" s="2">
        <f>D79*H79</f>
        <v/>
      </c>
      <c r="K79" s="2" t="n">
        <v>20</v>
      </c>
      <c r="L79" s="4">
        <f>K79+J79+I79+F79+E79+D79</f>
        <v/>
      </c>
      <c r="M79" s="2">
        <f>D79*1%</f>
        <v/>
      </c>
      <c r="N79" s="12">
        <f>L79*8%</f>
        <v/>
      </c>
      <c r="O79" s="12">
        <f>L79*10%</f>
        <v/>
      </c>
      <c r="P79" s="12">
        <f>L79*5%</f>
        <v/>
      </c>
      <c r="Q79" s="12">
        <f>L79*2%</f>
        <v/>
      </c>
      <c r="R79" s="12">
        <f>AC79*0.5%</f>
        <v/>
      </c>
      <c r="S79" s="12">
        <f>L79*1%</f>
        <v/>
      </c>
      <c r="T79" s="60">
        <f>S79+Q79+P79+O79+N79+M79</f>
        <v/>
      </c>
      <c r="U79" s="2">
        <f>AC79*1%</f>
        <v/>
      </c>
      <c r="V79" s="44">
        <f>AC79*5%</f>
        <v/>
      </c>
      <c r="W79" s="2">
        <f>AC79*1%</f>
        <v/>
      </c>
      <c r="X79" s="2">
        <f>AC79*8%</f>
        <v/>
      </c>
      <c r="Y79" s="2">
        <f>U79+V79+W79+X79</f>
        <v/>
      </c>
      <c r="Z79" s="60">
        <f>Y79+T79+L79</f>
        <v/>
      </c>
      <c r="AA79" s="11">
        <f>Z79*20%</f>
        <v/>
      </c>
      <c r="AB79" s="12">
        <f>Z79+AA79</f>
        <v/>
      </c>
      <c r="AC79" s="2">
        <f>D79*2.1</f>
        <v/>
      </c>
      <c r="AD79" s="12">
        <f>AB79-AC79</f>
        <v/>
      </c>
      <c r="AE79" s="12">
        <f>AD79/AB79*100</f>
        <v/>
      </c>
      <c r="AF79" s="92" t="n">
        <v>1245</v>
      </c>
      <c r="AG79" s="62">
        <f>((AF79-L79)/L79)*100</f>
        <v/>
      </c>
      <c r="AH79" s="106">
        <f>AJ79-AF79</f>
        <v/>
      </c>
      <c r="AI79" s="65" t="n">
        <v>1450</v>
      </c>
      <c r="AJ79" s="65">
        <f>AI79-(AI79*7%)</f>
        <v/>
      </c>
      <c r="AK79" s="66">
        <f>(AJ79-L79)/L79*100</f>
        <v/>
      </c>
      <c r="AL79" s="66" t="n"/>
      <c r="AM79" s="14">
        <f>(AH79/AJ79)*100</f>
        <v/>
      </c>
      <c r="AN79" s="67">
        <f>AK79-AG79</f>
        <v/>
      </c>
      <c r="AO79" s="68">
        <f>AJ79/L79</f>
        <v/>
      </c>
      <c r="AP79" s="69">
        <f>(AJ79-AB79)/100</f>
        <v/>
      </c>
      <c r="AQ79" s="70">
        <f>(AJ79-AC79)/100</f>
        <v/>
      </c>
      <c r="AR79" s="71">
        <f>AI79/94</f>
        <v/>
      </c>
      <c r="AS79" s="71">
        <f>AJ79/94</f>
        <v/>
      </c>
      <c r="AT79" s="72">
        <f>AI79/24</f>
        <v/>
      </c>
      <c r="AU79" s="72">
        <f>AJ79/24</f>
        <v/>
      </c>
      <c r="AV79" s="73">
        <f>AI79/125</f>
        <v/>
      </c>
      <c r="AW79" s="73">
        <f>AJ79/125</f>
        <v/>
      </c>
    </row>
    <row r="80" ht="15.75" customHeight="1" s="258">
      <c r="A80" s="2" t="n"/>
      <c r="B80" s="2" t="inlineStr">
        <is>
          <t>Without Brush / Sunshine within me / 500ml</t>
        </is>
      </c>
      <c r="C80" s="2" t="inlineStr">
        <is>
          <t>CB-OL-.5</t>
        </is>
      </c>
      <c r="D80" s="118" t="n">
        <v>390</v>
      </c>
      <c r="F80" s="2" t="n">
        <v>85</v>
      </c>
      <c r="G80" s="118" t="n">
        <v>741810</v>
      </c>
      <c r="H80" s="255" t="n">
        <v>0.05</v>
      </c>
      <c r="I80" s="2">
        <f>D80*H80</f>
        <v/>
      </c>
      <c r="K80" s="2" t="n">
        <v>20</v>
      </c>
      <c r="L80" s="4">
        <f>K80+J80+I80+F80+E80+D80</f>
        <v/>
      </c>
      <c r="M80" s="2">
        <f>D80*1%</f>
        <v/>
      </c>
      <c r="N80" s="12">
        <f>L80*8%</f>
        <v/>
      </c>
      <c r="O80" s="12">
        <f>L80*10%</f>
        <v/>
      </c>
      <c r="P80" s="12">
        <f>L80*5%</f>
        <v/>
      </c>
      <c r="Q80" s="12">
        <f>L80*2%</f>
        <v/>
      </c>
      <c r="R80" s="12">
        <f>AC80*0.5%</f>
        <v/>
      </c>
      <c r="S80" s="12">
        <f>L80*1%</f>
        <v/>
      </c>
      <c r="T80" s="60">
        <f>S80+Q80+P80+O80+N80+M80</f>
        <v/>
      </c>
      <c r="U80" s="2">
        <f>AC80*1%</f>
        <v/>
      </c>
      <c r="V80" s="44">
        <f>AC80*5%</f>
        <v/>
      </c>
      <c r="W80" s="2">
        <f>AC80*1%</f>
        <v/>
      </c>
      <c r="X80" s="2">
        <f>AC80*8%</f>
        <v/>
      </c>
      <c r="Y80" s="2">
        <f>U80+V80+W80+X80</f>
        <v/>
      </c>
      <c r="Z80" s="60">
        <f>Y80+T80+L80</f>
        <v/>
      </c>
      <c r="AA80" s="11">
        <f>Z80*20%</f>
        <v/>
      </c>
      <c r="AB80" s="12">
        <f>Z80+AA80</f>
        <v/>
      </c>
      <c r="AC80" s="2">
        <f>D80*2.1</f>
        <v/>
      </c>
      <c r="AD80" s="12">
        <f>AB80-AC80</f>
        <v/>
      </c>
      <c r="AE80" s="12">
        <f>AD80/AB80*100</f>
        <v/>
      </c>
      <c r="AF80" s="92" t="n">
        <v>845</v>
      </c>
      <c r="AG80" s="62">
        <f>((AF80-L80)/L80)*100</f>
        <v/>
      </c>
      <c r="AH80" s="106">
        <f>AJ80-AF80</f>
        <v/>
      </c>
      <c r="AI80" s="65" t="n">
        <v>1090</v>
      </c>
      <c r="AJ80" s="65" t="n">
        <v>990</v>
      </c>
      <c r="AK80" s="66">
        <f>(AJ80-L80)/L80*100</f>
        <v/>
      </c>
      <c r="AL80" s="66" t="n"/>
      <c r="AM80" s="14">
        <f>(AH80/AJ80)*100</f>
        <v/>
      </c>
      <c r="AN80" s="67">
        <f>AK80-AG80</f>
        <v/>
      </c>
      <c r="AO80" s="68">
        <f>AJ80/L80</f>
        <v/>
      </c>
      <c r="AP80" s="69">
        <f>(AJ80-AB80)/100</f>
        <v/>
      </c>
      <c r="AQ80" s="70">
        <f>(AJ80-AC80)/100</f>
        <v/>
      </c>
      <c r="AR80" s="71">
        <f>AI80/94</f>
        <v/>
      </c>
      <c r="AS80" s="71">
        <f>AJ80/94</f>
        <v/>
      </c>
      <c r="AT80" s="72">
        <f>AI80/24</f>
        <v/>
      </c>
      <c r="AU80" s="72">
        <f>AJ80/24</f>
        <v/>
      </c>
      <c r="AV80" s="73">
        <f>AI80/125</f>
        <v/>
      </c>
      <c r="AW80" s="73">
        <f>AJ80/125</f>
        <v/>
      </c>
    </row>
    <row r="81" ht="15.75" customHeight="1" s="258">
      <c r="A81" s="2" t="n"/>
      <c r="B81" s="2" t="inlineStr">
        <is>
          <t>Sunshine within me / 1L / With Brush</t>
        </is>
      </c>
      <c r="C81" s="2" t="inlineStr">
        <is>
          <t>CB-OL-B</t>
        </is>
      </c>
      <c r="D81" s="118" t="n">
        <v>460</v>
      </c>
      <c r="E81" s="2" t="n">
        <v>50</v>
      </c>
      <c r="F81" s="2" t="n">
        <v>85</v>
      </c>
      <c r="G81" s="118" t="n">
        <v>741810</v>
      </c>
      <c r="H81" s="255" t="n">
        <v>0.05</v>
      </c>
      <c r="I81" s="2">
        <f>D81*H81</f>
        <v/>
      </c>
      <c r="K81" s="2" t="n">
        <v>20</v>
      </c>
      <c r="L81" s="4">
        <f>K81+J81+I81+F81+E81+D81</f>
        <v/>
      </c>
      <c r="M81" s="2">
        <f>D81*1%</f>
        <v/>
      </c>
      <c r="N81" s="12">
        <f>L81*8%</f>
        <v/>
      </c>
      <c r="O81" s="12">
        <f>L81*10%</f>
        <v/>
      </c>
      <c r="P81" s="12">
        <f>L81*5%</f>
        <v/>
      </c>
      <c r="Q81" s="12">
        <f>L81*2%</f>
        <v/>
      </c>
      <c r="R81" s="12">
        <f>AC81*0.5%</f>
        <v/>
      </c>
      <c r="S81" s="12">
        <f>L81*1%</f>
        <v/>
      </c>
      <c r="T81" s="60">
        <f>S81+Q81+P81+O81+N81+M81</f>
        <v/>
      </c>
      <c r="U81" s="2">
        <f>AC81*1%</f>
        <v/>
      </c>
      <c r="V81" s="44">
        <f>AC81*5%</f>
        <v/>
      </c>
      <c r="W81" s="2">
        <f>AC81*1%</f>
        <v/>
      </c>
      <c r="X81" s="2">
        <f>AC81*8%</f>
        <v/>
      </c>
      <c r="Y81" s="2">
        <f>U81+V81+W81+X81</f>
        <v/>
      </c>
      <c r="Z81" s="60">
        <f>Y81+T81+L81</f>
        <v/>
      </c>
      <c r="AA81" s="11">
        <f>Z81*20%</f>
        <v/>
      </c>
      <c r="AB81" s="12">
        <f>Z81+AA81</f>
        <v/>
      </c>
      <c r="AC81" s="2">
        <f>D81*2.1</f>
        <v/>
      </c>
      <c r="AD81" s="12">
        <f>AB81-AC81</f>
        <v/>
      </c>
      <c r="AE81" s="12">
        <f>AD81/AB81*100</f>
        <v/>
      </c>
      <c r="AF81" s="92" t="n">
        <v>1345</v>
      </c>
      <c r="AG81" s="62">
        <f>((AF81-L81)/L81)*100</f>
        <v/>
      </c>
      <c r="AH81" s="106">
        <f>AJ81-AF81</f>
        <v/>
      </c>
      <c r="AI81" s="65" t="n">
        <v>1450</v>
      </c>
      <c r="AJ81" s="65">
        <f>AI81-(AI81*7%)</f>
        <v/>
      </c>
      <c r="AK81" s="66">
        <f>(AJ81-L81)/L81*100</f>
        <v/>
      </c>
      <c r="AL81" s="66" t="n"/>
      <c r="AM81" s="14">
        <f>(AH81/AJ81)*100</f>
        <v/>
      </c>
      <c r="AN81" s="67">
        <f>AK81-AG81</f>
        <v/>
      </c>
      <c r="AO81" s="68">
        <f>AJ81/L81</f>
        <v/>
      </c>
      <c r="AP81" s="69">
        <f>(AJ81-AB81)/100</f>
        <v/>
      </c>
      <c r="AQ81" s="70">
        <f>(AJ81-AC81)/100</f>
        <v/>
      </c>
      <c r="AR81" s="71">
        <f>AI81/94</f>
        <v/>
      </c>
      <c r="AS81" s="71">
        <f>AJ81/94</f>
        <v/>
      </c>
      <c r="AT81" s="72">
        <f>AI81/24</f>
        <v/>
      </c>
      <c r="AU81" s="72">
        <f>AJ81/24</f>
        <v/>
      </c>
      <c r="AV81" s="73">
        <f>AI81/125</f>
        <v/>
      </c>
      <c r="AW81" s="73">
        <f>AJ81/125</f>
        <v/>
      </c>
    </row>
    <row r="82" ht="15.75" customHeight="1" s="258">
      <c r="A82" s="2" t="n"/>
      <c r="B82" s="2" t="inlineStr">
        <is>
          <t>Sunshine within me / With Brush / 500ml</t>
        </is>
      </c>
      <c r="C82" s="2" t="inlineStr">
        <is>
          <t>CB-OL-B-.5</t>
        </is>
      </c>
      <c r="D82" s="118" t="n">
        <v>390</v>
      </c>
      <c r="E82" s="2" t="n">
        <v>50</v>
      </c>
      <c r="F82" s="2" t="n">
        <v>85</v>
      </c>
      <c r="G82" s="118" t="n">
        <v>741810</v>
      </c>
      <c r="H82" s="255" t="n">
        <v>0.05</v>
      </c>
      <c r="I82" s="2">
        <f>D82*H82</f>
        <v/>
      </c>
      <c r="K82" s="2" t="n">
        <v>20</v>
      </c>
      <c r="L82" s="4">
        <f>K82+J82+I82+F82+E82+D82</f>
        <v/>
      </c>
      <c r="M82" s="2">
        <f>D82*1%</f>
        <v/>
      </c>
      <c r="N82" s="12">
        <f>L82*8%</f>
        <v/>
      </c>
      <c r="O82" s="12">
        <f>L82*10%</f>
        <v/>
      </c>
      <c r="P82" s="12">
        <f>L82*5%</f>
        <v/>
      </c>
      <c r="Q82" s="12">
        <f>L82*2%</f>
        <v/>
      </c>
      <c r="R82" s="12">
        <f>AC82*0.5%</f>
        <v/>
      </c>
      <c r="S82" s="12">
        <f>L82*1%</f>
        <v/>
      </c>
      <c r="T82" s="60">
        <f>S82+Q82+P82+O82+N82+M82</f>
        <v/>
      </c>
      <c r="U82" s="2">
        <f>AC82*1%</f>
        <v/>
      </c>
      <c r="V82" s="44">
        <f>AC82*5%</f>
        <v/>
      </c>
      <c r="W82" s="2">
        <f>AC82*1%</f>
        <v/>
      </c>
      <c r="X82" s="2">
        <f>AC82*8%</f>
        <v/>
      </c>
      <c r="Y82" s="2">
        <f>U82+V82+W82+X82</f>
        <v/>
      </c>
      <c r="Z82" s="60">
        <f>Y82+T82+L82</f>
        <v/>
      </c>
      <c r="AA82" s="11">
        <f>Z82*20%</f>
        <v/>
      </c>
      <c r="AB82" s="12">
        <f>Z82+AA82</f>
        <v/>
      </c>
      <c r="AC82" s="2">
        <f>D82*2.1</f>
        <v/>
      </c>
      <c r="AD82" s="12">
        <f>AB82-AC82</f>
        <v/>
      </c>
      <c r="AE82" s="12">
        <f>AD82/AB82*100</f>
        <v/>
      </c>
      <c r="AF82" s="92" t="n">
        <v>985</v>
      </c>
      <c r="AG82" s="62">
        <f>((AF82-L82)/L82)*100</f>
        <v/>
      </c>
      <c r="AH82" s="106">
        <f>AJ82-AF82</f>
        <v/>
      </c>
      <c r="AI82" s="65" t="n">
        <v>1090</v>
      </c>
      <c r="AJ82" s="65" t="n">
        <v>990</v>
      </c>
      <c r="AK82" s="66">
        <f>(AJ82-L82)/L82*100</f>
        <v/>
      </c>
      <c r="AL82" s="66" t="n"/>
      <c r="AM82" s="14">
        <f>(AH82/AJ82)*100</f>
        <v/>
      </c>
      <c r="AN82" s="67">
        <f>AK82-AG82</f>
        <v/>
      </c>
      <c r="AO82" s="68">
        <f>AJ82/L82</f>
        <v/>
      </c>
      <c r="AP82" s="69">
        <f>(AJ82-AB82)/100</f>
        <v/>
      </c>
      <c r="AQ82" s="70">
        <f>(AJ82-AC82)/100</f>
        <v/>
      </c>
      <c r="AR82" s="71">
        <f>AI82/94</f>
        <v/>
      </c>
      <c r="AS82" s="71">
        <f>AJ82/94</f>
        <v/>
      </c>
      <c r="AT82" s="72">
        <f>AI82/24</f>
        <v/>
      </c>
      <c r="AU82" s="72">
        <f>AJ82/24</f>
        <v/>
      </c>
      <c r="AV82" s="73">
        <f>AI82/125</f>
        <v/>
      </c>
      <c r="AW82" s="73">
        <f>AJ82/125</f>
        <v/>
      </c>
    </row>
    <row r="83" ht="15.75" customHeight="1" s="258">
      <c r="A83" s="2" t="n"/>
      <c r="B83" s="2" t="inlineStr">
        <is>
          <t>Without Brush / Pink &amp; Positive / 1L</t>
        </is>
      </c>
      <c r="C83" s="2" t="inlineStr">
        <is>
          <t>CB-PNT</t>
        </is>
      </c>
      <c r="D83" s="118" t="n">
        <v>460</v>
      </c>
      <c r="F83" s="2" t="n">
        <v>85</v>
      </c>
      <c r="G83" s="118" t="n">
        <v>741810</v>
      </c>
      <c r="H83" s="255" t="n">
        <v>0.05</v>
      </c>
      <c r="I83" s="2">
        <f>D83*H83</f>
        <v/>
      </c>
      <c r="K83" s="2" t="n">
        <v>20</v>
      </c>
      <c r="L83" s="4">
        <f>K83+J83+I83+F83+E83+D83</f>
        <v/>
      </c>
      <c r="M83" s="2">
        <f>D83*1%</f>
        <v/>
      </c>
      <c r="N83" s="12">
        <f>L83*8%</f>
        <v/>
      </c>
      <c r="O83" s="12">
        <f>L83*10%</f>
        <v/>
      </c>
      <c r="P83" s="12">
        <f>L83*5%</f>
        <v/>
      </c>
      <c r="Q83" s="12">
        <f>L83*2%</f>
        <v/>
      </c>
      <c r="R83" s="12">
        <f>AC83*0.5%</f>
        <v/>
      </c>
      <c r="S83" s="12">
        <f>L83*1%</f>
        <v/>
      </c>
      <c r="T83" s="60">
        <f>S83+Q83+P83+O83+N83+M83</f>
        <v/>
      </c>
      <c r="U83" s="2">
        <f>AC83*1%</f>
        <v/>
      </c>
      <c r="V83" s="44">
        <f>AC83*5%</f>
        <v/>
      </c>
      <c r="W83" s="2">
        <f>AC83*1%</f>
        <v/>
      </c>
      <c r="X83" s="2">
        <f>AC83*8%</f>
        <v/>
      </c>
      <c r="Y83" s="2">
        <f>U83+V83+W83+X83</f>
        <v/>
      </c>
      <c r="Z83" s="60">
        <f>Y83+T83+L83</f>
        <v/>
      </c>
      <c r="AA83" s="11">
        <f>Z83*20%</f>
        <v/>
      </c>
      <c r="AB83" s="12">
        <f>Z83+AA83</f>
        <v/>
      </c>
      <c r="AC83" s="2">
        <f>D83*2.1</f>
        <v/>
      </c>
      <c r="AD83" s="12">
        <f>AB83-AC83</f>
        <v/>
      </c>
      <c r="AE83" s="12">
        <f>AD83/AB83*100</f>
        <v/>
      </c>
      <c r="AF83" s="92" t="n">
        <v>1245</v>
      </c>
      <c r="AG83" s="62">
        <f>((AF83-L83)/L83)*100</f>
        <v/>
      </c>
      <c r="AH83" s="106">
        <f>AJ83-AF83</f>
        <v/>
      </c>
      <c r="AI83" s="65" t="n">
        <v>1450</v>
      </c>
      <c r="AJ83" s="65">
        <f>AI83-(AI83*7%)</f>
        <v/>
      </c>
      <c r="AK83" s="66">
        <f>(AJ83-L83)/L83*100</f>
        <v/>
      </c>
      <c r="AL83" s="66" t="n"/>
      <c r="AM83" s="14">
        <f>(AH83/AJ83)*100</f>
        <v/>
      </c>
      <c r="AN83" s="67">
        <f>AK83-AG83</f>
        <v/>
      </c>
      <c r="AO83" s="68">
        <f>AJ83/L83</f>
        <v/>
      </c>
      <c r="AP83" s="69">
        <f>(AJ83-AB83)/100</f>
        <v/>
      </c>
      <c r="AQ83" s="70">
        <f>(AJ83-AC83)/100</f>
        <v/>
      </c>
      <c r="AR83" s="71">
        <f>AI83/94</f>
        <v/>
      </c>
      <c r="AS83" s="71">
        <f>AJ83/94</f>
        <v/>
      </c>
      <c r="AT83" s="72">
        <f>AI83/24</f>
        <v/>
      </c>
      <c r="AU83" s="72">
        <f>AJ83/24</f>
        <v/>
      </c>
      <c r="AV83" s="73">
        <f>AI83/125</f>
        <v/>
      </c>
      <c r="AW83" s="73">
        <f>AJ83/125</f>
        <v/>
      </c>
    </row>
    <row r="84" ht="15.75" customHeight="1" s="258">
      <c r="A84" s="2" t="n"/>
      <c r="B84" s="2" t="inlineStr">
        <is>
          <t>Without Brush / Pink &amp; Positive / 500ml</t>
        </is>
      </c>
      <c r="C84" s="2" t="inlineStr">
        <is>
          <t>CB-PNT-.5</t>
        </is>
      </c>
      <c r="D84" s="118" t="n">
        <v>390</v>
      </c>
      <c r="F84" s="2" t="n">
        <v>85</v>
      </c>
      <c r="G84" s="118" t="n">
        <v>741810</v>
      </c>
      <c r="H84" s="255" t="n">
        <v>0.05</v>
      </c>
      <c r="I84" s="2">
        <f>D84*H84</f>
        <v/>
      </c>
      <c r="K84" s="2" t="n">
        <v>20</v>
      </c>
      <c r="L84" s="4">
        <f>K84+J84+I84+F84+E84+D84</f>
        <v/>
      </c>
      <c r="M84" s="2">
        <f>D84*1%</f>
        <v/>
      </c>
      <c r="N84" s="12">
        <f>L84*8%</f>
        <v/>
      </c>
      <c r="O84" s="12">
        <f>L84*10%</f>
        <v/>
      </c>
      <c r="P84" s="12">
        <f>L84*5%</f>
        <v/>
      </c>
      <c r="Q84" s="12">
        <f>L84*2%</f>
        <v/>
      </c>
      <c r="R84" s="12">
        <f>AC84*0.5%</f>
        <v/>
      </c>
      <c r="S84" s="12">
        <f>L84*1%</f>
        <v/>
      </c>
      <c r="T84" s="60">
        <f>S84+Q84+P84+O84+N84+M84</f>
        <v/>
      </c>
      <c r="U84" s="2">
        <f>AC84*1%</f>
        <v/>
      </c>
      <c r="V84" s="44">
        <f>AC84*5%</f>
        <v/>
      </c>
      <c r="W84" s="2">
        <f>AC84*1%</f>
        <v/>
      </c>
      <c r="X84" s="2">
        <f>AC84*8%</f>
        <v/>
      </c>
      <c r="Y84" s="2">
        <f>U84+V84+W84+X84</f>
        <v/>
      </c>
      <c r="Z84" s="60">
        <f>Y84+T84+L84</f>
        <v/>
      </c>
      <c r="AA84" s="11">
        <f>Z84*20%</f>
        <v/>
      </c>
      <c r="AB84" s="12">
        <f>Z84+AA84</f>
        <v/>
      </c>
      <c r="AC84" s="2">
        <f>D84*2.1</f>
        <v/>
      </c>
      <c r="AD84" s="12">
        <f>AB84-AC84</f>
        <v/>
      </c>
      <c r="AE84" s="12">
        <f>AD84/AB84*100</f>
        <v/>
      </c>
      <c r="AF84" s="92" t="n">
        <v>890</v>
      </c>
      <c r="AG84" s="62">
        <f>((AF84-L84)/L84)*100</f>
        <v/>
      </c>
      <c r="AH84" s="106">
        <f>AJ84-AF84</f>
        <v/>
      </c>
      <c r="AI84" s="65" t="n">
        <v>1090</v>
      </c>
      <c r="AJ84" s="65" t="n">
        <v>990</v>
      </c>
      <c r="AK84" s="66">
        <f>(AJ84-L84)/L84*100</f>
        <v/>
      </c>
      <c r="AL84" s="66" t="n"/>
      <c r="AM84" s="14">
        <f>(AH84/AJ84)*100</f>
        <v/>
      </c>
      <c r="AN84" s="67">
        <f>AK84-AG84</f>
        <v/>
      </c>
      <c r="AO84" s="68">
        <f>AJ84/L84</f>
        <v/>
      </c>
      <c r="AP84" s="69">
        <f>(AJ84-AB84)/100</f>
        <v/>
      </c>
      <c r="AQ84" s="70">
        <f>(AJ84-AC84)/100</f>
        <v/>
      </c>
      <c r="AR84" s="71">
        <f>AI84/94</f>
        <v/>
      </c>
      <c r="AS84" s="71">
        <f>AJ84/94</f>
        <v/>
      </c>
      <c r="AT84" s="72">
        <f>AI84/24</f>
        <v/>
      </c>
      <c r="AU84" s="72">
        <f>AJ84/24</f>
        <v/>
      </c>
      <c r="AV84" s="73">
        <f>AI84/125</f>
        <v/>
      </c>
      <c r="AW84" s="73">
        <f>AJ84/125</f>
        <v/>
      </c>
    </row>
    <row r="85" ht="15.75" customHeight="1" s="258">
      <c r="A85" s="2" t="n"/>
      <c r="B85" s="2" t="inlineStr">
        <is>
          <t>Pink &amp; Positive / 1L / With Brush</t>
        </is>
      </c>
      <c r="C85" s="2" t="inlineStr">
        <is>
          <t>CB-PNT-B</t>
        </is>
      </c>
      <c r="D85" s="118" t="n">
        <v>460</v>
      </c>
      <c r="E85" s="2" t="n">
        <v>50</v>
      </c>
      <c r="F85" s="2" t="n">
        <v>85</v>
      </c>
      <c r="G85" s="118" t="n">
        <v>741810</v>
      </c>
      <c r="H85" s="255" t="n">
        <v>0.05</v>
      </c>
      <c r="I85" s="2">
        <f>D85*H85</f>
        <v/>
      </c>
      <c r="K85" s="2" t="n">
        <v>20</v>
      </c>
      <c r="L85" s="4">
        <f>K85+J85+I85+F85+E85+D85</f>
        <v/>
      </c>
      <c r="M85" s="2">
        <f>D85*1%</f>
        <v/>
      </c>
      <c r="N85" s="12">
        <f>L85*8%</f>
        <v/>
      </c>
      <c r="O85" s="12">
        <f>L85*10%</f>
        <v/>
      </c>
      <c r="P85" s="12">
        <f>L85*5%</f>
        <v/>
      </c>
      <c r="Q85" s="12">
        <f>L85*2%</f>
        <v/>
      </c>
      <c r="R85" s="12">
        <f>AC85*0.5%</f>
        <v/>
      </c>
      <c r="S85" s="12">
        <f>L85*1%</f>
        <v/>
      </c>
      <c r="T85" s="60">
        <f>S85+Q85+P85+O85+N85+M85</f>
        <v/>
      </c>
      <c r="U85" s="2">
        <f>AC85*1%</f>
        <v/>
      </c>
      <c r="V85" s="44">
        <f>AC85*5%</f>
        <v/>
      </c>
      <c r="W85" s="2">
        <f>AC85*1%</f>
        <v/>
      </c>
      <c r="X85" s="2">
        <f>AC85*8%</f>
        <v/>
      </c>
      <c r="Y85" s="2">
        <f>U85+V85+W85+X85</f>
        <v/>
      </c>
      <c r="Z85" s="60">
        <f>Y85+T85+L85</f>
        <v/>
      </c>
      <c r="AA85" s="11">
        <f>Z85*20%</f>
        <v/>
      </c>
      <c r="AB85" s="12">
        <f>Z85+AA85</f>
        <v/>
      </c>
      <c r="AC85" s="2">
        <f>D85*2.1</f>
        <v/>
      </c>
      <c r="AD85" s="12">
        <f>AB85-AC85</f>
        <v/>
      </c>
      <c r="AE85" s="12">
        <f>AD85/AB85*100</f>
        <v/>
      </c>
      <c r="AF85" s="92" t="n">
        <v>1345</v>
      </c>
      <c r="AG85" s="62">
        <f>((AF85-L85)/L85)*100</f>
        <v/>
      </c>
      <c r="AH85" s="106">
        <f>AJ85-AF85</f>
        <v/>
      </c>
      <c r="AI85" s="65" t="n">
        <v>1450</v>
      </c>
      <c r="AJ85" s="65">
        <f>AI85-(AI85*7%)</f>
        <v/>
      </c>
      <c r="AK85" s="66">
        <f>(AJ85-L85)/L85*100</f>
        <v/>
      </c>
      <c r="AL85" s="66" t="n"/>
      <c r="AM85" s="14">
        <f>(AH85/AJ85)*100</f>
        <v/>
      </c>
      <c r="AN85" s="67">
        <f>AK85-AG85</f>
        <v/>
      </c>
      <c r="AO85" s="68">
        <f>AJ85/L85</f>
        <v/>
      </c>
      <c r="AP85" s="69">
        <f>(AJ85-AB85)/100</f>
        <v/>
      </c>
      <c r="AQ85" s="70">
        <f>(AJ85-AC85)/100</f>
        <v/>
      </c>
      <c r="AR85" s="71">
        <f>AI85/94</f>
        <v/>
      </c>
      <c r="AS85" s="71">
        <f>AJ85/94</f>
        <v/>
      </c>
      <c r="AT85" s="72">
        <f>AI85/24</f>
        <v/>
      </c>
      <c r="AU85" s="72">
        <f>AJ85/24</f>
        <v/>
      </c>
      <c r="AV85" s="73">
        <f>AI85/125</f>
        <v/>
      </c>
      <c r="AW85" s="73">
        <f>AJ85/125</f>
        <v/>
      </c>
    </row>
    <row r="86" ht="15.75" customHeight="1" s="258">
      <c r="A86" s="2" t="n"/>
      <c r="B86" s="2" t="inlineStr">
        <is>
          <t>Pink &amp; Positive / With Brush / 500ml</t>
        </is>
      </c>
      <c r="C86" s="2" t="inlineStr">
        <is>
          <t>CB-PNT-B-.5</t>
        </is>
      </c>
      <c r="D86" s="118" t="n">
        <v>390</v>
      </c>
      <c r="E86" s="2" t="n">
        <v>50</v>
      </c>
      <c r="F86" s="2" t="n">
        <v>85</v>
      </c>
      <c r="G86" s="118" t="n">
        <v>741810</v>
      </c>
      <c r="H86" s="255" t="n">
        <v>0.05</v>
      </c>
      <c r="I86" s="2">
        <f>D86*H86</f>
        <v/>
      </c>
      <c r="K86" s="2" t="n">
        <v>20</v>
      </c>
      <c r="L86" s="4">
        <f>K86+J86+I86+F86+E86+D86</f>
        <v/>
      </c>
      <c r="M86" s="2">
        <f>D86*1%</f>
        <v/>
      </c>
      <c r="N86" s="12">
        <f>L86*8%</f>
        <v/>
      </c>
      <c r="O86" s="12">
        <f>L86*10%</f>
        <v/>
      </c>
      <c r="P86" s="12">
        <f>L86*5%</f>
        <v/>
      </c>
      <c r="Q86" s="12">
        <f>L86*2%</f>
        <v/>
      </c>
      <c r="R86" s="12">
        <f>AC86*0.5%</f>
        <v/>
      </c>
      <c r="S86" s="12">
        <f>L86*1%</f>
        <v/>
      </c>
      <c r="T86" s="60">
        <f>S86+Q86+P86+O86+N86+M86</f>
        <v/>
      </c>
      <c r="U86" s="2">
        <f>AC86*1%</f>
        <v/>
      </c>
      <c r="V86" s="44">
        <f>AC86*5%</f>
        <v/>
      </c>
      <c r="W86" s="2">
        <f>AC86*1%</f>
        <v/>
      </c>
      <c r="X86" s="2">
        <f>AC86*8%</f>
        <v/>
      </c>
      <c r="Y86" s="2">
        <f>U86+V86+W86+X86</f>
        <v/>
      </c>
      <c r="Z86" s="60">
        <f>Y86+T86+L86</f>
        <v/>
      </c>
      <c r="AA86" s="11">
        <f>Z86*20%</f>
        <v/>
      </c>
      <c r="AB86" s="12">
        <f>Z86+AA86</f>
        <v/>
      </c>
      <c r="AC86" s="2">
        <f>D86*2.1</f>
        <v/>
      </c>
      <c r="AD86" s="12">
        <f>AB86-AC86</f>
        <v/>
      </c>
      <c r="AE86" s="12">
        <f>AD86/AB86*100</f>
        <v/>
      </c>
      <c r="AF86" s="92" t="n">
        <v>985</v>
      </c>
      <c r="AG86" s="62">
        <f>((AF86-L86)/L86)*100</f>
        <v/>
      </c>
      <c r="AH86" s="106">
        <f>AJ86-AF86</f>
        <v/>
      </c>
      <c r="AI86" s="65" t="n">
        <v>1090</v>
      </c>
      <c r="AJ86" s="65" t="n">
        <v>990</v>
      </c>
      <c r="AK86" s="66">
        <f>(AJ86-L86)/L86*100</f>
        <v/>
      </c>
      <c r="AL86" s="66" t="n"/>
      <c r="AM86" s="14">
        <f>(AH86/AJ86)*100</f>
        <v/>
      </c>
      <c r="AN86" s="67">
        <f>AK86-AG86</f>
        <v/>
      </c>
      <c r="AO86" s="68">
        <f>AJ86/L86</f>
        <v/>
      </c>
      <c r="AP86" s="69">
        <f>(AJ86-AB86)/100</f>
        <v/>
      </c>
      <c r="AQ86" s="70">
        <f>(AJ86-AC86)/100</f>
        <v/>
      </c>
      <c r="AR86" s="71">
        <f>AI86/94</f>
        <v/>
      </c>
      <c r="AS86" s="71">
        <f>AJ86/94</f>
        <v/>
      </c>
      <c r="AT86" s="72">
        <f>AI86/24</f>
        <v/>
      </c>
      <c r="AU86" s="72">
        <f>AJ86/24</f>
        <v/>
      </c>
      <c r="AV86" s="73">
        <f>AI86/125</f>
        <v/>
      </c>
      <c r="AW86" s="73">
        <f>AJ86/125</f>
        <v/>
      </c>
    </row>
    <row r="87" ht="15.75" customHeight="1" s="258">
      <c r="A87" s="2" t="n"/>
      <c r="B87" s="2" t="inlineStr">
        <is>
          <t>Tatvamasi - I am Infinite / Without Brush / 1L</t>
        </is>
      </c>
      <c r="C87" s="2" t="inlineStr">
        <is>
          <t>CB-T</t>
        </is>
      </c>
      <c r="D87" s="118" t="n">
        <v>460</v>
      </c>
      <c r="F87" s="2" t="n">
        <v>85</v>
      </c>
      <c r="G87" s="118" t="n">
        <v>741810</v>
      </c>
      <c r="H87" s="255" t="n">
        <v>0.05</v>
      </c>
      <c r="I87" s="2">
        <f>D87*H87</f>
        <v/>
      </c>
      <c r="K87" s="2" t="n">
        <v>20</v>
      </c>
      <c r="L87" s="4">
        <f>K87+J87+I87+F87+E87+D87</f>
        <v/>
      </c>
      <c r="M87" s="2">
        <f>D87*1%</f>
        <v/>
      </c>
      <c r="N87" s="12">
        <f>L87*8%</f>
        <v/>
      </c>
      <c r="O87" s="12">
        <f>L87*10%</f>
        <v/>
      </c>
      <c r="P87" s="12">
        <f>L87*5%</f>
        <v/>
      </c>
      <c r="Q87" s="12">
        <f>L87*2%</f>
        <v/>
      </c>
      <c r="R87" s="12">
        <f>AC87*0.5%</f>
        <v/>
      </c>
      <c r="S87" s="12">
        <f>L87*1%</f>
        <v/>
      </c>
      <c r="T87" s="60">
        <f>S87+Q87+P87+O87+N87+M87</f>
        <v/>
      </c>
      <c r="U87" s="2">
        <f>AC87*1%</f>
        <v/>
      </c>
      <c r="V87" s="44">
        <f>AC87*5%</f>
        <v/>
      </c>
      <c r="W87" s="2">
        <f>AC87*1%</f>
        <v/>
      </c>
      <c r="X87" s="2">
        <f>AC87*8%</f>
        <v/>
      </c>
      <c r="Y87" s="2">
        <f>U87+V87+W87+X87</f>
        <v/>
      </c>
      <c r="Z87" s="60">
        <f>Y87+T87+L87</f>
        <v/>
      </c>
      <c r="AA87" s="11">
        <f>Z87*20%</f>
        <v/>
      </c>
      <c r="AB87" s="12">
        <f>Z87+AA87</f>
        <v/>
      </c>
      <c r="AC87" s="2">
        <f>D87*2.1</f>
        <v/>
      </c>
      <c r="AD87" s="12">
        <f>AB87-AC87</f>
        <v/>
      </c>
      <c r="AE87" s="12">
        <f>AD87/AB87*100</f>
        <v/>
      </c>
      <c r="AF87" s="92" t="n">
        <v>1245</v>
      </c>
      <c r="AG87" s="62">
        <f>((AF87-L87)/L87)*100</f>
        <v/>
      </c>
      <c r="AH87" s="106">
        <f>AJ87-AF87</f>
        <v/>
      </c>
      <c r="AI87" s="65" t="n">
        <v>1450</v>
      </c>
      <c r="AJ87" s="65">
        <f>AI87-(AI87*7%)</f>
        <v/>
      </c>
      <c r="AK87" s="66">
        <f>(AJ87-L87)/L87*100</f>
        <v/>
      </c>
      <c r="AL87" s="66" t="n"/>
      <c r="AM87" s="14">
        <f>(AH87/AJ87)*100</f>
        <v/>
      </c>
      <c r="AN87" s="67">
        <f>AK87-AG87</f>
        <v/>
      </c>
      <c r="AO87" s="68">
        <f>AJ87/L87</f>
        <v/>
      </c>
      <c r="AP87" s="69">
        <f>(AJ87-AB87)/100</f>
        <v/>
      </c>
      <c r="AQ87" s="70">
        <f>(AJ87-AC87)/100</f>
        <v/>
      </c>
      <c r="AR87" s="71">
        <f>AI87/94</f>
        <v/>
      </c>
      <c r="AS87" s="71">
        <f>AJ87/94</f>
        <v/>
      </c>
      <c r="AT87" s="72">
        <f>AI87/24</f>
        <v/>
      </c>
      <c r="AU87" s="72">
        <f>AJ87/24</f>
        <v/>
      </c>
      <c r="AV87" s="73">
        <f>AI87/125</f>
        <v/>
      </c>
      <c r="AW87" s="73">
        <f>AJ87/125</f>
        <v/>
      </c>
    </row>
    <row r="88" ht="15.75" customHeight="1" s="258">
      <c r="A88" s="2" t="n"/>
      <c r="B88" s="2" t="inlineStr">
        <is>
          <t>Tatvamasi - I am Infinite / Without Brush / 500ml</t>
        </is>
      </c>
      <c r="C88" s="2" t="inlineStr">
        <is>
          <t>CB-T-.5</t>
        </is>
      </c>
      <c r="D88" s="118" t="n">
        <v>390</v>
      </c>
      <c r="F88" s="2" t="n">
        <v>85</v>
      </c>
      <c r="G88" s="118" t="n">
        <v>741810</v>
      </c>
      <c r="H88" s="255" t="n">
        <v>0.05</v>
      </c>
      <c r="I88" s="2">
        <f>D88*H88</f>
        <v/>
      </c>
      <c r="K88" s="2" t="n">
        <v>20</v>
      </c>
      <c r="L88" s="4">
        <f>K88+J88+I88+F88+E88+D88</f>
        <v/>
      </c>
      <c r="M88" s="2">
        <f>D88*1%</f>
        <v/>
      </c>
      <c r="N88" s="12">
        <f>L88*8%</f>
        <v/>
      </c>
      <c r="O88" s="12">
        <f>L88*10%</f>
        <v/>
      </c>
      <c r="P88" s="12">
        <f>L88*5%</f>
        <v/>
      </c>
      <c r="Q88" s="12">
        <f>L88*2%</f>
        <v/>
      </c>
      <c r="R88" s="12">
        <f>AC88*0.5%</f>
        <v/>
      </c>
      <c r="S88" s="12">
        <f>L88*1%</f>
        <v/>
      </c>
      <c r="T88" s="60">
        <f>S88+Q88+P88+O88+N88+M88</f>
        <v/>
      </c>
      <c r="U88" s="2">
        <f>AC88*1%</f>
        <v/>
      </c>
      <c r="V88" s="44">
        <f>AC88*5%</f>
        <v/>
      </c>
      <c r="W88" s="2">
        <f>AC88*1%</f>
        <v/>
      </c>
      <c r="X88" s="2">
        <f>AC88*8%</f>
        <v/>
      </c>
      <c r="Y88" s="2">
        <f>U88+V88+W88+X88</f>
        <v/>
      </c>
      <c r="Z88" s="60">
        <f>Y88+T88+L88</f>
        <v/>
      </c>
      <c r="AA88" s="11">
        <f>Z88*20%</f>
        <v/>
      </c>
      <c r="AB88" s="12">
        <f>Z88+AA88</f>
        <v/>
      </c>
      <c r="AC88" s="2">
        <f>D88*2.1</f>
        <v/>
      </c>
      <c r="AD88" s="12">
        <f>AB88-AC88</f>
        <v/>
      </c>
      <c r="AE88" s="12">
        <f>AD88/AB88*100</f>
        <v/>
      </c>
      <c r="AF88" s="92" t="n">
        <v>890</v>
      </c>
      <c r="AG88" s="62">
        <f>((AF88-L88)/L88)*100</f>
        <v/>
      </c>
      <c r="AH88" s="106">
        <f>AJ88-AF88</f>
        <v/>
      </c>
      <c r="AI88" s="65" t="n">
        <v>1090</v>
      </c>
      <c r="AJ88" s="65" t="n">
        <v>990</v>
      </c>
      <c r="AK88" s="66">
        <f>(AJ88-L88)/L88*100</f>
        <v/>
      </c>
      <c r="AL88" s="66" t="n"/>
      <c r="AM88" s="14">
        <f>(AH88/AJ88)*100</f>
        <v/>
      </c>
      <c r="AN88" s="67">
        <f>AK88-AG88</f>
        <v/>
      </c>
      <c r="AO88" s="68">
        <f>AJ88/L88</f>
        <v/>
      </c>
      <c r="AP88" s="69">
        <f>(AJ88-AB88)/100</f>
        <v/>
      </c>
      <c r="AQ88" s="70">
        <f>(AJ88-AC88)/100</f>
        <v/>
      </c>
      <c r="AR88" s="71">
        <f>AI88/94</f>
        <v/>
      </c>
      <c r="AS88" s="71">
        <f>AJ88/94</f>
        <v/>
      </c>
      <c r="AT88" s="72">
        <f>AI88/24</f>
        <v/>
      </c>
      <c r="AU88" s="72">
        <f>AJ88/24</f>
        <v/>
      </c>
      <c r="AV88" s="73">
        <f>AI88/125</f>
        <v/>
      </c>
      <c r="AW88" s="73">
        <f>AJ88/125</f>
        <v/>
      </c>
    </row>
    <row r="89" ht="15.75" customHeight="1" s="258">
      <c r="A89" s="2" t="n"/>
      <c r="B89" s="2" t="inlineStr">
        <is>
          <t>Tatvamasi - I am Infinite / 1L / With Brush</t>
        </is>
      </c>
      <c r="C89" s="2" t="inlineStr">
        <is>
          <t>CB-T-B</t>
        </is>
      </c>
      <c r="D89" s="118" t="n">
        <v>460</v>
      </c>
      <c r="E89" s="2" t="n">
        <v>50</v>
      </c>
      <c r="F89" s="2" t="n">
        <v>85</v>
      </c>
      <c r="G89" s="118" t="n">
        <v>741810</v>
      </c>
      <c r="H89" s="255" t="n">
        <v>0.05</v>
      </c>
      <c r="I89" s="2">
        <f>D89*H89</f>
        <v/>
      </c>
      <c r="K89" s="2" t="n">
        <v>20</v>
      </c>
      <c r="L89" s="4">
        <f>K89+J89+I89+F89+E89+D89</f>
        <v/>
      </c>
      <c r="M89" s="2">
        <f>D89*1%</f>
        <v/>
      </c>
      <c r="N89" s="12">
        <f>L89*8%</f>
        <v/>
      </c>
      <c r="O89" s="12">
        <f>L89*10%</f>
        <v/>
      </c>
      <c r="P89" s="12">
        <f>L89*5%</f>
        <v/>
      </c>
      <c r="Q89" s="12">
        <f>L89*2%</f>
        <v/>
      </c>
      <c r="R89" s="12">
        <f>AC89*0.5%</f>
        <v/>
      </c>
      <c r="S89" s="12">
        <f>L89*1%</f>
        <v/>
      </c>
      <c r="T89" s="60">
        <f>S89+Q89+P89+O89+N89+M89</f>
        <v/>
      </c>
      <c r="U89" s="2">
        <f>AC89*1%</f>
        <v/>
      </c>
      <c r="V89" s="44">
        <f>AC89*5%</f>
        <v/>
      </c>
      <c r="W89" s="2">
        <f>AC89*1%</f>
        <v/>
      </c>
      <c r="X89" s="2">
        <f>AC89*8%</f>
        <v/>
      </c>
      <c r="Y89" s="2">
        <f>U89+V89+W89+X89</f>
        <v/>
      </c>
      <c r="Z89" s="60">
        <f>Y89+T89+L89</f>
        <v/>
      </c>
      <c r="AA89" s="11">
        <f>Z89*20%</f>
        <v/>
      </c>
      <c r="AB89" s="12">
        <f>Z89+AA89</f>
        <v/>
      </c>
      <c r="AC89" s="2">
        <f>D89*2.1</f>
        <v/>
      </c>
      <c r="AD89" s="12">
        <f>AB89-AC89</f>
        <v/>
      </c>
      <c r="AE89" s="12">
        <f>AD89/AB89*100</f>
        <v/>
      </c>
      <c r="AF89" s="92" t="n">
        <v>1345</v>
      </c>
      <c r="AG89" s="62">
        <f>((AF89-L89)/L89)*100</f>
        <v/>
      </c>
      <c r="AH89" s="106">
        <f>AJ89-AF89</f>
        <v/>
      </c>
      <c r="AI89" s="65" t="n">
        <v>1450</v>
      </c>
      <c r="AJ89" s="65">
        <f>AI89-(AI89*7%)</f>
        <v/>
      </c>
      <c r="AK89" s="66">
        <f>(AJ89-L89)/L89*100</f>
        <v/>
      </c>
      <c r="AL89" s="66" t="n"/>
      <c r="AM89" s="14">
        <f>(AH89/AJ89)*100</f>
        <v/>
      </c>
      <c r="AN89" s="67">
        <f>AK89-AG89</f>
        <v/>
      </c>
      <c r="AO89" s="68">
        <f>AJ89/L89</f>
        <v/>
      </c>
      <c r="AP89" s="69">
        <f>(AJ89-AB89)/100</f>
        <v/>
      </c>
      <c r="AQ89" s="70">
        <f>(AJ89-AC89)/100</f>
        <v/>
      </c>
      <c r="AR89" s="71">
        <f>AI89/94</f>
        <v/>
      </c>
      <c r="AS89" s="71">
        <f>AJ89/94</f>
        <v/>
      </c>
      <c r="AT89" s="72">
        <f>AI89/24</f>
        <v/>
      </c>
      <c r="AU89" s="72">
        <f>AJ89/24</f>
        <v/>
      </c>
      <c r="AV89" s="73">
        <f>AI89/125</f>
        <v/>
      </c>
      <c r="AW89" s="73">
        <f>AJ89/125</f>
        <v/>
      </c>
    </row>
    <row r="90" ht="15.75" customHeight="1" s="258">
      <c r="A90" s="2" t="inlineStr">
        <is>
          <t>Ayurvedic Copper Bedroom Jar</t>
        </is>
      </c>
      <c r="B90" s="2" t="inlineStr">
        <is>
          <t>Standard</t>
        </is>
      </c>
      <c r="C90" s="2" t="inlineStr">
        <is>
          <t>CB-BJ</t>
        </is>
      </c>
      <c r="D90" s="118" t="n">
        <v>590</v>
      </c>
      <c r="F90" s="2" t="n">
        <v>45</v>
      </c>
      <c r="G90" s="118" t="n">
        <v>741810</v>
      </c>
      <c r="H90" s="255" t="n">
        <v>0.05</v>
      </c>
      <c r="I90" s="2">
        <f>D90*H90</f>
        <v/>
      </c>
      <c r="K90" s="2">
        <f>D90*4%</f>
        <v/>
      </c>
      <c r="L90" s="4">
        <f>K90+J90+I90+F90+E90+D90</f>
        <v/>
      </c>
      <c r="M90" s="2">
        <f>D90*1%</f>
        <v/>
      </c>
      <c r="N90" s="12">
        <f>L90*8%</f>
        <v/>
      </c>
      <c r="O90" s="12">
        <f>L90*10%</f>
        <v/>
      </c>
      <c r="P90" s="12">
        <f>L90*5%</f>
        <v/>
      </c>
      <c r="Q90" s="12">
        <f>L90*2%</f>
        <v/>
      </c>
      <c r="R90" s="12">
        <f>AC90*0.5%</f>
        <v/>
      </c>
      <c r="S90" s="12">
        <f>L90*1%</f>
        <v/>
      </c>
      <c r="T90" s="60">
        <f>S90+Q90+P90+O90+N90+M90</f>
        <v/>
      </c>
      <c r="U90" s="2">
        <f>AC90*1%</f>
        <v/>
      </c>
      <c r="V90" s="44">
        <f>AC90*5%</f>
        <v/>
      </c>
      <c r="W90" s="2">
        <f>AC90*1%</f>
        <v/>
      </c>
      <c r="X90" s="2">
        <f>AC90*8%</f>
        <v/>
      </c>
      <c r="Y90" s="2">
        <f>U90+V90+W90+X90</f>
        <v/>
      </c>
      <c r="Z90" s="60">
        <f>Y90+T90+L90</f>
        <v/>
      </c>
      <c r="AA90" s="11">
        <f>Z90*20%</f>
        <v/>
      </c>
      <c r="AB90" s="12">
        <f>Z90+AA90</f>
        <v/>
      </c>
      <c r="AC90" s="2">
        <f>D90*2.1</f>
        <v/>
      </c>
      <c r="AD90" s="12">
        <f>AB90-AC90</f>
        <v/>
      </c>
      <c r="AE90" s="12">
        <f>AD90/AB90*100</f>
        <v/>
      </c>
      <c r="AF90" s="92" t="n">
        <v>1245</v>
      </c>
      <c r="AG90" s="62">
        <f>((AF90-L90)/L90)*100</f>
        <v/>
      </c>
      <c r="AH90" s="106">
        <f>AJ90-AF90</f>
        <v/>
      </c>
      <c r="AI90" s="65" t="n">
        <v>1350</v>
      </c>
      <c r="AJ90" s="65" t="n">
        <v>1290</v>
      </c>
      <c r="AK90" s="66">
        <f>(AJ90-L90)/L90*100</f>
        <v/>
      </c>
      <c r="AL90" s="66" t="n"/>
      <c r="AM90" s="14">
        <f>(AH90/AJ90)*100</f>
        <v/>
      </c>
      <c r="AN90" s="67">
        <f>AK90-AG90</f>
        <v/>
      </c>
      <c r="AO90" s="68">
        <f>AJ90/L90</f>
        <v/>
      </c>
      <c r="AP90" s="69">
        <f>(AJ90-AB90)/100</f>
        <v/>
      </c>
      <c r="AQ90" s="70">
        <f>(AJ90-AC90)/100</f>
        <v/>
      </c>
      <c r="AR90" s="71">
        <f>AI90/94</f>
        <v/>
      </c>
      <c r="AS90" s="71">
        <f>AJ90/94</f>
        <v/>
      </c>
      <c r="AT90" s="72">
        <f>AI90/24</f>
        <v/>
      </c>
      <c r="AU90" s="72">
        <f>AJ90/24</f>
        <v/>
      </c>
      <c r="AV90" s="73">
        <f>AI90/125</f>
        <v/>
      </c>
      <c r="AW90" s="73">
        <f>AJ90/125</f>
        <v/>
      </c>
    </row>
    <row r="91" ht="15" customHeight="1" s="258">
      <c r="A91" s="2" t="inlineStr">
        <is>
          <t>Copper Bottle Gift Set - 7 Chakra</t>
        </is>
      </c>
      <c r="B91" s="2" t="inlineStr">
        <is>
          <t>Gold</t>
        </is>
      </c>
      <c r="C91" s="2" t="inlineStr">
        <is>
          <t>GP-CB-7C-C-2G</t>
        </is>
      </c>
      <c r="D91" s="118" t="n">
        <v>690</v>
      </c>
      <c r="F91" s="2" t="n">
        <v>60</v>
      </c>
      <c r="G91" s="74" t="n">
        <v>741810</v>
      </c>
      <c r="H91" s="255" t="n">
        <v>0.05</v>
      </c>
      <c r="I91" s="2">
        <f>D91*H91</f>
        <v/>
      </c>
      <c r="K91" s="2" t="n">
        <v>40</v>
      </c>
      <c r="L91" s="4">
        <f>K91+J91+I91+F91+E91+D91</f>
        <v/>
      </c>
      <c r="M91" s="2">
        <f>D91*1%</f>
        <v/>
      </c>
      <c r="N91" s="12">
        <f>L91*8%</f>
        <v/>
      </c>
      <c r="O91" s="12">
        <f>L91*10%</f>
        <v/>
      </c>
      <c r="P91" s="12">
        <f>L91*5%</f>
        <v/>
      </c>
      <c r="Q91" s="12">
        <f>L91*2%</f>
        <v/>
      </c>
      <c r="R91" s="12">
        <f>AC91*0.5%</f>
        <v/>
      </c>
      <c r="S91" s="12">
        <f>L91*1%</f>
        <v/>
      </c>
      <c r="T91" s="60">
        <f>S91+Q91+P91+O91+N91+M91</f>
        <v/>
      </c>
      <c r="U91" s="2">
        <f>AC91*1%</f>
        <v/>
      </c>
      <c r="V91" s="44">
        <f>AC91*5%</f>
        <v/>
      </c>
      <c r="W91" s="2">
        <f>AC91*1%</f>
        <v/>
      </c>
      <c r="X91" s="2">
        <f>AC91*8%</f>
        <v/>
      </c>
      <c r="Y91" s="2">
        <f>U91+V91+W91+X91</f>
        <v/>
      </c>
      <c r="Z91" s="60">
        <f>Y91+T91+L91</f>
        <v/>
      </c>
      <c r="AA91" s="11">
        <f>Z91*20%</f>
        <v/>
      </c>
      <c r="AB91" s="12">
        <f>Z91+AA91</f>
        <v/>
      </c>
      <c r="AC91" s="2">
        <f>D91*2.1</f>
        <v/>
      </c>
      <c r="AD91" s="12">
        <f>AB91-AC91</f>
        <v/>
      </c>
      <c r="AE91" s="12">
        <f>AD91/AB91*100</f>
        <v/>
      </c>
      <c r="AF91" s="92" t="n">
        <v>1750</v>
      </c>
      <c r="AG91" s="62">
        <f>((AF91-L91)/L91)*100</f>
        <v/>
      </c>
      <c r="AH91" s="106">
        <f>AJ91-AF91</f>
        <v/>
      </c>
      <c r="AI91" s="65" t="n">
        <v>1890</v>
      </c>
      <c r="AJ91" s="65" t="n">
        <v>1625</v>
      </c>
      <c r="AK91" s="66">
        <f>(AJ91-L91)/L91*100</f>
        <v/>
      </c>
      <c r="AL91" s="66" t="n"/>
      <c r="AM91" s="14">
        <f>AH91/AJ91%</f>
        <v/>
      </c>
      <c r="AN91" s="67">
        <f>AK91-AG91</f>
        <v/>
      </c>
      <c r="AO91" s="68">
        <f>AJ91/L91</f>
        <v/>
      </c>
      <c r="AP91" s="69">
        <f>(AJ91-AB91)/100</f>
        <v/>
      </c>
      <c r="AQ91" s="70">
        <f>(AJ91-AC91)/100</f>
        <v/>
      </c>
      <c r="AR91" s="71">
        <f>AI91/94</f>
        <v/>
      </c>
      <c r="AS91" s="71">
        <f>AJ91/94</f>
        <v/>
      </c>
      <c r="AT91" s="72">
        <f>AI91/24</f>
        <v/>
      </c>
      <c r="AU91" s="72">
        <f>AJ91/24</f>
        <v/>
      </c>
      <c r="AV91" s="73">
        <f>AI91/125</f>
        <v/>
      </c>
      <c r="AW91" s="73">
        <f>AJ91/125</f>
        <v/>
      </c>
    </row>
    <row r="92" ht="15.75" customHeight="1" s="258">
      <c r="A92" s="2" t="n"/>
      <c r="B92" s="2" t="inlineStr">
        <is>
          <t>Vintage</t>
        </is>
      </c>
      <c r="C92" s="2" t="inlineStr">
        <is>
          <t>GP-CB-7C-V-2G</t>
        </is>
      </c>
      <c r="D92" s="118" t="n">
        <v>790</v>
      </c>
      <c r="F92" s="2" t="n">
        <v>60</v>
      </c>
      <c r="G92" s="74" t="n">
        <v>741810</v>
      </c>
      <c r="H92" s="255" t="n">
        <v>0.05</v>
      </c>
      <c r="I92" s="2">
        <f>D92*H92</f>
        <v/>
      </c>
      <c r="K92" s="2" t="n">
        <v>40</v>
      </c>
      <c r="L92" s="4">
        <f>K92+J92+I92+F92+E92+D92</f>
        <v/>
      </c>
      <c r="M92" s="2">
        <f>D92*1%</f>
        <v/>
      </c>
      <c r="N92" s="12">
        <f>L92*8%</f>
        <v/>
      </c>
      <c r="O92" s="12">
        <f>L92*10%</f>
        <v/>
      </c>
      <c r="P92" s="12">
        <f>L92*5%</f>
        <v/>
      </c>
      <c r="Q92" s="12">
        <f>L92*2%</f>
        <v/>
      </c>
      <c r="R92" s="12">
        <f>AC92*0.5%</f>
        <v/>
      </c>
      <c r="S92" s="12">
        <f>L92*1%</f>
        <v/>
      </c>
      <c r="T92" s="60">
        <f>S92+Q92+P92+O92+N92+M92</f>
        <v/>
      </c>
      <c r="U92" s="2">
        <f>AC92*1%</f>
        <v/>
      </c>
      <c r="V92" s="44">
        <f>AC92*5%</f>
        <v/>
      </c>
      <c r="W92" s="2">
        <f>AC92*1%</f>
        <v/>
      </c>
      <c r="X92" s="2">
        <f>AC92*8%</f>
        <v/>
      </c>
      <c r="Y92" s="2">
        <f>U92+V92+W92+X92</f>
        <v/>
      </c>
      <c r="Z92" s="60">
        <f>Y92+T92+L92</f>
        <v/>
      </c>
      <c r="AA92" s="11">
        <f>Z92*20%</f>
        <v/>
      </c>
      <c r="AB92" s="12">
        <f>Z92+AA92</f>
        <v/>
      </c>
      <c r="AC92" s="2">
        <f>D92*2.1</f>
        <v/>
      </c>
      <c r="AD92" s="12">
        <f>AB92-AC92</f>
        <v/>
      </c>
      <c r="AE92" s="12">
        <f>AD92/AB92*100</f>
        <v/>
      </c>
      <c r="AF92" s="92" t="n">
        <v>1750</v>
      </c>
      <c r="AG92" s="62">
        <f>((AF92-L92)/L92)*100</f>
        <v/>
      </c>
      <c r="AH92" s="106">
        <f>AJ92-AF92</f>
        <v/>
      </c>
      <c r="AI92" s="65" t="n">
        <v>1890</v>
      </c>
      <c r="AJ92" s="65" t="n">
        <v>1745</v>
      </c>
      <c r="AK92" s="66">
        <f>(AJ92-L92)/L92*100</f>
        <v/>
      </c>
      <c r="AL92" s="66" t="n"/>
      <c r="AM92" s="14">
        <f>AH92/AJ92%</f>
        <v/>
      </c>
      <c r="AN92" s="67">
        <f>AK92-AG92</f>
        <v/>
      </c>
      <c r="AO92" s="68">
        <f>AJ92/L92</f>
        <v/>
      </c>
      <c r="AP92" s="69">
        <f>(AJ92-AB92)/100</f>
        <v/>
      </c>
      <c r="AQ92" s="70">
        <f>(AJ92-AC92)/100</f>
        <v/>
      </c>
      <c r="AR92" s="71">
        <f>AI92/94</f>
        <v/>
      </c>
      <c r="AS92" s="71">
        <f>AJ92/94</f>
        <v/>
      </c>
      <c r="AT92" s="72">
        <f>AI92/24</f>
        <v/>
      </c>
      <c r="AU92" s="72">
        <f>AJ92/24</f>
        <v/>
      </c>
      <c r="AV92" s="73">
        <f>AI92/125</f>
        <v/>
      </c>
      <c r="AW92" s="73">
        <f>AJ92/125</f>
        <v/>
      </c>
    </row>
    <row r="93" ht="15" customHeight="1" s="258">
      <c r="A93" s="96" t="inlineStr">
        <is>
          <t>7 Chakras Mystical Incense Sticks Set</t>
        </is>
      </c>
      <c r="B93" s="96" t="inlineStr">
        <is>
          <t>7 Chakra Set</t>
        </is>
      </c>
      <c r="C93" s="96" t="inlineStr">
        <is>
          <t>IS-7C</t>
        </is>
      </c>
      <c r="D93" s="94" t="n">
        <v>380</v>
      </c>
      <c r="E93" s="107" t="n"/>
      <c r="F93" s="96" t="n">
        <v>30</v>
      </c>
      <c r="G93" s="94" t="n">
        <v>33074100</v>
      </c>
      <c r="H93" s="97" t="n">
        <v>0.05</v>
      </c>
      <c r="I93" s="96">
        <f>D93*H93</f>
        <v/>
      </c>
      <c r="J93" s="107" t="n"/>
      <c r="K93" s="96" t="n">
        <v>20</v>
      </c>
      <c r="L93" s="98">
        <f>K93+J93+I93+F93+E93+D93</f>
        <v/>
      </c>
      <c r="M93" s="96">
        <f>D93*1%</f>
        <v/>
      </c>
      <c r="N93" s="99">
        <f>L93*8%</f>
        <v/>
      </c>
      <c r="O93" s="99">
        <f>L93*10%</f>
        <v/>
      </c>
      <c r="P93" s="99">
        <f>L93*5%</f>
        <v/>
      </c>
      <c r="Q93" s="99">
        <f>L93*2%</f>
        <v/>
      </c>
      <c r="R93" s="99">
        <f>AC93*0.5%</f>
        <v/>
      </c>
      <c r="S93" s="99">
        <f>L93*1%</f>
        <v/>
      </c>
      <c r="T93" s="100">
        <f>S93+Q93+P93+O93+N93+M93</f>
        <v/>
      </c>
      <c r="U93" s="96">
        <f>AC93*1%</f>
        <v/>
      </c>
      <c r="V93" s="44">
        <f>AC93*5%</f>
        <v/>
      </c>
      <c r="W93" s="96">
        <f>AC93*1%</f>
        <v/>
      </c>
      <c r="X93" s="96">
        <f>AC93*8%</f>
        <v/>
      </c>
      <c r="Y93" s="96">
        <f>U93+V93+W93+X93</f>
        <v/>
      </c>
      <c r="Z93" s="100">
        <f>Y93+T93+L93</f>
        <v/>
      </c>
      <c r="AA93" s="101">
        <f>Z93*20%</f>
        <v/>
      </c>
      <c r="AB93" s="99">
        <f>Z93+AA93</f>
        <v/>
      </c>
      <c r="AC93" s="96">
        <f>D93*2.1</f>
        <v/>
      </c>
      <c r="AD93" s="99">
        <f>AB93-AC93</f>
        <v/>
      </c>
      <c r="AE93" s="99">
        <f>AD93/AB93*100</f>
        <v/>
      </c>
      <c r="AF93" s="107" t="n">
        <v>480</v>
      </c>
      <c r="AG93" s="102">
        <f>((AF93-L93)/L93)*100</f>
        <v/>
      </c>
      <c r="AH93" s="106">
        <f>AJ93-AF93</f>
        <v/>
      </c>
      <c r="AI93" s="106" t="n">
        <v>590</v>
      </c>
      <c r="AJ93" s="106" t="n">
        <v>490</v>
      </c>
      <c r="AK93" s="14">
        <f>(AJ93-L93)/L93*100</f>
        <v/>
      </c>
      <c r="AL93" s="14" t="n"/>
      <c r="AM93" s="14">
        <f>(AH93/AJ93)*100</f>
        <v/>
      </c>
      <c r="AN93" s="14">
        <f>AK93-AG93</f>
        <v/>
      </c>
      <c r="AO93" s="103">
        <f>AJ93/L93</f>
        <v/>
      </c>
      <c r="AP93" s="14">
        <f>(AJ93-AB93)/100</f>
        <v/>
      </c>
      <c r="AQ93" s="14">
        <f>(AJ93-AC93)/100</f>
        <v/>
      </c>
      <c r="AR93" s="104">
        <f>AI93/94</f>
        <v/>
      </c>
      <c r="AS93" s="104">
        <f>AJ93/94</f>
        <v/>
      </c>
      <c r="AT93" s="105">
        <f>AI93/24</f>
        <v/>
      </c>
      <c r="AU93" s="105">
        <f>AJ93/24</f>
        <v/>
      </c>
      <c r="AV93" s="105">
        <f>AI93/125</f>
        <v/>
      </c>
      <c r="AW93" s="105">
        <f>AJ93/125</f>
        <v/>
      </c>
      <c r="AX93" s="107" t="n"/>
      <c r="AY93" s="107" t="n"/>
    </row>
    <row r="94" ht="15.75" customHeight="1" s="258">
      <c r="A94" s="96" t="n"/>
      <c r="B94" s="96" t="inlineStr">
        <is>
          <t>7 Chakra Set with Stand</t>
        </is>
      </c>
      <c r="C94" s="96" t="inlineStr">
        <is>
          <t>IS-7C-S</t>
        </is>
      </c>
      <c r="D94" s="94" t="n">
        <v>440</v>
      </c>
      <c r="E94" s="107" t="n"/>
      <c r="F94" s="96" t="n">
        <v>30</v>
      </c>
      <c r="G94" s="94" t="n">
        <v>33074100</v>
      </c>
      <c r="H94" s="97" t="n">
        <v>0.05</v>
      </c>
      <c r="I94" s="96">
        <f>D94*H94</f>
        <v/>
      </c>
      <c r="J94" s="107" t="n"/>
      <c r="K94" s="96" t="n">
        <v>20</v>
      </c>
      <c r="L94" s="98">
        <f>K94+J94+I94+F94+E94+D94</f>
        <v/>
      </c>
      <c r="M94" s="96">
        <f>D94*1%</f>
        <v/>
      </c>
      <c r="N94" s="99">
        <f>L94*8%</f>
        <v/>
      </c>
      <c r="O94" s="99">
        <f>L94*10%</f>
        <v/>
      </c>
      <c r="P94" s="99">
        <f>L94*5%</f>
        <v/>
      </c>
      <c r="Q94" s="99">
        <f>L94*2%</f>
        <v/>
      </c>
      <c r="R94" s="99">
        <f>AC94*0.5%</f>
        <v/>
      </c>
      <c r="S94" s="99">
        <f>L94*1%</f>
        <v/>
      </c>
      <c r="T94" s="100">
        <f>S94+Q94+P94+O94+N94+M94</f>
        <v/>
      </c>
      <c r="U94" s="96">
        <f>AC94*1%</f>
        <v/>
      </c>
      <c r="V94" s="44">
        <f>AC94*5%</f>
        <v/>
      </c>
      <c r="W94" s="96">
        <f>AC94*1%</f>
        <v/>
      </c>
      <c r="X94" s="96">
        <f>AC94*8%</f>
        <v/>
      </c>
      <c r="Y94" s="96">
        <f>U94+V94+W94+X94</f>
        <v/>
      </c>
      <c r="Z94" s="100">
        <f>Y94+T94+L94</f>
        <v/>
      </c>
      <c r="AA94" s="101">
        <f>Z94*20%</f>
        <v/>
      </c>
      <c r="AB94" s="99">
        <f>Z94+AA94</f>
        <v/>
      </c>
      <c r="AC94" s="96">
        <f>D94*2.1</f>
        <v/>
      </c>
      <c r="AD94" s="99">
        <f>AB94-AC94</f>
        <v/>
      </c>
      <c r="AE94" s="99">
        <f>AD94/AB94*100</f>
        <v/>
      </c>
      <c r="AF94" s="107" t="n">
        <v>565</v>
      </c>
      <c r="AG94" s="102">
        <f>((AF94-L94)/L94)*100</f>
        <v/>
      </c>
      <c r="AH94" s="106">
        <f>AJ94-AF94</f>
        <v/>
      </c>
      <c r="AI94" s="106" t="n">
        <v>690</v>
      </c>
      <c r="AJ94" s="106" t="n">
        <v>565</v>
      </c>
      <c r="AK94" s="14">
        <f>(AJ94-L94)/L94*100</f>
        <v/>
      </c>
      <c r="AL94" s="14" t="n"/>
      <c r="AM94" s="14">
        <f>(AH94/AJ94)*100</f>
        <v/>
      </c>
      <c r="AN94" s="14">
        <f>AK94-AG94</f>
        <v/>
      </c>
      <c r="AO94" s="103">
        <f>AJ94/L94</f>
        <v/>
      </c>
      <c r="AP94" s="14">
        <f>(AJ94-AB94)/100</f>
        <v/>
      </c>
      <c r="AQ94" s="14">
        <f>(AJ94-AC94)/100</f>
        <v/>
      </c>
      <c r="AR94" s="104">
        <f>AI94/94</f>
        <v/>
      </c>
      <c r="AS94" s="104">
        <f>AJ94/94</f>
        <v/>
      </c>
      <c r="AT94" s="105">
        <f>AI94/24</f>
        <v/>
      </c>
      <c r="AU94" s="105">
        <f>AJ94/24</f>
        <v/>
      </c>
      <c r="AV94" s="105">
        <f>AI94/125</f>
        <v/>
      </c>
      <c r="AW94" s="105">
        <f>AJ94/125</f>
        <v/>
      </c>
      <c r="AX94" s="107" t="n"/>
      <c r="AY94" s="107" t="n"/>
    </row>
    <row r="95" ht="15.75" customHeight="1" s="258">
      <c r="A95" s="96" t="n"/>
      <c r="B95" s="96" t="inlineStr">
        <is>
          <t>Pure Citronella</t>
        </is>
      </c>
      <c r="C95" s="96" t="inlineStr">
        <is>
          <t>IS-C-12</t>
        </is>
      </c>
      <c r="D95" s="94" t="n">
        <v>50</v>
      </c>
      <c r="E95" s="107" t="n"/>
      <c r="F95" s="96" t="n">
        <v>30</v>
      </c>
      <c r="G95" s="94" t="n">
        <v>33074100</v>
      </c>
      <c r="H95" s="97" t="n">
        <v>0.05</v>
      </c>
      <c r="I95" s="96">
        <f>D95*H95</f>
        <v/>
      </c>
      <c r="J95" s="107" t="n"/>
      <c r="K95" s="96">
        <f>D95*4%</f>
        <v/>
      </c>
      <c r="L95" s="98">
        <f>K95+J95+I95+F95+E95+D95</f>
        <v/>
      </c>
      <c r="M95" s="96">
        <f>D95*1%</f>
        <v/>
      </c>
      <c r="N95" s="99">
        <f>L95*8%</f>
        <v/>
      </c>
      <c r="O95" s="99">
        <f>L95*10%</f>
        <v/>
      </c>
      <c r="P95" s="99">
        <f>L95*5%</f>
        <v/>
      </c>
      <c r="Q95" s="99">
        <f>L95*2%</f>
        <v/>
      </c>
      <c r="R95" s="99">
        <f>AC95*0.5%</f>
        <v/>
      </c>
      <c r="S95" s="99">
        <f>L95*1%</f>
        <v/>
      </c>
      <c r="T95" s="100">
        <f>S95+Q95+P95+O95+N95+M95</f>
        <v/>
      </c>
      <c r="U95" s="96">
        <f>AC95*1%</f>
        <v/>
      </c>
      <c r="V95" s="44">
        <f>AC95*5%</f>
        <v/>
      </c>
      <c r="W95" s="96">
        <f>AC95*1%</f>
        <v/>
      </c>
      <c r="X95" s="96">
        <f>AC95*8%</f>
        <v/>
      </c>
      <c r="Y95" s="96">
        <f>U95+V95+W95+X95</f>
        <v/>
      </c>
      <c r="Z95" s="100">
        <f>Y95+T95+L95</f>
        <v/>
      </c>
      <c r="AA95" s="101">
        <f>Z95*20%</f>
        <v/>
      </c>
      <c r="AB95" s="99">
        <f>Z95+AA95</f>
        <v/>
      </c>
      <c r="AC95" s="96">
        <f>D95*2.1</f>
        <v/>
      </c>
      <c r="AD95" s="99">
        <f>AB95-AC95</f>
        <v/>
      </c>
      <c r="AE95" s="99">
        <f>AD95/AB95*100</f>
        <v/>
      </c>
      <c r="AF95" s="107" t="n">
        <v>80</v>
      </c>
      <c r="AG95" s="102">
        <f>((AF95-L95)/L95)*100</f>
        <v/>
      </c>
      <c r="AH95" s="106">
        <f>AJ95-AF95</f>
        <v/>
      </c>
      <c r="AI95" s="106" t="n">
        <v>99</v>
      </c>
      <c r="AJ95" s="106" t="n">
        <v>89</v>
      </c>
      <c r="AK95" s="14">
        <f>(AJ95-L95)/L95*100</f>
        <v/>
      </c>
      <c r="AL95" s="14" t="n"/>
      <c r="AM95" s="14">
        <f>(AH95/AJ95)*100</f>
        <v/>
      </c>
      <c r="AN95" s="14">
        <f>AK95-AG95</f>
        <v/>
      </c>
      <c r="AO95" s="103">
        <f>AJ95/L95</f>
        <v/>
      </c>
      <c r="AP95" s="14">
        <f>(AJ95-AB95)/100</f>
        <v/>
      </c>
      <c r="AQ95" s="14">
        <f>(AJ95-AC95)/100</f>
        <v/>
      </c>
      <c r="AR95" s="104">
        <f>AI95/94</f>
        <v/>
      </c>
      <c r="AS95" s="104">
        <f>AJ95/94</f>
        <v/>
      </c>
      <c r="AT95" s="105">
        <f>AI95/24</f>
        <v/>
      </c>
      <c r="AU95" s="105">
        <f>AJ95/24</f>
        <v/>
      </c>
      <c r="AV95" s="105">
        <f>AI95/125</f>
        <v/>
      </c>
      <c r="AW95" s="105">
        <f>AJ95/125</f>
        <v/>
      </c>
      <c r="AX95" s="107" t="n"/>
      <c r="AY95" s="107" t="n"/>
    </row>
    <row r="96" ht="15.75" customHeight="1" s="258">
      <c r="A96" s="96" t="n"/>
      <c r="B96" s="96" t="inlineStr">
        <is>
          <t>Pure Eucalyptus</t>
        </is>
      </c>
      <c r="C96" s="96" t="inlineStr">
        <is>
          <t>IS-E-12</t>
        </is>
      </c>
      <c r="D96" s="94" t="n">
        <v>50</v>
      </c>
      <c r="E96" s="107" t="n"/>
      <c r="F96" s="96" t="n">
        <v>30</v>
      </c>
      <c r="G96" s="94" t="n">
        <v>33074100</v>
      </c>
      <c r="H96" s="97" t="n">
        <v>0.05</v>
      </c>
      <c r="I96" s="96">
        <f>D96*H96</f>
        <v/>
      </c>
      <c r="J96" s="107" t="n"/>
      <c r="K96" s="96">
        <f>D96*4%</f>
        <v/>
      </c>
      <c r="L96" s="98">
        <f>K96+J96+I96+F96+E96+D96</f>
        <v/>
      </c>
      <c r="M96" s="96">
        <f>D96*1%</f>
        <v/>
      </c>
      <c r="N96" s="99">
        <f>L96*8%</f>
        <v/>
      </c>
      <c r="O96" s="99">
        <f>L96*10%</f>
        <v/>
      </c>
      <c r="P96" s="99">
        <f>L96*5%</f>
        <v/>
      </c>
      <c r="Q96" s="99">
        <f>L96*2%</f>
        <v/>
      </c>
      <c r="R96" s="99">
        <f>AC96*0.5%</f>
        <v/>
      </c>
      <c r="S96" s="99">
        <f>L96*1%</f>
        <v/>
      </c>
      <c r="T96" s="100">
        <f>S96+Q96+P96+O96+N96+M96</f>
        <v/>
      </c>
      <c r="U96" s="96">
        <f>AC96*1%</f>
        <v/>
      </c>
      <c r="V96" s="44">
        <f>AC96*5%</f>
        <v/>
      </c>
      <c r="W96" s="96">
        <f>AC96*1%</f>
        <v/>
      </c>
      <c r="X96" s="96">
        <f>AC96*8%</f>
        <v/>
      </c>
      <c r="Y96" s="96">
        <f>U96+V96+W96+X96</f>
        <v/>
      </c>
      <c r="Z96" s="100">
        <f>Y96+T96+L96</f>
        <v/>
      </c>
      <c r="AA96" s="101">
        <f>Z96*20%</f>
        <v/>
      </c>
      <c r="AB96" s="99">
        <f>Z96+AA96</f>
        <v/>
      </c>
      <c r="AC96" s="96">
        <f>D96*2.1</f>
        <v/>
      </c>
      <c r="AD96" s="99">
        <f>AB96-AC96</f>
        <v/>
      </c>
      <c r="AE96" s="99">
        <f>AD96/AB96*100</f>
        <v/>
      </c>
      <c r="AF96" s="107" t="n">
        <v>80</v>
      </c>
      <c r="AG96" s="102">
        <f>((AF96-L96)/L96)*100</f>
        <v/>
      </c>
      <c r="AH96" s="106">
        <f>AJ96-AF96</f>
        <v/>
      </c>
      <c r="AI96" s="106" t="n">
        <v>99</v>
      </c>
      <c r="AJ96" s="106" t="n">
        <v>89</v>
      </c>
      <c r="AK96" s="14">
        <f>(AJ96-L96)/L96*100</f>
        <v/>
      </c>
      <c r="AL96" s="14" t="n"/>
      <c r="AM96" s="14">
        <f>(AH96/AJ96)*100</f>
        <v/>
      </c>
      <c r="AN96" s="14">
        <f>AK96-AG96</f>
        <v/>
      </c>
      <c r="AO96" s="103">
        <f>AJ96/L96</f>
        <v/>
      </c>
      <c r="AP96" s="14">
        <f>(AJ96-AB96)/100</f>
        <v/>
      </c>
      <c r="AQ96" s="14">
        <f>(AJ96-AC96)/100</f>
        <v/>
      </c>
      <c r="AR96" s="104">
        <f>AI96/94</f>
        <v/>
      </c>
      <c r="AS96" s="104">
        <f>AJ96/94</f>
        <v/>
      </c>
      <c r="AT96" s="105">
        <f>AI96/24</f>
        <v/>
      </c>
      <c r="AU96" s="105">
        <f>AJ96/24</f>
        <v/>
      </c>
      <c r="AV96" s="105">
        <f>AI96/125</f>
        <v/>
      </c>
      <c r="AW96" s="105">
        <f>AJ96/125</f>
        <v/>
      </c>
      <c r="AX96" s="107" t="n"/>
      <c r="AY96" s="107" t="n"/>
    </row>
    <row r="97" ht="15.75" customHeight="1" s="258">
      <c r="A97" s="96" t="n"/>
      <c r="B97" s="96" t="inlineStr">
        <is>
          <t>Pure Frankincense</t>
        </is>
      </c>
      <c r="C97" s="96" t="inlineStr">
        <is>
          <t>IS-F-12</t>
        </is>
      </c>
      <c r="D97" s="94" t="n">
        <v>50</v>
      </c>
      <c r="E97" s="107" t="n"/>
      <c r="F97" s="96" t="n">
        <v>30</v>
      </c>
      <c r="G97" s="94" t="n">
        <v>33074100</v>
      </c>
      <c r="H97" s="97" t="n">
        <v>0.05</v>
      </c>
      <c r="I97" s="96">
        <f>D97*H97</f>
        <v/>
      </c>
      <c r="J97" s="107" t="n"/>
      <c r="K97" s="96">
        <f>D97*4%</f>
        <v/>
      </c>
      <c r="L97" s="98">
        <f>K97+J97+I97+F97+E97+D97</f>
        <v/>
      </c>
      <c r="M97" s="96">
        <f>D97*1%</f>
        <v/>
      </c>
      <c r="N97" s="99">
        <f>L97*8%</f>
        <v/>
      </c>
      <c r="O97" s="99">
        <f>L97*10%</f>
        <v/>
      </c>
      <c r="P97" s="99">
        <f>L97*5%</f>
        <v/>
      </c>
      <c r="Q97" s="99">
        <f>L97*2%</f>
        <v/>
      </c>
      <c r="R97" s="99">
        <f>AC97*0.5%</f>
        <v/>
      </c>
      <c r="S97" s="99">
        <f>L97*1%</f>
        <v/>
      </c>
      <c r="T97" s="100">
        <f>S97+Q97+P97+O97+N97+M97</f>
        <v/>
      </c>
      <c r="U97" s="96">
        <f>AC97*1%</f>
        <v/>
      </c>
      <c r="V97" s="44">
        <f>AC97*5%</f>
        <v/>
      </c>
      <c r="W97" s="96">
        <f>AC97*1%</f>
        <v/>
      </c>
      <c r="X97" s="96">
        <f>AC97*8%</f>
        <v/>
      </c>
      <c r="Y97" s="96">
        <f>U97+V97+W97+X97</f>
        <v/>
      </c>
      <c r="Z97" s="100">
        <f>Y97+T97+L97</f>
        <v/>
      </c>
      <c r="AA97" s="101">
        <f>Z97*20%</f>
        <v/>
      </c>
      <c r="AB97" s="99">
        <f>Z97+AA97</f>
        <v/>
      </c>
      <c r="AC97" s="96">
        <f>D97*2.1</f>
        <v/>
      </c>
      <c r="AD97" s="99">
        <f>AB97-AC97</f>
        <v/>
      </c>
      <c r="AE97" s="99">
        <f>AD97/AB97*100</f>
        <v/>
      </c>
      <c r="AF97" s="107" t="n">
        <v>80</v>
      </c>
      <c r="AG97" s="102">
        <f>((AF97-L97)/L97)*100</f>
        <v/>
      </c>
      <c r="AH97" s="106">
        <f>AJ97-AF97</f>
        <v/>
      </c>
      <c r="AI97" s="106" t="n">
        <v>99</v>
      </c>
      <c r="AJ97" s="106" t="n">
        <v>89</v>
      </c>
      <c r="AK97" s="14">
        <f>(AJ97-L97)/L97*100</f>
        <v/>
      </c>
      <c r="AL97" s="14" t="n"/>
      <c r="AM97" s="14">
        <f>(AH97/AJ97)*100</f>
        <v/>
      </c>
      <c r="AN97" s="14">
        <f>AK97-AG97</f>
        <v/>
      </c>
      <c r="AO97" s="103">
        <f>AJ97/L97</f>
        <v/>
      </c>
      <c r="AP97" s="14">
        <f>(AJ97-AB97)/100</f>
        <v/>
      </c>
      <c r="AQ97" s="14">
        <f>(AJ97-AC97)/100</f>
        <v/>
      </c>
      <c r="AR97" s="104">
        <f>AI97/94</f>
        <v/>
      </c>
      <c r="AS97" s="104">
        <f>AJ97/94</f>
        <v/>
      </c>
      <c r="AT97" s="105">
        <f>AI97/24</f>
        <v/>
      </c>
      <c r="AU97" s="105">
        <f>AJ97/24</f>
        <v/>
      </c>
      <c r="AV97" s="105">
        <f>AI97/125</f>
        <v/>
      </c>
      <c r="AW97" s="105">
        <f>AJ97/125</f>
        <v/>
      </c>
      <c r="AX97" s="107" t="n"/>
      <c r="AY97" s="107" t="n"/>
    </row>
    <row r="98" ht="15.75" customHeight="1" s="258">
      <c r="A98" s="96" t="n"/>
      <c r="B98" s="96" t="inlineStr">
        <is>
          <t>Pure Lavender</t>
        </is>
      </c>
      <c r="C98" s="96" t="inlineStr">
        <is>
          <t>IS-L-12</t>
        </is>
      </c>
      <c r="D98" s="94" t="n">
        <v>50</v>
      </c>
      <c r="E98" s="107" t="n"/>
      <c r="F98" s="96" t="n">
        <v>30</v>
      </c>
      <c r="G98" s="94" t="n">
        <v>33074100</v>
      </c>
      <c r="H98" s="97" t="n">
        <v>0.05</v>
      </c>
      <c r="I98" s="96">
        <f>D98*H98</f>
        <v/>
      </c>
      <c r="J98" s="107" t="n"/>
      <c r="K98" s="96">
        <f>D98*4%</f>
        <v/>
      </c>
      <c r="L98" s="98">
        <f>K98+J98+I98+F98+E98+D98</f>
        <v/>
      </c>
      <c r="M98" s="96">
        <f>D98*1%</f>
        <v/>
      </c>
      <c r="N98" s="99">
        <f>L98*8%</f>
        <v/>
      </c>
      <c r="O98" s="99">
        <f>L98*10%</f>
        <v/>
      </c>
      <c r="P98" s="99">
        <f>L98*5%</f>
        <v/>
      </c>
      <c r="Q98" s="99">
        <f>L98*2%</f>
        <v/>
      </c>
      <c r="R98" s="99">
        <f>AC98*0.5%</f>
        <v/>
      </c>
      <c r="S98" s="99">
        <f>L98*1%</f>
        <v/>
      </c>
      <c r="T98" s="100">
        <f>S98+Q98+P98+O98+N98+M98</f>
        <v/>
      </c>
      <c r="U98" s="96">
        <f>AC98*1%</f>
        <v/>
      </c>
      <c r="V98" s="44">
        <f>AC98*5%</f>
        <v/>
      </c>
      <c r="W98" s="96">
        <f>AC98*1%</f>
        <v/>
      </c>
      <c r="X98" s="96">
        <f>AC98*8%</f>
        <v/>
      </c>
      <c r="Y98" s="96">
        <f>U98+V98+W98+X98</f>
        <v/>
      </c>
      <c r="Z98" s="100">
        <f>Y98+T98+L98</f>
        <v/>
      </c>
      <c r="AA98" s="101">
        <f>Z98*20%</f>
        <v/>
      </c>
      <c r="AB98" s="99">
        <f>Z98+AA98</f>
        <v/>
      </c>
      <c r="AC98" s="96">
        <f>D98*2.1</f>
        <v/>
      </c>
      <c r="AD98" s="99">
        <f>AB98-AC98</f>
        <v/>
      </c>
      <c r="AE98" s="99">
        <f>AD98/AB98*100</f>
        <v/>
      </c>
      <c r="AF98" s="107" t="n">
        <v>80</v>
      </c>
      <c r="AG98" s="102">
        <f>((AF98-L98)/L98)*100</f>
        <v/>
      </c>
      <c r="AH98" s="106">
        <f>AJ98-AF98</f>
        <v/>
      </c>
      <c r="AI98" s="106" t="n">
        <v>99</v>
      </c>
      <c r="AJ98" s="106" t="n">
        <v>89</v>
      </c>
      <c r="AK98" s="14">
        <f>(AJ98-L98)/L98*100</f>
        <v/>
      </c>
      <c r="AL98" s="14" t="n"/>
      <c r="AM98" s="14">
        <f>(AH98/AJ98)*100</f>
        <v/>
      </c>
      <c r="AN98" s="14">
        <f>AK98-AG98</f>
        <v/>
      </c>
      <c r="AO98" s="103">
        <f>AJ98/L98</f>
        <v/>
      </c>
      <c r="AP98" s="14">
        <f>(AJ98-AB98)/100</f>
        <v/>
      </c>
      <c r="AQ98" s="14">
        <f>(AJ98-AC98)/100</f>
        <v/>
      </c>
      <c r="AR98" s="104">
        <f>AI98/94</f>
        <v/>
      </c>
      <c r="AS98" s="104">
        <f>AJ98/94</f>
        <v/>
      </c>
      <c r="AT98" s="105">
        <f>AI98/24</f>
        <v/>
      </c>
      <c r="AU98" s="105">
        <f>AJ98/24</f>
        <v/>
      </c>
      <c r="AV98" s="105">
        <f>AI98/125</f>
        <v/>
      </c>
      <c r="AW98" s="105">
        <f>AJ98/125</f>
        <v/>
      </c>
      <c r="AX98" s="107" t="n"/>
      <c r="AY98" s="107" t="n"/>
    </row>
    <row r="99" ht="15.75" customHeight="1" s="258">
      <c r="A99" s="96" t="n"/>
      <c r="B99" s="96" t="inlineStr">
        <is>
          <t>Pure Musk</t>
        </is>
      </c>
      <c r="C99" s="96" t="inlineStr">
        <is>
          <t>IS-M-12</t>
        </is>
      </c>
      <c r="D99" s="94" t="n">
        <v>50</v>
      </c>
      <c r="E99" s="107" t="n"/>
      <c r="F99" s="96" t="n">
        <v>30</v>
      </c>
      <c r="G99" s="94" t="n">
        <v>33074100</v>
      </c>
      <c r="H99" s="97" t="n">
        <v>0.05</v>
      </c>
      <c r="I99" s="96">
        <f>D99*H99</f>
        <v/>
      </c>
      <c r="J99" s="107" t="n"/>
      <c r="K99" s="96">
        <f>D99*4%</f>
        <v/>
      </c>
      <c r="L99" s="98">
        <f>K99+J99+I99+F99+E99+D99</f>
        <v/>
      </c>
      <c r="M99" s="96">
        <f>D99*1%</f>
        <v/>
      </c>
      <c r="N99" s="99">
        <f>L99*8%</f>
        <v/>
      </c>
      <c r="O99" s="99">
        <f>L99*10%</f>
        <v/>
      </c>
      <c r="P99" s="99">
        <f>L99*5%</f>
        <v/>
      </c>
      <c r="Q99" s="99">
        <f>L99*2%</f>
        <v/>
      </c>
      <c r="R99" s="99">
        <f>AC99*0.5%</f>
        <v/>
      </c>
      <c r="S99" s="99">
        <f>L99*1%</f>
        <v/>
      </c>
      <c r="T99" s="100">
        <f>S99+Q99+P99+O99+N99+M99</f>
        <v/>
      </c>
      <c r="U99" s="96">
        <f>AC99*1%</f>
        <v/>
      </c>
      <c r="V99" s="44">
        <f>AC99*5%</f>
        <v/>
      </c>
      <c r="W99" s="96">
        <f>AC99*1%</f>
        <v/>
      </c>
      <c r="X99" s="96">
        <f>AC99*8%</f>
        <v/>
      </c>
      <c r="Y99" s="96">
        <f>U99+V99+W99+X99</f>
        <v/>
      </c>
      <c r="Z99" s="100">
        <f>Y99+T99+L99</f>
        <v/>
      </c>
      <c r="AA99" s="101">
        <f>Z99*20%</f>
        <v/>
      </c>
      <c r="AB99" s="99">
        <f>Z99+AA99</f>
        <v/>
      </c>
      <c r="AC99" s="96">
        <f>D99*2.1</f>
        <v/>
      </c>
      <c r="AD99" s="99">
        <f>AB99-AC99</f>
        <v/>
      </c>
      <c r="AE99" s="99">
        <f>AD99/AB99*100</f>
        <v/>
      </c>
      <c r="AF99" s="107" t="n">
        <v>80</v>
      </c>
      <c r="AG99" s="102">
        <f>((AF99-L99)/L99)*100</f>
        <v/>
      </c>
      <c r="AH99" s="106">
        <f>AJ99-AF99</f>
        <v/>
      </c>
      <c r="AI99" s="106" t="n">
        <v>99</v>
      </c>
      <c r="AJ99" s="106" t="n">
        <v>89</v>
      </c>
      <c r="AK99" s="14">
        <f>(AJ99-L99)/L99*100</f>
        <v/>
      </c>
      <c r="AL99" s="14" t="n"/>
      <c r="AM99" s="14">
        <f>(AH99/AJ99)*100</f>
        <v/>
      </c>
      <c r="AN99" s="14">
        <f>AK99-AG99</f>
        <v/>
      </c>
      <c r="AO99" s="103">
        <f>AJ99/L99</f>
        <v/>
      </c>
      <c r="AP99" s="14">
        <f>(AJ99-AB99)/100</f>
        <v/>
      </c>
      <c r="AQ99" s="14">
        <f>(AJ99-AC99)/100</f>
        <v/>
      </c>
      <c r="AR99" s="104">
        <f>AI99/94</f>
        <v/>
      </c>
      <c r="AS99" s="104">
        <f>AJ99/94</f>
        <v/>
      </c>
      <c r="AT99" s="105">
        <f>AI99/24</f>
        <v/>
      </c>
      <c r="AU99" s="105">
        <f>AJ99/24</f>
        <v/>
      </c>
      <c r="AV99" s="105">
        <f>AI99/125</f>
        <v/>
      </c>
      <c r="AW99" s="105">
        <f>AJ99/125</f>
        <v/>
      </c>
      <c r="AX99" s="107" t="n"/>
      <c r="AY99" s="107" t="n"/>
    </row>
    <row r="100" ht="15.75" customHeight="1" s="258">
      <c r="A100" s="96" t="n"/>
      <c r="B100" s="96" t="inlineStr">
        <is>
          <t>Pure Rose</t>
        </is>
      </c>
      <c r="C100" s="96" t="inlineStr">
        <is>
          <t>IS-R-12</t>
        </is>
      </c>
      <c r="D100" s="94" t="n">
        <v>50</v>
      </c>
      <c r="E100" s="107" t="n"/>
      <c r="F100" s="96" t="n">
        <v>30</v>
      </c>
      <c r="G100" s="94" t="n">
        <v>33074100</v>
      </c>
      <c r="H100" s="97" t="n">
        <v>0.05</v>
      </c>
      <c r="I100" s="96">
        <f>D100*H100</f>
        <v/>
      </c>
      <c r="J100" s="107" t="n"/>
      <c r="K100" s="96">
        <f>D100*4%</f>
        <v/>
      </c>
      <c r="L100" s="98">
        <f>K100+J100+I100+F100+E100+D100</f>
        <v/>
      </c>
      <c r="M100" s="96">
        <f>D100*1%</f>
        <v/>
      </c>
      <c r="N100" s="99">
        <f>L100*8%</f>
        <v/>
      </c>
      <c r="O100" s="99">
        <f>L100*10%</f>
        <v/>
      </c>
      <c r="P100" s="99">
        <f>L100*5%</f>
        <v/>
      </c>
      <c r="Q100" s="99">
        <f>L100*2%</f>
        <v/>
      </c>
      <c r="R100" s="99">
        <f>AC100*0.5%</f>
        <v/>
      </c>
      <c r="S100" s="99">
        <f>L100*1%</f>
        <v/>
      </c>
      <c r="T100" s="100">
        <f>S100+Q100+P100+O100+N100+M100</f>
        <v/>
      </c>
      <c r="U100" s="96">
        <f>AC100*1%</f>
        <v/>
      </c>
      <c r="V100" s="44">
        <f>AC100*5%</f>
        <v/>
      </c>
      <c r="W100" s="96">
        <f>AC100*1%</f>
        <v/>
      </c>
      <c r="X100" s="96">
        <f>AC100*8%</f>
        <v/>
      </c>
      <c r="Y100" s="96">
        <f>U100+V100+W100+X100</f>
        <v/>
      </c>
      <c r="Z100" s="100">
        <f>Y100+T100+L100</f>
        <v/>
      </c>
      <c r="AA100" s="101">
        <f>Z100*20%</f>
        <v/>
      </c>
      <c r="AB100" s="99">
        <f>Z100+AA100</f>
        <v/>
      </c>
      <c r="AC100" s="96">
        <f>D100*2.1</f>
        <v/>
      </c>
      <c r="AD100" s="99">
        <f>AB100-AC100</f>
        <v/>
      </c>
      <c r="AE100" s="99">
        <f>AD100/AB100*100</f>
        <v/>
      </c>
      <c r="AF100" s="107" t="n">
        <v>80</v>
      </c>
      <c r="AG100" s="102">
        <f>((AF100-L100)/L100)*100</f>
        <v/>
      </c>
      <c r="AH100" s="106">
        <f>AJ100-AF100</f>
        <v/>
      </c>
      <c r="AI100" s="106" t="n">
        <v>99</v>
      </c>
      <c r="AJ100" s="106" t="n">
        <v>89</v>
      </c>
      <c r="AK100" s="14">
        <f>(AJ100-L100)/L100*100</f>
        <v/>
      </c>
      <c r="AL100" s="14" t="n"/>
      <c r="AM100" s="14">
        <f>(AH100/AJ100)*100</f>
        <v/>
      </c>
      <c r="AN100" s="14">
        <f>AK100-AG100</f>
        <v/>
      </c>
      <c r="AO100" s="103">
        <f>AJ100/L100</f>
        <v/>
      </c>
      <c r="AP100" s="14">
        <f>(AJ100-AB100)/100</f>
        <v/>
      </c>
      <c r="AQ100" s="14">
        <f>(AJ100-AC100)/100</f>
        <v/>
      </c>
      <c r="AR100" s="104">
        <f>AI100/94</f>
        <v/>
      </c>
      <c r="AS100" s="104">
        <f>AJ100/94</f>
        <v/>
      </c>
      <c r="AT100" s="105">
        <f>AI100/24</f>
        <v/>
      </c>
      <c r="AU100" s="105">
        <f>AJ100/24</f>
        <v/>
      </c>
      <c r="AV100" s="105">
        <f>AI100/125</f>
        <v/>
      </c>
      <c r="AW100" s="105">
        <f>AJ100/125</f>
        <v/>
      </c>
      <c r="AX100" s="107" t="n"/>
      <c r="AY100" s="107" t="n"/>
    </row>
    <row r="101" ht="15.75" customHeight="1" s="258">
      <c r="A101" s="96" t="n"/>
      <c r="B101" s="96" t="inlineStr">
        <is>
          <t>Pure Sandalwood</t>
        </is>
      </c>
      <c r="C101" s="96" t="inlineStr">
        <is>
          <t>IS-S-12</t>
        </is>
      </c>
      <c r="D101" s="94" t="n">
        <v>50</v>
      </c>
      <c r="E101" s="107" t="n"/>
      <c r="F101" s="96" t="n">
        <v>30</v>
      </c>
      <c r="G101" s="94" t="n">
        <v>33074100</v>
      </c>
      <c r="H101" s="97" t="n">
        <v>0.05</v>
      </c>
      <c r="I101" s="96">
        <f>D101*H101</f>
        <v/>
      </c>
      <c r="J101" s="107" t="n"/>
      <c r="K101" s="96">
        <f>D101*4%</f>
        <v/>
      </c>
      <c r="L101" s="98">
        <f>K101+J101+I101+F101+E101+D101</f>
        <v/>
      </c>
      <c r="M101" s="96">
        <f>D101*1%</f>
        <v/>
      </c>
      <c r="N101" s="99">
        <f>L101*8%</f>
        <v/>
      </c>
      <c r="O101" s="99">
        <f>L101*10%</f>
        <v/>
      </c>
      <c r="P101" s="99">
        <f>L101*5%</f>
        <v/>
      </c>
      <c r="Q101" s="99">
        <f>L101*2%</f>
        <v/>
      </c>
      <c r="R101" s="99">
        <f>AC101*0.5%</f>
        <v/>
      </c>
      <c r="S101" s="99">
        <f>L101*1%</f>
        <v/>
      </c>
      <c r="T101" s="100">
        <f>S101+Q101+P101+O101+N101+M101</f>
        <v/>
      </c>
      <c r="U101" s="96">
        <f>AC101*1%</f>
        <v/>
      </c>
      <c r="V101" s="44">
        <f>AC101*5%</f>
        <v/>
      </c>
      <c r="W101" s="96">
        <f>AC101*1%</f>
        <v/>
      </c>
      <c r="X101" s="96">
        <f>AC101*8%</f>
        <v/>
      </c>
      <c r="Y101" s="96">
        <f>U101+V101+W101+X101</f>
        <v/>
      </c>
      <c r="Z101" s="100">
        <f>Y101+T101+L101</f>
        <v/>
      </c>
      <c r="AA101" s="101">
        <f>Z101*20%</f>
        <v/>
      </c>
      <c r="AB101" s="99">
        <f>Z101+AA101</f>
        <v/>
      </c>
      <c r="AC101" s="96">
        <f>D101*2.1</f>
        <v/>
      </c>
      <c r="AD101" s="99">
        <f>AB101-AC101</f>
        <v/>
      </c>
      <c r="AE101" s="99">
        <f>AD101/AB101*100</f>
        <v/>
      </c>
      <c r="AF101" s="107" t="n">
        <v>80</v>
      </c>
      <c r="AG101" s="102">
        <f>((AF101-L101)/L101)*100</f>
        <v/>
      </c>
      <c r="AH101" s="106">
        <f>AJ101-AF101</f>
        <v/>
      </c>
      <c r="AI101" s="106" t="n">
        <v>99</v>
      </c>
      <c r="AJ101" s="106" t="n">
        <v>89</v>
      </c>
      <c r="AK101" s="14">
        <f>(AJ101-L101)/L101*100</f>
        <v/>
      </c>
      <c r="AL101" s="14" t="n"/>
      <c r="AM101" s="14">
        <f>(AH101/AJ101)*100</f>
        <v/>
      </c>
      <c r="AN101" s="14">
        <f>AK101-AG101</f>
        <v/>
      </c>
      <c r="AO101" s="103">
        <f>AJ101/L101</f>
        <v/>
      </c>
      <c r="AP101" s="14">
        <f>(AJ101-AB101)/100</f>
        <v/>
      </c>
      <c r="AQ101" s="14">
        <f>(AJ101-AC101)/100</f>
        <v/>
      </c>
      <c r="AR101" s="104">
        <f>AI101/94</f>
        <v/>
      </c>
      <c r="AS101" s="104">
        <f>AJ101/94</f>
        <v/>
      </c>
      <c r="AT101" s="105">
        <f>AI101/24</f>
        <v/>
      </c>
      <c r="AU101" s="105">
        <f>AJ101/24</f>
        <v/>
      </c>
      <c r="AV101" s="105">
        <f>AI101/125</f>
        <v/>
      </c>
      <c r="AW101" s="105">
        <f>AJ101/125</f>
        <v/>
      </c>
      <c r="AX101" s="107" t="n"/>
      <c r="AY101" s="107" t="n"/>
    </row>
    <row r="102" ht="15" customHeight="1" s="258">
      <c r="A102" s="96" t="inlineStr">
        <is>
          <t>7 Chakras Yoga Mats</t>
        </is>
      </c>
      <c r="B102" s="96" t="inlineStr">
        <is>
          <t>Moderate / Green</t>
        </is>
      </c>
      <c r="C102" s="96" t="inlineStr">
        <is>
          <t>Yo-M-C-MG-G-27</t>
        </is>
      </c>
      <c r="D102" s="94" t="n">
        <v>930</v>
      </c>
      <c r="E102" s="107" t="n"/>
      <c r="F102" s="96" t="n">
        <v>60</v>
      </c>
      <c r="G102" s="94" t="n">
        <v>57050042</v>
      </c>
      <c r="H102" s="97" t="n">
        <v>0.05</v>
      </c>
      <c r="I102" s="96">
        <f>D102*H102</f>
        <v/>
      </c>
      <c r="J102" s="107" t="n"/>
      <c r="K102" s="96" t="n">
        <v>40</v>
      </c>
      <c r="L102" s="98">
        <f>K102+J102+I102+F102+E102+D102</f>
        <v/>
      </c>
      <c r="M102" s="96">
        <f>D102*1%</f>
        <v/>
      </c>
      <c r="N102" s="99">
        <f>L102*8%</f>
        <v/>
      </c>
      <c r="O102" s="99">
        <f>L102*10%</f>
        <v/>
      </c>
      <c r="P102" s="99">
        <f>L102*5%</f>
        <v/>
      </c>
      <c r="Q102" s="99">
        <f>L102*2%</f>
        <v/>
      </c>
      <c r="R102" s="99">
        <f>AC102*0.5%</f>
        <v/>
      </c>
      <c r="S102" s="99">
        <f>L102*1%</f>
        <v/>
      </c>
      <c r="T102" s="100">
        <f>S102+Q102+P102+O102+N102+M102</f>
        <v/>
      </c>
      <c r="U102" s="96">
        <f>AC102*1%</f>
        <v/>
      </c>
      <c r="V102" s="44">
        <f>AC102*5%</f>
        <v/>
      </c>
      <c r="W102" s="96">
        <f>AC102*1%</f>
        <v/>
      </c>
      <c r="X102" s="96">
        <f>AC102*8%</f>
        <v/>
      </c>
      <c r="Y102" s="96">
        <f>U102+V102+W102+X102</f>
        <v/>
      </c>
      <c r="Z102" s="100">
        <f>Y102+T102+L102</f>
        <v/>
      </c>
      <c r="AA102" s="101">
        <f>Z102*20%</f>
        <v/>
      </c>
      <c r="AB102" s="99">
        <f>Z102+AA102</f>
        <v/>
      </c>
      <c r="AC102" s="96">
        <f>D102*2.1</f>
        <v/>
      </c>
      <c r="AD102" s="99">
        <f>AB102-AC102</f>
        <v/>
      </c>
      <c r="AE102" s="99">
        <f>AD102/AB102*100</f>
        <v/>
      </c>
      <c r="AF102" s="107" t="n">
        <v>1790</v>
      </c>
      <c r="AG102" s="102">
        <f>((AF102-L102)/L102)*100</f>
        <v/>
      </c>
      <c r="AH102" s="106">
        <f>AJ102-AF102</f>
        <v/>
      </c>
      <c r="AI102" s="106" t="n">
        <v>2090</v>
      </c>
      <c r="AJ102" s="106" t="n">
        <v>1790</v>
      </c>
      <c r="AK102" s="14">
        <f>(AJ102-L102)/L102*100</f>
        <v/>
      </c>
      <c r="AL102" s="14" t="n"/>
      <c r="AM102" s="14">
        <f>(AH102/AJ102)*100</f>
        <v/>
      </c>
      <c r="AN102" s="14">
        <f>AK102-AG102</f>
        <v/>
      </c>
      <c r="AO102" s="103">
        <f>AJ102/L102</f>
        <v/>
      </c>
      <c r="AP102" s="14">
        <f>(AJ102-AB102)/100</f>
        <v/>
      </c>
      <c r="AQ102" s="14">
        <f>(AJ102-AC102)/100</f>
        <v/>
      </c>
      <c r="AR102" s="104">
        <f>AI102/94</f>
        <v/>
      </c>
      <c r="AS102" s="104">
        <f>AJ102/94</f>
        <v/>
      </c>
      <c r="AT102" s="105">
        <f>AI102/24</f>
        <v/>
      </c>
      <c r="AU102" s="105">
        <f>AJ102/24</f>
        <v/>
      </c>
      <c r="AV102" s="105">
        <f>AI102/125</f>
        <v/>
      </c>
      <c r="AW102" s="105">
        <f>AJ102/125</f>
        <v/>
      </c>
      <c r="AX102" s="107" t="n"/>
      <c r="AY102" s="107" t="n"/>
    </row>
    <row r="103" ht="15.75" customHeight="1" s="258">
      <c r="A103" s="96" t="n"/>
      <c r="B103" s="96" t="inlineStr">
        <is>
          <t>Moderate / Orange</t>
        </is>
      </c>
      <c r="C103" s="96" t="inlineStr">
        <is>
          <t>Yo-M-C-MG-o-27</t>
        </is>
      </c>
      <c r="D103" s="94" t="n">
        <v>930</v>
      </c>
      <c r="E103" s="107" t="n"/>
      <c r="F103" s="96" t="n">
        <v>60</v>
      </c>
      <c r="G103" s="94" t="n">
        <v>57050042</v>
      </c>
      <c r="H103" s="97" t="n">
        <v>0.05</v>
      </c>
      <c r="I103" s="96">
        <f>D103*H103</f>
        <v/>
      </c>
      <c r="J103" s="107" t="n"/>
      <c r="K103" s="96" t="n">
        <v>40</v>
      </c>
      <c r="L103" s="98">
        <f>K103+J103+I103+F103+E103+D103</f>
        <v/>
      </c>
      <c r="M103" s="96">
        <f>D103*1%</f>
        <v/>
      </c>
      <c r="N103" s="99">
        <f>L103*8%</f>
        <v/>
      </c>
      <c r="O103" s="99">
        <f>L103*10%</f>
        <v/>
      </c>
      <c r="P103" s="99">
        <f>L103*5%</f>
        <v/>
      </c>
      <c r="Q103" s="99">
        <f>L103*2%</f>
        <v/>
      </c>
      <c r="R103" s="99">
        <f>AC103*0.5%</f>
        <v/>
      </c>
      <c r="S103" s="99">
        <f>L103*1%</f>
        <v/>
      </c>
      <c r="T103" s="100">
        <f>S103+Q103+P103+O103+N103+M103</f>
        <v/>
      </c>
      <c r="U103" s="96">
        <f>AC103*1%</f>
        <v/>
      </c>
      <c r="V103" s="44">
        <f>AC103*5%</f>
        <v/>
      </c>
      <c r="W103" s="96">
        <f>AC103*1%</f>
        <v/>
      </c>
      <c r="X103" s="96">
        <f>AC103*8%</f>
        <v/>
      </c>
      <c r="Y103" s="96">
        <f>U103+V103+W103+X103</f>
        <v/>
      </c>
      <c r="Z103" s="100">
        <f>Y103+T103+L103</f>
        <v/>
      </c>
      <c r="AA103" s="101">
        <f>Z103*20%</f>
        <v/>
      </c>
      <c r="AB103" s="99">
        <f>Z103+AA103</f>
        <v/>
      </c>
      <c r="AC103" s="96">
        <f>D103*2.1</f>
        <v/>
      </c>
      <c r="AD103" s="99">
        <f>AB103-AC103</f>
        <v/>
      </c>
      <c r="AE103" s="99">
        <f>AD103/AB103*100</f>
        <v/>
      </c>
      <c r="AF103" s="107" t="n">
        <v>1790</v>
      </c>
      <c r="AG103" s="102">
        <f>((AF103-L103)/L103)*100</f>
        <v/>
      </c>
      <c r="AH103" s="106">
        <f>AJ103-AF103</f>
        <v/>
      </c>
      <c r="AI103" s="106">
        <f>AB103</f>
        <v/>
      </c>
      <c r="AJ103" s="106" t="n">
        <v>1790</v>
      </c>
      <c r="AK103" s="14">
        <f>(AJ103-L103)/L103*100</f>
        <v/>
      </c>
      <c r="AL103" s="14" t="n"/>
      <c r="AM103" s="14">
        <f>(AH103/AJ103)*100</f>
        <v/>
      </c>
      <c r="AN103" s="14">
        <f>AK103-AG103</f>
        <v/>
      </c>
      <c r="AO103" s="103">
        <f>AJ103/L103</f>
        <v/>
      </c>
      <c r="AP103" s="14">
        <f>(AJ103-AB103)/100</f>
        <v/>
      </c>
      <c r="AQ103" s="14">
        <f>(AJ103-AC103)/100</f>
        <v/>
      </c>
      <c r="AR103" s="104">
        <f>AI103/94</f>
        <v/>
      </c>
      <c r="AS103" s="104">
        <f>AJ103/94</f>
        <v/>
      </c>
      <c r="AT103" s="105">
        <f>AI103/24</f>
        <v/>
      </c>
      <c r="AU103" s="105">
        <f>AJ103/24</f>
        <v/>
      </c>
      <c r="AV103" s="105">
        <f>AI103/125</f>
        <v/>
      </c>
      <c r="AW103" s="105">
        <f>AJ103/125</f>
        <v/>
      </c>
      <c r="AX103" s="107" t="n"/>
      <c r="AY103" s="107" t="n"/>
    </row>
    <row r="104" ht="15.75" customHeight="1" s="258">
      <c r="A104" s="96" t="n"/>
      <c r="B104" s="96" t="inlineStr">
        <is>
          <t>Moderate / Blue</t>
        </is>
      </c>
      <c r="C104" s="96" t="inlineStr">
        <is>
          <t>Yo-M-C-MG-B-27</t>
        </is>
      </c>
      <c r="D104" s="94" t="n">
        <v>930</v>
      </c>
      <c r="E104" s="107" t="n"/>
      <c r="F104" s="96" t="n">
        <v>60</v>
      </c>
      <c r="G104" s="94" t="n">
        <v>57050042</v>
      </c>
      <c r="H104" s="97" t="n">
        <v>0.05</v>
      </c>
      <c r="I104" s="96">
        <f>D104*H104</f>
        <v/>
      </c>
      <c r="J104" s="107" t="n"/>
      <c r="K104" s="96" t="n">
        <v>40</v>
      </c>
      <c r="L104" s="98">
        <f>K104+J104+I104+F104+E104+D104</f>
        <v/>
      </c>
      <c r="M104" s="96">
        <f>D104*1%</f>
        <v/>
      </c>
      <c r="N104" s="99">
        <f>L104*8%</f>
        <v/>
      </c>
      <c r="O104" s="99">
        <f>L104*10%</f>
        <v/>
      </c>
      <c r="P104" s="99">
        <f>L104*5%</f>
        <v/>
      </c>
      <c r="Q104" s="99">
        <f>L104*2%</f>
        <v/>
      </c>
      <c r="R104" s="99">
        <f>AC104*0.5%</f>
        <v/>
      </c>
      <c r="S104" s="99">
        <f>L104*1%</f>
        <v/>
      </c>
      <c r="T104" s="100">
        <f>S104+Q104+P104+O104+N104+M104</f>
        <v/>
      </c>
      <c r="U104" s="96">
        <f>AC104*1%</f>
        <v/>
      </c>
      <c r="V104" s="44">
        <f>AC104*5%</f>
        <v/>
      </c>
      <c r="W104" s="96">
        <f>AC104*1%</f>
        <v/>
      </c>
      <c r="X104" s="96">
        <f>AC104*8%</f>
        <v/>
      </c>
      <c r="Y104" s="96">
        <f>U104+V104+W104+X104</f>
        <v/>
      </c>
      <c r="Z104" s="100">
        <f>Y104+T104+L104</f>
        <v/>
      </c>
      <c r="AA104" s="101">
        <f>Z104*20%</f>
        <v/>
      </c>
      <c r="AB104" s="99">
        <f>Z104+AA104</f>
        <v/>
      </c>
      <c r="AC104" s="96">
        <f>D104*2.1</f>
        <v/>
      </c>
      <c r="AD104" s="99">
        <f>AB104-AC104</f>
        <v/>
      </c>
      <c r="AE104" s="99">
        <f>AD104/AB104*100</f>
        <v/>
      </c>
      <c r="AF104" s="107" t="n">
        <v>1790</v>
      </c>
      <c r="AG104" s="102">
        <f>((AF104-L104)/L104)*100</f>
        <v/>
      </c>
      <c r="AH104" s="106">
        <f>AJ104-AF104</f>
        <v/>
      </c>
      <c r="AI104" s="106">
        <f>AB104</f>
        <v/>
      </c>
      <c r="AJ104" s="106" t="n">
        <v>1790</v>
      </c>
      <c r="AK104" s="14">
        <f>(AJ104-L104)/L104*100</f>
        <v/>
      </c>
      <c r="AL104" s="14" t="n"/>
      <c r="AM104" s="14">
        <f>(AH104/AJ104)*100</f>
        <v/>
      </c>
      <c r="AN104" s="14">
        <f>AK104-AG104</f>
        <v/>
      </c>
      <c r="AO104" s="103">
        <f>AJ104/L104</f>
        <v/>
      </c>
      <c r="AP104" s="14">
        <f>(AJ104-AB104)/100</f>
        <v/>
      </c>
      <c r="AQ104" s="14">
        <f>(AJ104-AC104)/100</f>
        <v/>
      </c>
      <c r="AR104" s="104">
        <f>AI104/94</f>
        <v/>
      </c>
      <c r="AS104" s="104">
        <f>AJ104/94</f>
        <v/>
      </c>
      <c r="AT104" s="105">
        <f>AI104/24</f>
        <v/>
      </c>
      <c r="AU104" s="105">
        <f>AJ104/24</f>
        <v/>
      </c>
      <c r="AV104" s="105">
        <f>AI104/125</f>
        <v/>
      </c>
      <c r="AW104" s="105">
        <f>AJ104/125</f>
        <v/>
      </c>
      <c r="AX104" s="107" t="n"/>
      <c r="AY104" s="107" t="n"/>
    </row>
    <row r="105" ht="15.75" customHeight="1" s="258">
      <c r="A105" s="96" t="n"/>
      <c r="B105" s="96" t="inlineStr">
        <is>
          <t>Moderate / Pink</t>
        </is>
      </c>
      <c r="C105" s="96" t="inlineStr">
        <is>
          <t>Yo-M-C-MG-P-27</t>
        </is>
      </c>
      <c r="D105" s="94" t="n">
        <v>930</v>
      </c>
      <c r="E105" s="107" t="n"/>
      <c r="F105" s="96" t="n">
        <v>60</v>
      </c>
      <c r="G105" s="94" t="n">
        <v>57050042</v>
      </c>
      <c r="H105" s="97" t="n">
        <v>0.05</v>
      </c>
      <c r="I105" s="96">
        <f>D105*H105</f>
        <v/>
      </c>
      <c r="J105" s="107" t="n"/>
      <c r="K105" s="96" t="n">
        <v>40</v>
      </c>
      <c r="L105" s="98">
        <f>K105+J105+I105+F105+E105+D105</f>
        <v/>
      </c>
      <c r="M105" s="96">
        <f>D105*1%</f>
        <v/>
      </c>
      <c r="N105" s="99">
        <f>L105*8%</f>
        <v/>
      </c>
      <c r="O105" s="99">
        <f>L105*10%</f>
        <v/>
      </c>
      <c r="P105" s="99">
        <f>L105*5%</f>
        <v/>
      </c>
      <c r="Q105" s="99">
        <f>L105*2%</f>
        <v/>
      </c>
      <c r="R105" s="99">
        <f>AC105*0.5%</f>
        <v/>
      </c>
      <c r="S105" s="99">
        <f>L105*1%</f>
        <v/>
      </c>
      <c r="T105" s="100">
        <f>S105+Q105+P105+O105+N105+M105</f>
        <v/>
      </c>
      <c r="U105" s="96">
        <f>AC105*1%</f>
        <v/>
      </c>
      <c r="V105" s="44">
        <f>AC105*5%</f>
        <v/>
      </c>
      <c r="W105" s="96">
        <f>AC105*1%</f>
        <v/>
      </c>
      <c r="X105" s="96">
        <f>AC105*8%</f>
        <v/>
      </c>
      <c r="Y105" s="96">
        <f>U105+V105+W105+X105</f>
        <v/>
      </c>
      <c r="Z105" s="100">
        <f>Y105+T105+L105</f>
        <v/>
      </c>
      <c r="AA105" s="101">
        <f>Z105*20%</f>
        <v/>
      </c>
      <c r="AB105" s="99">
        <f>Z105+AA105</f>
        <v/>
      </c>
      <c r="AC105" s="96">
        <f>D105*2.1</f>
        <v/>
      </c>
      <c r="AD105" s="99">
        <f>AB105-AC105</f>
        <v/>
      </c>
      <c r="AE105" s="99">
        <f>AD105/AB105*100</f>
        <v/>
      </c>
      <c r="AF105" s="107" t="n">
        <v>1790</v>
      </c>
      <c r="AG105" s="102">
        <f>((AF105-L105)/L105)*100</f>
        <v/>
      </c>
      <c r="AH105" s="106">
        <f>AJ105-AF105</f>
        <v/>
      </c>
      <c r="AI105" s="106">
        <f>AB105</f>
        <v/>
      </c>
      <c r="AJ105" s="106" t="n">
        <v>1790</v>
      </c>
      <c r="AK105" s="14">
        <f>(AJ105-L105)/L105*100</f>
        <v/>
      </c>
      <c r="AL105" s="14" t="n"/>
      <c r="AM105" s="14">
        <f>(AH105/AJ105)*100</f>
        <v/>
      </c>
      <c r="AN105" s="14">
        <f>AK105-AG105</f>
        <v/>
      </c>
      <c r="AO105" s="103">
        <f>AJ105/L105</f>
        <v/>
      </c>
      <c r="AP105" s="14">
        <f>(AJ105-AB105)/100</f>
        <v/>
      </c>
      <c r="AQ105" s="14">
        <f>(AJ105-AC105)/100</f>
        <v/>
      </c>
      <c r="AR105" s="104">
        <f>AI105/94</f>
        <v/>
      </c>
      <c r="AS105" s="104">
        <f>AJ105/94</f>
        <v/>
      </c>
      <c r="AT105" s="105">
        <f>AI105/24</f>
        <v/>
      </c>
      <c r="AU105" s="105">
        <f>AJ105/24</f>
        <v/>
      </c>
      <c r="AV105" s="105">
        <f>AI105/125</f>
        <v/>
      </c>
      <c r="AW105" s="105">
        <f>AJ105/125</f>
        <v/>
      </c>
      <c r="AX105" s="107" t="n"/>
      <c r="AY105" s="107" t="n"/>
    </row>
    <row r="106" ht="15.75" customHeight="1" s="258">
      <c r="A106" s="96" t="n"/>
      <c r="B106" s="96" t="inlineStr">
        <is>
          <t>Teal/ Superior</t>
        </is>
      </c>
      <c r="C106" s="96" t="inlineStr">
        <is>
          <t>Yo-M-C-HG-T</t>
        </is>
      </c>
      <c r="D106" s="94" t="n">
        <v>960</v>
      </c>
      <c r="E106" s="107" t="n"/>
      <c r="F106" s="96" t="n">
        <v>60</v>
      </c>
      <c r="G106" s="94" t="n">
        <v>57050042</v>
      </c>
      <c r="H106" s="97" t="n">
        <v>0.05</v>
      </c>
      <c r="I106" s="96">
        <f>D106*H106</f>
        <v/>
      </c>
      <c r="J106" s="107" t="n"/>
      <c r="K106" s="96" t="n">
        <v>40</v>
      </c>
      <c r="L106" s="98">
        <f>K106+J106+I106+F106+E106+D106</f>
        <v/>
      </c>
      <c r="M106" s="96">
        <f>D106*1%</f>
        <v/>
      </c>
      <c r="N106" s="99">
        <f>L106*8%</f>
        <v/>
      </c>
      <c r="O106" s="99">
        <f>L106*10%</f>
        <v/>
      </c>
      <c r="P106" s="99">
        <f>L106*5%</f>
        <v/>
      </c>
      <c r="Q106" s="99">
        <f>L106*2%</f>
        <v/>
      </c>
      <c r="R106" s="99">
        <f>AC106*0.5%</f>
        <v/>
      </c>
      <c r="S106" s="99">
        <f>L106*1%</f>
        <v/>
      </c>
      <c r="T106" s="100">
        <f>S106+Q106+P106+O106+N106+M106</f>
        <v/>
      </c>
      <c r="U106" s="96">
        <f>AC106*1%</f>
        <v/>
      </c>
      <c r="V106" s="44">
        <f>AC106*5%</f>
        <v/>
      </c>
      <c r="W106" s="96">
        <f>AC106*1%</f>
        <v/>
      </c>
      <c r="X106" s="96">
        <f>AC106*8%</f>
        <v/>
      </c>
      <c r="Y106" s="96">
        <f>U106+V106+W106+X106</f>
        <v/>
      </c>
      <c r="Z106" s="100">
        <f>Y106+T106+L106</f>
        <v/>
      </c>
      <c r="AA106" s="101">
        <f>Z106*20%</f>
        <v/>
      </c>
      <c r="AB106" s="99">
        <f>Z106+AA106</f>
        <v/>
      </c>
      <c r="AC106" s="96">
        <f>D106*2.1</f>
        <v/>
      </c>
      <c r="AD106" s="99">
        <f>AB106-AC106</f>
        <v/>
      </c>
      <c r="AE106" s="99">
        <f>AD106/AB106*100</f>
        <v/>
      </c>
      <c r="AF106" s="107" t="n">
        <v>1890</v>
      </c>
      <c r="AG106" s="102">
        <f>((AF106-L106)/L106)*100</f>
        <v/>
      </c>
      <c r="AH106" s="106">
        <f>AJ106-AF106</f>
        <v/>
      </c>
      <c r="AI106" s="106" t="n">
        <v>2090</v>
      </c>
      <c r="AJ106" s="106" t="n">
        <v>1890</v>
      </c>
      <c r="AK106" s="14">
        <f>(AJ106-L106)/L106*100</f>
        <v/>
      </c>
      <c r="AL106" s="14" t="n"/>
      <c r="AM106" s="14">
        <f>(AH106/AJ106)*100</f>
        <v/>
      </c>
      <c r="AN106" s="14">
        <f>AK106-AG106</f>
        <v/>
      </c>
      <c r="AO106" s="103">
        <f>AJ106/L106</f>
        <v/>
      </c>
      <c r="AP106" s="14">
        <f>(AJ106-AB106)/100</f>
        <v/>
      </c>
      <c r="AQ106" s="14">
        <f>(AJ106-AC106)/100</f>
        <v/>
      </c>
      <c r="AR106" s="104">
        <f>AI106/94</f>
        <v/>
      </c>
      <c r="AS106" s="104">
        <f>AJ106/94</f>
        <v/>
      </c>
      <c r="AT106" s="105">
        <f>AI106/24</f>
        <v/>
      </c>
      <c r="AU106" s="105">
        <f>AJ106/24</f>
        <v/>
      </c>
      <c r="AV106" s="105">
        <f>AI106/125</f>
        <v/>
      </c>
      <c r="AW106" s="105">
        <f>AJ106/125</f>
        <v/>
      </c>
      <c r="AX106" s="107" t="n"/>
      <c r="AY106" s="107" t="n"/>
    </row>
    <row r="107" ht="15.75" customHeight="1" s="258">
      <c r="A107" s="96" t="n"/>
      <c r="B107" s="96" t="inlineStr">
        <is>
          <t>Orange / Superior</t>
        </is>
      </c>
      <c r="C107" s="96" t="inlineStr">
        <is>
          <t>Yo-M-C-HG-O</t>
        </is>
      </c>
      <c r="D107" s="94" t="n">
        <v>960</v>
      </c>
      <c r="E107" s="107" t="n"/>
      <c r="F107" s="96" t="n">
        <v>60</v>
      </c>
      <c r="G107" s="94" t="n">
        <v>57050042</v>
      </c>
      <c r="H107" s="97" t="n">
        <v>0.05</v>
      </c>
      <c r="I107" s="96">
        <f>D107*H107</f>
        <v/>
      </c>
      <c r="J107" s="107" t="n"/>
      <c r="K107" s="96" t="n">
        <v>40</v>
      </c>
      <c r="L107" s="98">
        <f>K107+J107+I107+F107+E107+D107</f>
        <v/>
      </c>
      <c r="M107" s="96">
        <f>D107*1%</f>
        <v/>
      </c>
      <c r="N107" s="99">
        <f>L107*8%</f>
        <v/>
      </c>
      <c r="O107" s="99">
        <f>L107*10%</f>
        <v/>
      </c>
      <c r="P107" s="99">
        <f>L107*5%</f>
        <v/>
      </c>
      <c r="Q107" s="99">
        <f>L107*2%</f>
        <v/>
      </c>
      <c r="R107" s="99">
        <f>AC107*0.5%</f>
        <v/>
      </c>
      <c r="S107" s="99">
        <f>L107*1%</f>
        <v/>
      </c>
      <c r="T107" s="100">
        <f>S107+Q107+P107+O107+N107+M107</f>
        <v/>
      </c>
      <c r="U107" s="96">
        <f>AC107*1%</f>
        <v/>
      </c>
      <c r="V107" s="44">
        <f>AC107*5%</f>
        <v/>
      </c>
      <c r="W107" s="96">
        <f>AC107*1%</f>
        <v/>
      </c>
      <c r="X107" s="96">
        <f>AC107*8%</f>
        <v/>
      </c>
      <c r="Y107" s="96">
        <f>U107+V107+W107+X107</f>
        <v/>
      </c>
      <c r="Z107" s="100">
        <f>Y107+T107+L107</f>
        <v/>
      </c>
      <c r="AA107" s="101">
        <f>Z107*20%</f>
        <v/>
      </c>
      <c r="AB107" s="99">
        <f>Z107+AA107</f>
        <v/>
      </c>
      <c r="AC107" s="96">
        <f>D107*2.1</f>
        <v/>
      </c>
      <c r="AD107" s="99">
        <f>AB107-AC107</f>
        <v/>
      </c>
      <c r="AE107" s="99">
        <f>AD107/AB107*100</f>
        <v/>
      </c>
      <c r="AF107" s="107" t="n">
        <v>1890</v>
      </c>
      <c r="AG107" s="102">
        <f>((AF107-L107)/L107)*100</f>
        <v/>
      </c>
      <c r="AH107" s="106">
        <f>AJ107-AF107</f>
        <v/>
      </c>
      <c r="AI107" s="106" t="n">
        <v>2090</v>
      </c>
      <c r="AJ107" s="106" t="n">
        <v>1890</v>
      </c>
      <c r="AK107" s="14">
        <f>(AJ107-L107)/L107*100</f>
        <v/>
      </c>
      <c r="AL107" s="14" t="n"/>
      <c r="AM107" s="14">
        <f>(AH107/AJ107)*100</f>
        <v/>
      </c>
      <c r="AN107" s="14">
        <f>AK107-AG107</f>
        <v/>
      </c>
      <c r="AO107" s="103">
        <f>AJ107/L107</f>
        <v/>
      </c>
      <c r="AP107" s="14">
        <f>(AJ107-AB107)/100</f>
        <v/>
      </c>
      <c r="AQ107" s="14">
        <f>(AJ107-AC107)/100</f>
        <v/>
      </c>
      <c r="AR107" s="104">
        <f>AI107/94</f>
        <v/>
      </c>
      <c r="AS107" s="104">
        <f>AJ107/94</f>
        <v/>
      </c>
      <c r="AT107" s="105">
        <f>AI107/24</f>
        <v/>
      </c>
      <c r="AU107" s="105">
        <f>AJ107/24</f>
        <v/>
      </c>
      <c r="AV107" s="105">
        <f>AI107/125</f>
        <v/>
      </c>
      <c r="AW107" s="105">
        <f>AJ107/125</f>
        <v/>
      </c>
      <c r="AX107" s="107" t="n"/>
      <c r="AY107" s="107" t="n"/>
    </row>
    <row r="108" ht="15.75" customHeight="1" s="258">
      <c r="A108" s="96" t="n"/>
      <c r="B108" s="96" t="inlineStr">
        <is>
          <t>Yellow / Superior</t>
        </is>
      </c>
      <c r="C108" s="96" t="inlineStr">
        <is>
          <t>Yo-M-C-HG-Y</t>
        </is>
      </c>
      <c r="D108" s="94" t="n">
        <v>960</v>
      </c>
      <c r="E108" s="107" t="n"/>
      <c r="F108" s="96" t="n">
        <v>60</v>
      </c>
      <c r="G108" s="94" t="n">
        <v>57050042</v>
      </c>
      <c r="H108" s="97" t="n">
        <v>0.05</v>
      </c>
      <c r="I108" s="96">
        <f>D108*H108</f>
        <v/>
      </c>
      <c r="J108" s="107" t="n"/>
      <c r="K108" s="96" t="n">
        <v>40</v>
      </c>
      <c r="L108" s="98">
        <f>K108+J108+I108+F108+E108+D108</f>
        <v/>
      </c>
      <c r="M108" s="96">
        <f>D108*1%</f>
        <v/>
      </c>
      <c r="N108" s="99">
        <f>L108*8%</f>
        <v/>
      </c>
      <c r="O108" s="99">
        <f>L108*10%</f>
        <v/>
      </c>
      <c r="P108" s="99">
        <f>L108*5%</f>
        <v/>
      </c>
      <c r="Q108" s="99">
        <f>L108*2%</f>
        <v/>
      </c>
      <c r="R108" s="99">
        <f>AC108*0.5%</f>
        <v/>
      </c>
      <c r="S108" s="99">
        <f>L108*1%</f>
        <v/>
      </c>
      <c r="T108" s="100">
        <f>S108+Q108+P108+O108+N108+M108</f>
        <v/>
      </c>
      <c r="U108" s="96">
        <f>AC108*1%</f>
        <v/>
      </c>
      <c r="V108" s="44">
        <f>AC108*5%</f>
        <v/>
      </c>
      <c r="W108" s="96">
        <f>AC108*1%</f>
        <v/>
      </c>
      <c r="X108" s="96">
        <f>AC108*8%</f>
        <v/>
      </c>
      <c r="Y108" s="96">
        <f>U108+V108+W108+X108</f>
        <v/>
      </c>
      <c r="Z108" s="100">
        <f>Y108+T108+L108</f>
        <v/>
      </c>
      <c r="AA108" s="101">
        <f>Z108*20%</f>
        <v/>
      </c>
      <c r="AB108" s="99">
        <f>Z108+AA108</f>
        <v/>
      </c>
      <c r="AC108" s="96">
        <f>D108*2.1</f>
        <v/>
      </c>
      <c r="AD108" s="99">
        <f>AB108-AC108</f>
        <v/>
      </c>
      <c r="AE108" s="99">
        <f>AD108/AB108*100</f>
        <v/>
      </c>
      <c r="AF108" s="107" t="n">
        <v>1890</v>
      </c>
      <c r="AG108" s="102">
        <f>((AF108-L108)/L108)*100</f>
        <v/>
      </c>
      <c r="AH108" s="106">
        <f>AJ108-AF108</f>
        <v/>
      </c>
      <c r="AI108" s="106" t="n">
        <v>2090</v>
      </c>
      <c r="AJ108" s="106" t="n">
        <v>1890</v>
      </c>
      <c r="AK108" s="14">
        <f>(AJ108-L108)/L108*100</f>
        <v/>
      </c>
      <c r="AL108" s="14" t="n"/>
      <c r="AM108" s="14">
        <f>(AH108/AJ108)*100</f>
        <v/>
      </c>
      <c r="AN108" s="14">
        <f>AK108-AG108</f>
        <v/>
      </c>
      <c r="AO108" s="103">
        <f>AJ108/L108</f>
        <v/>
      </c>
      <c r="AP108" s="14">
        <f>(AJ108-AB108)/100</f>
        <v/>
      </c>
      <c r="AQ108" s="14">
        <f>(AJ108-AC108)/100</f>
        <v/>
      </c>
      <c r="AR108" s="104">
        <f>AI108/94</f>
        <v/>
      </c>
      <c r="AS108" s="104">
        <f>AJ108/94</f>
        <v/>
      </c>
      <c r="AT108" s="105">
        <f>AI108/24</f>
        <v/>
      </c>
      <c r="AU108" s="105">
        <f>AJ108/24</f>
        <v/>
      </c>
      <c r="AV108" s="105">
        <f>AI108/125</f>
        <v/>
      </c>
      <c r="AW108" s="105">
        <f>AJ108/125</f>
        <v/>
      </c>
      <c r="AX108" s="107" t="n"/>
      <c r="AY108" s="107" t="n"/>
    </row>
    <row r="109" ht="15.75" customHeight="1" s="258">
      <c r="A109" s="96" t="n"/>
      <c r="B109" s="96" t="inlineStr">
        <is>
          <t>Pink / Superior</t>
        </is>
      </c>
      <c r="C109" s="96" t="inlineStr">
        <is>
          <t>Yo-M-C-HG-P</t>
        </is>
      </c>
      <c r="D109" s="94" t="n">
        <v>960</v>
      </c>
      <c r="E109" s="107" t="n"/>
      <c r="F109" s="96" t="n">
        <v>60</v>
      </c>
      <c r="G109" s="94" t="n">
        <v>57050042</v>
      </c>
      <c r="H109" s="97" t="n">
        <v>0.05</v>
      </c>
      <c r="I109" s="96">
        <f>D109*H109</f>
        <v/>
      </c>
      <c r="J109" s="107" t="n"/>
      <c r="K109" s="96" t="n">
        <v>40</v>
      </c>
      <c r="L109" s="98">
        <f>K109+J109+I109+F109+E109+D109</f>
        <v/>
      </c>
      <c r="M109" s="96">
        <f>D109*1%</f>
        <v/>
      </c>
      <c r="N109" s="99">
        <f>L109*8%</f>
        <v/>
      </c>
      <c r="O109" s="99">
        <f>L109*10%</f>
        <v/>
      </c>
      <c r="P109" s="99">
        <f>L109*5%</f>
        <v/>
      </c>
      <c r="Q109" s="99">
        <f>L109*2%</f>
        <v/>
      </c>
      <c r="R109" s="99">
        <f>AC109*0.5%</f>
        <v/>
      </c>
      <c r="S109" s="99">
        <f>L109*1%</f>
        <v/>
      </c>
      <c r="T109" s="100">
        <f>S109+Q109+P109+O109+N109+M109</f>
        <v/>
      </c>
      <c r="U109" s="96">
        <f>AC109*1%</f>
        <v/>
      </c>
      <c r="V109" s="44">
        <f>AC109*5%</f>
        <v/>
      </c>
      <c r="W109" s="96">
        <f>AC109*1%</f>
        <v/>
      </c>
      <c r="X109" s="96">
        <f>AC109*8%</f>
        <v/>
      </c>
      <c r="Y109" s="96">
        <f>U109+V109+W109+X109</f>
        <v/>
      </c>
      <c r="Z109" s="100">
        <f>Y109+T109+L109</f>
        <v/>
      </c>
      <c r="AA109" s="101">
        <f>Z109*20%</f>
        <v/>
      </c>
      <c r="AB109" s="99">
        <f>Z109+AA109</f>
        <v/>
      </c>
      <c r="AC109" s="96">
        <f>D109*2.1</f>
        <v/>
      </c>
      <c r="AD109" s="99">
        <f>AB109-AC109</f>
        <v/>
      </c>
      <c r="AE109" s="99">
        <f>AD109/AB109*100</f>
        <v/>
      </c>
      <c r="AF109" s="107" t="n">
        <v>1890</v>
      </c>
      <c r="AG109" s="102">
        <f>((AF109-L109)/L109)*100</f>
        <v/>
      </c>
      <c r="AH109" s="106">
        <f>AJ109-AF109</f>
        <v/>
      </c>
      <c r="AI109" s="106" t="n">
        <v>2090</v>
      </c>
      <c r="AJ109" s="106" t="n">
        <v>1890</v>
      </c>
      <c r="AK109" s="14">
        <f>(AJ109-L109)/L109*100</f>
        <v/>
      </c>
      <c r="AL109" s="14" t="n"/>
      <c r="AM109" s="14">
        <f>(AH109/AJ109)*100</f>
        <v/>
      </c>
      <c r="AN109" s="14">
        <f>AK109-AG109</f>
        <v/>
      </c>
      <c r="AO109" s="103">
        <f>AJ109/L109</f>
        <v/>
      </c>
      <c r="AP109" s="14">
        <f>(AJ109-AB109)/100</f>
        <v/>
      </c>
      <c r="AQ109" s="14">
        <f>(AJ109-AC109)/100</f>
        <v/>
      </c>
      <c r="AR109" s="104">
        <f>AI109/94</f>
        <v/>
      </c>
      <c r="AS109" s="104">
        <f>AJ109/94</f>
        <v/>
      </c>
      <c r="AT109" s="105">
        <f>AI109/24</f>
        <v/>
      </c>
      <c r="AU109" s="105">
        <f>AJ109/24</f>
        <v/>
      </c>
      <c r="AV109" s="105">
        <f>AI109/125</f>
        <v/>
      </c>
      <c r="AW109" s="105">
        <f>AJ109/125</f>
        <v/>
      </c>
      <c r="AX109" s="107" t="n"/>
      <c r="AY109" s="107" t="n"/>
    </row>
    <row r="110" ht="15" customHeight="1" s="258">
      <c r="A110" s="96" t="inlineStr">
        <is>
          <t>Plain Yoga Mats</t>
        </is>
      </c>
      <c r="B110" s="96" t="inlineStr">
        <is>
          <t>Moderate / Teal</t>
        </is>
      </c>
      <c r="C110" s="108" t="inlineStr">
        <is>
          <t>Yo-PYM-M-T</t>
        </is>
      </c>
      <c r="D110" s="94" t="n">
        <v>950</v>
      </c>
      <c r="E110" s="107" t="n"/>
      <c r="F110" s="96" t="n">
        <v>85</v>
      </c>
      <c r="G110" s="94" t="n">
        <v>5705</v>
      </c>
      <c r="H110" s="97" t="n">
        <v>0.05</v>
      </c>
      <c r="I110" s="96">
        <f>D110*H110</f>
        <v/>
      </c>
      <c r="J110" s="107" t="n"/>
      <c r="K110" s="96" t="n">
        <v>100</v>
      </c>
      <c r="L110" s="98">
        <f>K110+J110+I110+F110+E110+D110</f>
        <v/>
      </c>
      <c r="M110" s="96">
        <f>D110*1%</f>
        <v/>
      </c>
      <c r="N110" s="99">
        <f>L110*8%</f>
        <v/>
      </c>
      <c r="O110" s="99">
        <f>L110*10%</f>
        <v/>
      </c>
      <c r="P110" s="99">
        <f>L110*5%</f>
        <v/>
      </c>
      <c r="Q110" s="99">
        <f>L110*2%</f>
        <v/>
      </c>
      <c r="R110" s="99">
        <f>AC110*0.5%</f>
        <v/>
      </c>
      <c r="S110" s="99">
        <f>L110*1%</f>
        <v/>
      </c>
      <c r="T110" s="100">
        <f>S110+Q110+P110+O110+N110+M110</f>
        <v/>
      </c>
      <c r="U110" s="96">
        <f>AC110*1%</f>
        <v/>
      </c>
      <c r="V110" s="44">
        <f>AC110*5%</f>
        <v/>
      </c>
      <c r="W110" s="96">
        <f>AC110*1%</f>
        <v/>
      </c>
      <c r="X110" s="96">
        <f>AC110*8%</f>
        <v/>
      </c>
      <c r="Y110" s="96">
        <f>U110+V110+W110+X110</f>
        <v/>
      </c>
      <c r="Z110" s="100">
        <f>Y110+T110+L110</f>
        <v/>
      </c>
      <c r="AA110" s="101">
        <f>Z110*20%</f>
        <v/>
      </c>
      <c r="AB110" s="99">
        <f>Z110+AA110</f>
        <v/>
      </c>
      <c r="AC110" s="96">
        <f>D110*2.1</f>
        <v/>
      </c>
      <c r="AD110" s="99">
        <f>AB110-AC110</f>
        <v/>
      </c>
      <c r="AE110" s="99">
        <f>AD110/AB110*100</f>
        <v/>
      </c>
      <c r="AF110" s="107" t="n"/>
      <c r="AG110" s="102">
        <f>((AF110-L110)/L110)*100</f>
        <v/>
      </c>
      <c r="AH110" s="106">
        <f>AJ110-AF110</f>
        <v/>
      </c>
      <c r="AI110" s="106">
        <f>AB110</f>
        <v/>
      </c>
      <c r="AJ110" s="106" t="n">
        <v>1645</v>
      </c>
      <c r="AK110" s="14">
        <f>(AJ110-L110)/L110*100</f>
        <v/>
      </c>
      <c r="AL110" s="14" t="n"/>
      <c r="AM110" s="14">
        <f>AH110/AJ110%</f>
        <v/>
      </c>
      <c r="AN110" s="14">
        <f>AK110-AG110</f>
        <v/>
      </c>
      <c r="AO110" s="103">
        <f>AJ110/L110</f>
        <v/>
      </c>
      <c r="AP110" s="14">
        <f>(AJ110-AB110)/100</f>
        <v/>
      </c>
      <c r="AQ110" s="14">
        <f>(AJ110-AC110)/100</f>
        <v/>
      </c>
      <c r="AR110" s="104">
        <f>AI110/94</f>
        <v/>
      </c>
      <c r="AS110" s="104">
        <f>AJ110/94</f>
        <v/>
      </c>
      <c r="AT110" s="105">
        <f>AI110/24</f>
        <v/>
      </c>
      <c r="AU110" s="105">
        <f>AJ110/24</f>
        <v/>
      </c>
      <c r="AV110" s="105">
        <f>AI110/125</f>
        <v/>
      </c>
      <c r="AW110" s="105">
        <f>AJ110/125</f>
        <v/>
      </c>
      <c r="AX110" s="107" t="n"/>
      <c r="AY110" s="107" t="n"/>
    </row>
    <row r="111" ht="15.75" customHeight="1" s="258">
      <c r="A111" s="96" t="n"/>
      <c r="B111" s="96" t="inlineStr">
        <is>
          <t>Teal / Superior</t>
        </is>
      </c>
      <c r="C111" s="108" t="inlineStr">
        <is>
          <t>YO-PYM-S-T</t>
        </is>
      </c>
      <c r="D111" s="94" t="n">
        <v>1050</v>
      </c>
      <c r="E111" s="107" t="n"/>
      <c r="F111" s="96" t="n">
        <v>85</v>
      </c>
      <c r="G111" s="94" t="n">
        <v>5705</v>
      </c>
      <c r="H111" s="97" t="n">
        <v>0.05</v>
      </c>
      <c r="I111" s="96">
        <f>D111*H111</f>
        <v/>
      </c>
      <c r="J111" s="107" t="n"/>
      <c r="K111" s="96" t="n">
        <v>100</v>
      </c>
      <c r="L111" s="98">
        <f>K111+J111+I111+F111+E111+D111</f>
        <v/>
      </c>
      <c r="M111" s="96">
        <f>D111*1%</f>
        <v/>
      </c>
      <c r="N111" s="99">
        <f>L111*8%</f>
        <v/>
      </c>
      <c r="O111" s="99">
        <f>L111*10%</f>
        <v/>
      </c>
      <c r="P111" s="99">
        <f>L111*5%</f>
        <v/>
      </c>
      <c r="Q111" s="99">
        <f>L111*2%</f>
        <v/>
      </c>
      <c r="R111" s="99">
        <f>AC111*0.5%</f>
        <v/>
      </c>
      <c r="S111" s="99">
        <f>L111*1%</f>
        <v/>
      </c>
      <c r="T111" s="100">
        <f>S111+Q111+P111+O111+N111+M111</f>
        <v/>
      </c>
      <c r="U111" s="96">
        <f>AC111*1%</f>
        <v/>
      </c>
      <c r="V111" s="44">
        <f>AC111*5%</f>
        <v/>
      </c>
      <c r="W111" s="96">
        <f>AC111*1%</f>
        <v/>
      </c>
      <c r="X111" s="96">
        <f>AC111*8%</f>
        <v/>
      </c>
      <c r="Y111" s="96">
        <f>U111+V111+W111+X111</f>
        <v/>
      </c>
      <c r="Z111" s="100">
        <f>Y111+T111+L111</f>
        <v/>
      </c>
      <c r="AA111" s="101">
        <f>Z111*20%</f>
        <v/>
      </c>
      <c r="AB111" s="99">
        <f>Z111+AA111</f>
        <v/>
      </c>
      <c r="AC111" s="96">
        <f>D111*2.1</f>
        <v/>
      </c>
      <c r="AD111" s="99">
        <f>AB111-AC111</f>
        <v/>
      </c>
      <c r="AE111" s="99">
        <f>AD111/AB111*100</f>
        <v/>
      </c>
      <c r="AF111" s="107" t="n"/>
      <c r="AG111" s="102">
        <f>((AF111-L111)/L111)*100</f>
        <v/>
      </c>
      <c r="AH111" s="106">
        <f>AJ111-AF111</f>
        <v/>
      </c>
      <c r="AI111" s="106">
        <f>AB111</f>
        <v/>
      </c>
      <c r="AJ111" s="106" t="n">
        <v>1795</v>
      </c>
      <c r="AK111" s="14">
        <f>(AJ111-L111)/L111*100</f>
        <v/>
      </c>
      <c r="AL111" s="14" t="n"/>
      <c r="AM111" s="14">
        <f>AH111/AJ111%</f>
        <v/>
      </c>
      <c r="AN111" s="14">
        <f>AK111-AG111</f>
        <v/>
      </c>
      <c r="AO111" s="103">
        <f>AJ111/L111</f>
        <v/>
      </c>
      <c r="AP111" s="14">
        <f>(AJ111-AB111)/100</f>
        <v/>
      </c>
      <c r="AQ111" s="14">
        <f>(AJ111-AC111)/100</f>
        <v/>
      </c>
      <c r="AR111" s="104">
        <f>AI111/94</f>
        <v/>
      </c>
      <c r="AS111" s="104">
        <f>AJ111/94</f>
        <v/>
      </c>
      <c r="AT111" s="105">
        <f>AI111/24</f>
        <v/>
      </c>
      <c r="AU111" s="105">
        <f>AJ111/24</f>
        <v/>
      </c>
      <c r="AV111" s="105">
        <f>AI111/125</f>
        <v/>
      </c>
      <c r="AW111" s="105">
        <f>AJ111/125</f>
        <v/>
      </c>
      <c r="AX111" s="107" t="n"/>
      <c r="AY111" s="107" t="n"/>
    </row>
    <row r="112" ht="15.75" customHeight="1" s="258">
      <c r="A112" s="96" t="n"/>
      <c r="B112" s="96" t="inlineStr">
        <is>
          <t>Moderate / Orange</t>
        </is>
      </c>
      <c r="C112" s="108" t="inlineStr">
        <is>
          <t>YO-PYM-M-O</t>
        </is>
      </c>
      <c r="D112" s="94" t="n">
        <v>950</v>
      </c>
      <c r="E112" s="107" t="n"/>
      <c r="F112" s="96" t="n">
        <v>85</v>
      </c>
      <c r="G112" s="94" t="n">
        <v>5705</v>
      </c>
      <c r="H112" s="97" t="n">
        <v>0.05</v>
      </c>
      <c r="I112" s="96">
        <f>D112*H112</f>
        <v/>
      </c>
      <c r="J112" s="107" t="n"/>
      <c r="K112" s="96" t="n">
        <v>100</v>
      </c>
      <c r="L112" s="98">
        <f>K112+J112+I112+F112+E112+D112</f>
        <v/>
      </c>
      <c r="M112" s="96">
        <f>D112*1%</f>
        <v/>
      </c>
      <c r="N112" s="99">
        <f>L112*8%</f>
        <v/>
      </c>
      <c r="O112" s="99">
        <f>L112*10%</f>
        <v/>
      </c>
      <c r="P112" s="99">
        <f>L112*5%</f>
        <v/>
      </c>
      <c r="Q112" s="99">
        <f>L112*2%</f>
        <v/>
      </c>
      <c r="R112" s="99">
        <f>AC112*0.5%</f>
        <v/>
      </c>
      <c r="S112" s="99">
        <f>L112*1%</f>
        <v/>
      </c>
      <c r="T112" s="100">
        <f>S112+Q112+P112+O112+N112+M112</f>
        <v/>
      </c>
      <c r="U112" s="96">
        <f>AC112*1%</f>
        <v/>
      </c>
      <c r="V112" s="44">
        <f>AC112*5%</f>
        <v/>
      </c>
      <c r="W112" s="96">
        <f>AC112*1%</f>
        <v/>
      </c>
      <c r="X112" s="96">
        <f>AC112*8%</f>
        <v/>
      </c>
      <c r="Y112" s="96">
        <f>U112+V112+W112+X112</f>
        <v/>
      </c>
      <c r="Z112" s="100">
        <f>Y112+T112+L112</f>
        <v/>
      </c>
      <c r="AA112" s="101">
        <f>Z112*20%</f>
        <v/>
      </c>
      <c r="AB112" s="99">
        <f>Z112+AA112</f>
        <v/>
      </c>
      <c r="AC112" s="96">
        <f>D112*2.1</f>
        <v/>
      </c>
      <c r="AD112" s="99">
        <f>AB112-AC112</f>
        <v/>
      </c>
      <c r="AE112" s="99">
        <f>AD112/AB112*100</f>
        <v/>
      </c>
      <c r="AF112" s="107" t="n"/>
      <c r="AG112" s="102">
        <f>((AF112-L112)/L112)*100</f>
        <v/>
      </c>
      <c r="AH112" s="106">
        <f>AJ112-AF112</f>
        <v/>
      </c>
      <c r="AI112" s="106">
        <f>AB112</f>
        <v/>
      </c>
      <c r="AJ112" s="106" t="n">
        <v>1645</v>
      </c>
      <c r="AK112" s="14">
        <f>(AJ112-L112)/L112*100</f>
        <v/>
      </c>
      <c r="AL112" s="14" t="n"/>
      <c r="AM112" s="14">
        <f>AH112/AJ112%</f>
        <v/>
      </c>
      <c r="AN112" s="14">
        <f>AK112-AG112</f>
        <v/>
      </c>
      <c r="AO112" s="103">
        <f>AJ112/L112</f>
        <v/>
      </c>
      <c r="AP112" s="14">
        <f>(AJ112-AB112)/100</f>
        <v/>
      </c>
      <c r="AQ112" s="14">
        <f>(AJ112-AC112)/100</f>
        <v/>
      </c>
      <c r="AR112" s="104">
        <f>AI112/94</f>
        <v/>
      </c>
      <c r="AS112" s="104">
        <f>AJ112/94</f>
        <v/>
      </c>
      <c r="AT112" s="105">
        <f>AI112/24</f>
        <v/>
      </c>
      <c r="AU112" s="105">
        <f>AJ112/24</f>
        <v/>
      </c>
      <c r="AV112" s="105">
        <f>AI112/125</f>
        <v/>
      </c>
      <c r="AW112" s="105">
        <f>AJ112/125</f>
        <v/>
      </c>
      <c r="AX112" s="107" t="n"/>
      <c r="AY112" s="107" t="n"/>
    </row>
    <row r="113" ht="15.75" customHeight="1" s="258">
      <c r="A113" s="96" t="n"/>
      <c r="B113" s="96" t="inlineStr">
        <is>
          <t>Orange / Superior</t>
        </is>
      </c>
      <c r="C113" s="108" t="inlineStr">
        <is>
          <t>YO-PYM-S-O</t>
        </is>
      </c>
      <c r="D113" s="94" t="n">
        <v>1050</v>
      </c>
      <c r="E113" s="107" t="n"/>
      <c r="F113" s="96" t="n">
        <v>85</v>
      </c>
      <c r="G113" s="94" t="n">
        <v>5705</v>
      </c>
      <c r="H113" s="97" t="n">
        <v>0.05</v>
      </c>
      <c r="I113" s="96">
        <f>D113*H113</f>
        <v/>
      </c>
      <c r="J113" s="107" t="n"/>
      <c r="K113" s="96" t="n">
        <v>100</v>
      </c>
      <c r="L113" s="98">
        <f>K113+J113+I113+F113+E113+D113</f>
        <v/>
      </c>
      <c r="M113" s="96">
        <f>D113*1%</f>
        <v/>
      </c>
      <c r="N113" s="99">
        <f>L113*8%</f>
        <v/>
      </c>
      <c r="O113" s="99">
        <f>L113*10%</f>
        <v/>
      </c>
      <c r="P113" s="99">
        <f>L113*5%</f>
        <v/>
      </c>
      <c r="Q113" s="99">
        <f>L113*2%</f>
        <v/>
      </c>
      <c r="R113" s="99">
        <f>AC113*0.5%</f>
        <v/>
      </c>
      <c r="S113" s="99">
        <f>L113*1%</f>
        <v/>
      </c>
      <c r="T113" s="100">
        <f>S113+Q113+P113+O113+N113+M113</f>
        <v/>
      </c>
      <c r="U113" s="96">
        <f>AC113*1%</f>
        <v/>
      </c>
      <c r="V113" s="44">
        <f>AC113*5%</f>
        <v/>
      </c>
      <c r="W113" s="96">
        <f>AC113*1%</f>
        <v/>
      </c>
      <c r="X113" s="96">
        <f>AC113*8%</f>
        <v/>
      </c>
      <c r="Y113" s="96">
        <f>U113+V113+W113+X113</f>
        <v/>
      </c>
      <c r="Z113" s="100">
        <f>Y113+T113+L113</f>
        <v/>
      </c>
      <c r="AA113" s="101">
        <f>Z113*20%</f>
        <v/>
      </c>
      <c r="AB113" s="99">
        <f>Z113+AA113</f>
        <v/>
      </c>
      <c r="AC113" s="96">
        <f>D113*2.1</f>
        <v/>
      </c>
      <c r="AD113" s="99">
        <f>AB113-AC113</f>
        <v/>
      </c>
      <c r="AE113" s="99">
        <f>AD113/AB113*100</f>
        <v/>
      </c>
      <c r="AF113" s="107" t="n"/>
      <c r="AG113" s="102">
        <f>((AF113-L113)/L113)*100</f>
        <v/>
      </c>
      <c r="AH113" s="106">
        <f>AJ113-AF113</f>
        <v/>
      </c>
      <c r="AI113" s="106">
        <f>AB113</f>
        <v/>
      </c>
      <c r="AJ113" s="106" t="n">
        <v>1795</v>
      </c>
      <c r="AK113" s="14">
        <f>(AJ113-L113)/L113*100</f>
        <v/>
      </c>
      <c r="AL113" s="14" t="n"/>
      <c r="AM113" s="14">
        <f>AH113/AJ113%</f>
        <v/>
      </c>
      <c r="AN113" s="14">
        <f>AK113-AG113</f>
        <v/>
      </c>
      <c r="AO113" s="103">
        <f>AJ113/L113</f>
        <v/>
      </c>
      <c r="AP113" s="14">
        <f>(AJ113-AB113)/100</f>
        <v/>
      </c>
      <c r="AQ113" s="14">
        <f>(AJ113-AC113)/100</f>
        <v/>
      </c>
      <c r="AR113" s="104">
        <f>AI113/94</f>
        <v/>
      </c>
      <c r="AS113" s="104">
        <f>AJ113/94</f>
        <v/>
      </c>
      <c r="AT113" s="105">
        <f>AI113/24</f>
        <v/>
      </c>
      <c r="AU113" s="105">
        <f>AJ113/24</f>
        <v/>
      </c>
      <c r="AV113" s="105">
        <f>AI113/125</f>
        <v/>
      </c>
      <c r="AW113" s="105">
        <f>AJ113/125</f>
        <v/>
      </c>
      <c r="AX113" s="107" t="n"/>
      <c r="AY113" s="107" t="n"/>
    </row>
    <row r="114" ht="15.75" customHeight="1" s="258">
      <c r="A114" s="96" t="n"/>
      <c r="B114" s="96" t="inlineStr">
        <is>
          <t>Moderate / Yellow</t>
        </is>
      </c>
      <c r="C114" s="108" t="inlineStr">
        <is>
          <t>YO-PYM-M-Y</t>
        </is>
      </c>
      <c r="D114" s="94" t="n">
        <v>950</v>
      </c>
      <c r="E114" s="107" t="n"/>
      <c r="F114" s="96" t="n">
        <v>85</v>
      </c>
      <c r="G114" s="94" t="n">
        <v>5705</v>
      </c>
      <c r="H114" s="97" t="n">
        <v>0.05</v>
      </c>
      <c r="I114" s="96">
        <f>D114*H114</f>
        <v/>
      </c>
      <c r="J114" s="107" t="n"/>
      <c r="K114" s="96" t="n">
        <v>100</v>
      </c>
      <c r="L114" s="98">
        <f>K114+J114+I114+F114+E114+D114</f>
        <v/>
      </c>
      <c r="M114" s="96">
        <f>D114*1%</f>
        <v/>
      </c>
      <c r="N114" s="99">
        <f>L114*8%</f>
        <v/>
      </c>
      <c r="O114" s="99">
        <f>L114*10%</f>
        <v/>
      </c>
      <c r="P114" s="99">
        <f>L114*5%</f>
        <v/>
      </c>
      <c r="Q114" s="99">
        <f>L114*2%</f>
        <v/>
      </c>
      <c r="R114" s="99">
        <f>AC114*0.5%</f>
        <v/>
      </c>
      <c r="S114" s="99">
        <f>L114*1%</f>
        <v/>
      </c>
      <c r="T114" s="100">
        <f>S114+Q114+P114+O114+N114+M114</f>
        <v/>
      </c>
      <c r="U114" s="96">
        <f>AC114*1%</f>
        <v/>
      </c>
      <c r="V114" s="44">
        <f>AC114*5%</f>
        <v/>
      </c>
      <c r="W114" s="96">
        <f>AC114*1%</f>
        <v/>
      </c>
      <c r="X114" s="96">
        <f>AC114*8%</f>
        <v/>
      </c>
      <c r="Y114" s="96">
        <f>U114+V114+W114+X114</f>
        <v/>
      </c>
      <c r="Z114" s="100">
        <f>Y114+T114+L114</f>
        <v/>
      </c>
      <c r="AA114" s="101">
        <f>Z114*20%</f>
        <v/>
      </c>
      <c r="AB114" s="99">
        <f>Z114+AA114</f>
        <v/>
      </c>
      <c r="AC114" s="96">
        <f>D114*2.1</f>
        <v/>
      </c>
      <c r="AD114" s="99">
        <f>AB114-AC114</f>
        <v/>
      </c>
      <c r="AE114" s="99">
        <f>AD114/AB114*100</f>
        <v/>
      </c>
      <c r="AF114" s="107" t="n"/>
      <c r="AG114" s="102">
        <f>((AF114-L114)/L114)*100</f>
        <v/>
      </c>
      <c r="AH114" s="106">
        <f>AJ114-AF114</f>
        <v/>
      </c>
      <c r="AI114" s="106">
        <f>AB114</f>
        <v/>
      </c>
      <c r="AJ114" s="106" t="n">
        <v>1645</v>
      </c>
      <c r="AK114" s="14">
        <f>(AJ114-L114)/L114*100</f>
        <v/>
      </c>
      <c r="AL114" s="14" t="n"/>
      <c r="AM114" s="14">
        <f>AH114/AJ114%</f>
        <v/>
      </c>
      <c r="AN114" s="14">
        <f>AK114-AG114</f>
        <v/>
      </c>
      <c r="AO114" s="103">
        <f>AJ114/L114</f>
        <v/>
      </c>
      <c r="AP114" s="14">
        <f>(AJ114-AB114)/100</f>
        <v/>
      </c>
      <c r="AQ114" s="14">
        <f>(AJ114-AC114)/100</f>
        <v/>
      </c>
      <c r="AR114" s="104">
        <f>AI114/94</f>
        <v/>
      </c>
      <c r="AS114" s="104">
        <f>AJ114/94</f>
        <v/>
      </c>
      <c r="AT114" s="105">
        <f>AI114/24</f>
        <v/>
      </c>
      <c r="AU114" s="105">
        <f>AJ114/24</f>
        <v/>
      </c>
      <c r="AV114" s="105">
        <f>AI114/125</f>
        <v/>
      </c>
      <c r="AW114" s="105">
        <f>AJ114/125</f>
        <v/>
      </c>
      <c r="AX114" s="107" t="n"/>
      <c r="AY114" s="107" t="n"/>
    </row>
    <row r="115" ht="15.75" customHeight="1" s="258">
      <c r="A115" s="96" t="n"/>
      <c r="B115" s="96" t="inlineStr">
        <is>
          <t>Yellow / Superior</t>
        </is>
      </c>
      <c r="C115" s="108" t="inlineStr">
        <is>
          <t>YO-PYM-S-Y</t>
        </is>
      </c>
      <c r="D115" s="94" t="n">
        <v>1050</v>
      </c>
      <c r="E115" s="107" t="n"/>
      <c r="F115" s="96" t="n">
        <v>85</v>
      </c>
      <c r="G115" s="94" t="n">
        <v>5705</v>
      </c>
      <c r="H115" s="97" t="n">
        <v>0.05</v>
      </c>
      <c r="I115" s="96">
        <f>D115*H115</f>
        <v/>
      </c>
      <c r="J115" s="107" t="n"/>
      <c r="K115" s="96" t="n">
        <v>100</v>
      </c>
      <c r="L115" s="98">
        <f>K115+J115+I115+F115+E115+D115</f>
        <v/>
      </c>
      <c r="M115" s="96">
        <f>D115*1%</f>
        <v/>
      </c>
      <c r="N115" s="99">
        <f>L115*8%</f>
        <v/>
      </c>
      <c r="O115" s="99">
        <f>L115*10%</f>
        <v/>
      </c>
      <c r="P115" s="99">
        <f>L115*5%</f>
        <v/>
      </c>
      <c r="Q115" s="99">
        <f>L115*2%</f>
        <v/>
      </c>
      <c r="R115" s="99">
        <f>AC115*0.5%</f>
        <v/>
      </c>
      <c r="S115" s="99">
        <f>L115*1%</f>
        <v/>
      </c>
      <c r="T115" s="100">
        <f>S115+Q115+P115+O115+N115+M115</f>
        <v/>
      </c>
      <c r="U115" s="96">
        <f>AC115*1%</f>
        <v/>
      </c>
      <c r="V115" s="44">
        <f>AC115*5%</f>
        <v/>
      </c>
      <c r="W115" s="96">
        <f>AC115*1%</f>
        <v/>
      </c>
      <c r="X115" s="96">
        <f>AC115*8%</f>
        <v/>
      </c>
      <c r="Y115" s="96">
        <f>U115+V115+W115+X115</f>
        <v/>
      </c>
      <c r="Z115" s="100">
        <f>Y115+T115+L115</f>
        <v/>
      </c>
      <c r="AA115" s="101">
        <f>Z115*20%</f>
        <v/>
      </c>
      <c r="AB115" s="99">
        <f>Z115+AA115</f>
        <v/>
      </c>
      <c r="AC115" s="96">
        <f>D115*2.1</f>
        <v/>
      </c>
      <c r="AD115" s="99">
        <f>AB115-AC115</f>
        <v/>
      </c>
      <c r="AE115" s="99">
        <f>AD115/AB115*100</f>
        <v/>
      </c>
      <c r="AF115" s="107" t="n"/>
      <c r="AG115" s="102">
        <f>((AF115-L115)/L115)*100</f>
        <v/>
      </c>
      <c r="AH115" s="106">
        <f>AJ115-AF115</f>
        <v/>
      </c>
      <c r="AI115" s="106">
        <f>AB115</f>
        <v/>
      </c>
      <c r="AJ115" s="106" t="n">
        <v>1795</v>
      </c>
      <c r="AK115" s="14">
        <f>(AJ115-L115)/L115*100</f>
        <v/>
      </c>
      <c r="AL115" s="14" t="n"/>
      <c r="AM115" s="14">
        <f>AH115/AJ115%</f>
        <v/>
      </c>
      <c r="AN115" s="14">
        <f>AK115-AG115</f>
        <v/>
      </c>
      <c r="AO115" s="103">
        <f>AJ115/L115</f>
        <v/>
      </c>
      <c r="AP115" s="14">
        <f>(AJ115-AB115)/100</f>
        <v/>
      </c>
      <c r="AQ115" s="14">
        <f>(AJ115-AC115)/100</f>
        <v/>
      </c>
      <c r="AR115" s="104">
        <f>AI115/94</f>
        <v/>
      </c>
      <c r="AS115" s="104">
        <f>AJ115/94</f>
        <v/>
      </c>
      <c r="AT115" s="105">
        <f>AI115/24</f>
        <v/>
      </c>
      <c r="AU115" s="105">
        <f>AJ115/24</f>
        <v/>
      </c>
      <c r="AV115" s="105">
        <f>AI115/125</f>
        <v/>
      </c>
      <c r="AW115" s="105">
        <f>AJ115/125</f>
        <v/>
      </c>
      <c r="AX115" s="107" t="n"/>
      <c r="AY115" s="107" t="n"/>
    </row>
    <row r="116" ht="15.75" customHeight="1" s="258">
      <c r="A116" s="96" t="n"/>
      <c r="B116" s="96" t="inlineStr">
        <is>
          <t>Moderate / Pink</t>
        </is>
      </c>
      <c r="C116" s="108" t="inlineStr">
        <is>
          <t>YO-PYM-M-P</t>
        </is>
      </c>
      <c r="D116" s="94" t="n">
        <v>950</v>
      </c>
      <c r="E116" s="107" t="n"/>
      <c r="F116" s="96" t="n">
        <v>85</v>
      </c>
      <c r="G116" s="94" t="n">
        <v>5705</v>
      </c>
      <c r="H116" s="97" t="n">
        <v>0.05</v>
      </c>
      <c r="I116" s="96">
        <f>D116*H116</f>
        <v/>
      </c>
      <c r="J116" s="107" t="n"/>
      <c r="K116" s="96" t="n">
        <v>100</v>
      </c>
      <c r="L116" s="98">
        <f>K116+J116+I116+F116+E116+D116</f>
        <v/>
      </c>
      <c r="M116" s="96">
        <f>D116*1%</f>
        <v/>
      </c>
      <c r="N116" s="99">
        <f>L116*8%</f>
        <v/>
      </c>
      <c r="O116" s="99">
        <f>L116*10%</f>
        <v/>
      </c>
      <c r="P116" s="99">
        <f>L116*5%</f>
        <v/>
      </c>
      <c r="Q116" s="99">
        <f>L116*2%</f>
        <v/>
      </c>
      <c r="R116" s="99">
        <f>AC116*0.5%</f>
        <v/>
      </c>
      <c r="S116" s="99">
        <f>L116*1%</f>
        <v/>
      </c>
      <c r="T116" s="100">
        <f>S116+Q116+P116+O116+N116+M116</f>
        <v/>
      </c>
      <c r="U116" s="96">
        <f>AC116*1%</f>
        <v/>
      </c>
      <c r="V116" s="44">
        <f>AC116*5%</f>
        <v/>
      </c>
      <c r="W116" s="96">
        <f>AC116*1%</f>
        <v/>
      </c>
      <c r="X116" s="96">
        <f>AC116*8%</f>
        <v/>
      </c>
      <c r="Y116" s="96">
        <f>U116+V116+W116+X116</f>
        <v/>
      </c>
      <c r="Z116" s="100">
        <f>Y116+T116+L116</f>
        <v/>
      </c>
      <c r="AA116" s="101">
        <f>Z116*20%</f>
        <v/>
      </c>
      <c r="AB116" s="99">
        <f>Z116+AA116</f>
        <v/>
      </c>
      <c r="AC116" s="96">
        <f>D116*2.1</f>
        <v/>
      </c>
      <c r="AD116" s="99">
        <f>AB116-AC116</f>
        <v/>
      </c>
      <c r="AE116" s="99">
        <f>AD116/AB116*100</f>
        <v/>
      </c>
      <c r="AF116" s="107" t="n"/>
      <c r="AG116" s="102">
        <f>((AF116-L116)/L116)*100</f>
        <v/>
      </c>
      <c r="AH116" s="106">
        <f>AJ116-AF116</f>
        <v/>
      </c>
      <c r="AI116" s="106">
        <f>AB116</f>
        <v/>
      </c>
      <c r="AJ116" s="106" t="n">
        <v>1645</v>
      </c>
      <c r="AK116" s="14">
        <f>(AJ116-L116)/L116*100</f>
        <v/>
      </c>
      <c r="AL116" s="14" t="n"/>
      <c r="AM116" s="14">
        <f>AH116/AJ116%</f>
        <v/>
      </c>
      <c r="AN116" s="14">
        <f>AK116-AG116</f>
        <v/>
      </c>
      <c r="AO116" s="103">
        <f>AJ116/L116</f>
        <v/>
      </c>
      <c r="AP116" s="14">
        <f>(AJ116-AB116)/100</f>
        <v/>
      </c>
      <c r="AQ116" s="14">
        <f>(AJ116-AC116)/100</f>
        <v/>
      </c>
      <c r="AR116" s="104">
        <f>AI116/94</f>
        <v/>
      </c>
      <c r="AS116" s="104">
        <f>AJ116/94</f>
        <v/>
      </c>
      <c r="AT116" s="105">
        <f>AI116/24</f>
        <v/>
      </c>
      <c r="AU116" s="105">
        <f>AJ116/24</f>
        <v/>
      </c>
      <c r="AV116" s="105">
        <f>AI116/125</f>
        <v/>
      </c>
      <c r="AW116" s="105">
        <f>AJ116/125</f>
        <v/>
      </c>
      <c r="AX116" s="107" t="n"/>
      <c r="AY116" s="107" t="n"/>
    </row>
    <row r="117" ht="15.75" customHeight="1" s="258">
      <c r="A117" s="96" t="n"/>
      <c r="B117" s="96" t="inlineStr">
        <is>
          <t>Pink / Superior</t>
        </is>
      </c>
      <c r="C117" s="108" t="inlineStr">
        <is>
          <t>YO-PYM-S-P</t>
        </is>
      </c>
      <c r="D117" s="94" t="n">
        <v>1050</v>
      </c>
      <c r="E117" s="107" t="n"/>
      <c r="F117" s="96" t="n">
        <v>85</v>
      </c>
      <c r="G117" s="94" t="n">
        <v>5705</v>
      </c>
      <c r="H117" s="97" t="n">
        <v>0.05</v>
      </c>
      <c r="I117" s="96">
        <f>D117*H117</f>
        <v/>
      </c>
      <c r="J117" s="107" t="n"/>
      <c r="K117" s="96" t="n">
        <v>100</v>
      </c>
      <c r="L117" s="98">
        <f>K117+J117+I117+F117+E117+D117</f>
        <v/>
      </c>
      <c r="M117" s="96">
        <f>D117*1%</f>
        <v/>
      </c>
      <c r="N117" s="99">
        <f>L117*8%</f>
        <v/>
      </c>
      <c r="O117" s="99">
        <f>L117*10%</f>
        <v/>
      </c>
      <c r="P117" s="99">
        <f>L117*5%</f>
        <v/>
      </c>
      <c r="Q117" s="99">
        <f>L117*2%</f>
        <v/>
      </c>
      <c r="R117" s="99">
        <f>AC117*0.5%</f>
        <v/>
      </c>
      <c r="S117" s="99">
        <f>L117*1%</f>
        <v/>
      </c>
      <c r="T117" s="100">
        <f>S117+Q117+P117+O117+N117+M117</f>
        <v/>
      </c>
      <c r="U117" s="96">
        <f>AC117*1%</f>
        <v/>
      </c>
      <c r="V117" s="44">
        <f>AC117*5%</f>
        <v/>
      </c>
      <c r="W117" s="96">
        <f>AC117*1%</f>
        <v/>
      </c>
      <c r="X117" s="96">
        <f>AC117*8%</f>
        <v/>
      </c>
      <c r="Y117" s="96">
        <f>U117+V117+W117+X117</f>
        <v/>
      </c>
      <c r="Z117" s="100">
        <f>Y117+T117+L117</f>
        <v/>
      </c>
      <c r="AA117" s="101">
        <f>Z117*20%</f>
        <v/>
      </c>
      <c r="AB117" s="99">
        <f>Z117+AA117</f>
        <v/>
      </c>
      <c r="AC117" s="96">
        <f>D117*2.1</f>
        <v/>
      </c>
      <c r="AD117" s="99">
        <f>AB117-AC117</f>
        <v/>
      </c>
      <c r="AE117" s="99">
        <f>AD117/AB117*100</f>
        <v/>
      </c>
      <c r="AF117" s="107" t="n"/>
      <c r="AG117" s="102">
        <f>((AF117-L117)/L117)*100</f>
        <v/>
      </c>
      <c r="AH117" s="106">
        <f>AJ117-AF117</f>
        <v/>
      </c>
      <c r="AI117" s="106">
        <f>AB117</f>
        <v/>
      </c>
      <c r="AJ117" s="106" t="n">
        <v>1795</v>
      </c>
      <c r="AK117" s="14">
        <f>(AJ117-L117)/L117*100</f>
        <v/>
      </c>
      <c r="AL117" s="14" t="n"/>
      <c r="AM117" s="14">
        <f>AH117/AJ117%</f>
        <v/>
      </c>
      <c r="AN117" s="14">
        <f>AK117-AG117</f>
        <v/>
      </c>
      <c r="AO117" s="103">
        <f>AJ117/L117</f>
        <v/>
      </c>
      <c r="AP117" s="14">
        <f>(AJ117-AB117)/100</f>
        <v/>
      </c>
      <c r="AQ117" s="14">
        <f>(AJ117-AC117)/100</f>
        <v/>
      </c>
      <c r="AR117" s="104">
        <f>AI117/94</f>
        <v/>
      </c>
      <c r="AS117" s="104">
        <f>AJ117/94</f>
        <v/>
      </c>
      <c r="AT117" s="105">
        <f>AI117/24</f>
        <v/>
      </c>
      <c r="AU117" s="105">
        <f>AJ117/24</f>
        <v/>
      </c>
      <c r="AV117" s="105">
        <f>AI117/125</f>
        <v/>
      </c>
      <c r="AW117" s="105">
        <f>AJ117/125</f>
        <v/>
      </c>
      <c r="AX117" s="107" t="n"/>
      <c r="AY117" s="107" t="n"/>
    </row>
    <row r="118" ht="15" customHeight="1" s="258">
      <c r="A118" s="2" t="inlineStr">
        <is>
          <t>Macrame Yoga Mat Straps</t>
        </is>
      </c>
      <c r="B118" s="2" t="inlineStr">
        <is>
          <t>Green</t>
        </is>
      </c>
      <c r="C118" s="2" t="inlineStr">
        <is>
          <t>Yo-MC-MS-G</t>
        </is>
      </c>
      <c r="D118" s="118" t="n">
        <v>250</v>
      </c>
      <c r="F118" s="2" t="n">
        <v>50</v>
      </c>
      <c r="G118" s="118" t="n">
        <v>94041000</v>
      </c>
      <c r="H118" s="255" t="n">
        <v>0.18</v>
      </c>
      <c r="I118" s="2">
        <f>D118*H118</f>
        <v/>
      </c>
      <c r="K118" s="2" t="n">
        <v>50</v>
      </c>
      <c r="L118" s="4">
        <f>K118+J118+I118+F118+E118+D118</f>
        <v/>
      </c>
      <c r="M118" s="2">
        <f>D118*1%</f>
        <v/>
      </c>
      <c r="N118" s="12">
        <f>L118*8%</f>
        <v/>
      </c>
      <c r="O118" s="12">
        <f>L118*10%</f>
        <v/>
      </c>
      <c r="P118" s="12">
        <f>L118*5%</f>
        <v/>
      </c>
      <c r="Q118" s="12">
        <f>L118*2%</f>
        <v/>
      </c>
      <c r="R118" s="12">
        <f>AC118*0.5%</f>
        <v/>
      </c>
      <c r="S118" s="12">
        <f>L118*1%</f>
        <v/>
      </c>
      <c r="T118" s="60">
        <f>S118+Q118+P118+O118+N118+M118</f>
        <v/>
      </c>
      <c r="U118" s="2">
        <f>AC118*1%</f>
        <v/>
      </c>
      <c r="V118" s="44">
        <f>AC118*5%</f>
        <v/>
      </c>
      <c r="W118" s="2">
        <f>AC118*1%</f>
        <v/>
      </c>
      <c r="X118" s="2">
        <f>AC118*8%</f>
        <v/>
      </c>
      <c r="Y118" s="2">
        <f>U118+V118+W118+X118</f>
        <v/>
      </c>
      <c r="Z118" s="60">
        <f>Y118+T118+L118</f>
        <v/>
      </c>
      <c r="AA118" s="11">
        <f>Z118*20%</f>
        <v/>
      </c>
      <c r="AB118" s="12">
        <f>Z118+AA118</f>
        <v/>
      </c>
      <c r="AC118" s="2">
        <f>D118*2.1</f>
        <v/>
      </c>
      <c r="AD118" s="12">
        <f>AB118-AC118</f>
        <v/>
      </c>
      <c r="AE118" s="12">
        <f>AD118/AB118*100</f>
        <v/>
      </c>
      <c r="AF118" s="92" t="n">
        <v>585</v>
      </c>
      <c r="AG118" s="62">
        <f>((AF118-L118)/L118)*100</f>
        <v/>
      </c>
      <c r="AH118" s="106">
        <f>AJ118-AF118</f>
        <v/>
      </c>
      <c r="AI118" s="65" t="n">
        <v>790</v>
      </c>
      <c r="AJ118" s="65" t="n">
        <v>595</v>
      </c>
      <c r="AK118" s="66">
        <f>(AJ118-L118)/L118*100</f>
        <v/>
      </c>
      <c r="AL118" s="66" t="n"/>
      <c r="AM118" s="14">
        <f>AH118/AJ118%</f>
        <v/>
      </c>
      <c r="AN118" s="67">
        <f>AK118-AG118</f>
        <v/>
      </c>
      <c r="AO118" s="68">
        <f>AJ118/L118</f>
        <v/>
      </c>
      <c r="AP118" s="69">
        <f>(AJ118-AB118)/100</f>
        <v/>
      </c>
      <c r="AQ118" s="70">
        <f>(AJ118-AC118)/100</f>
        <v/>
      </c>
      <c r="AR118" s="71">
        <f>AI118/94</f>
        <v/>
      </c>
      <c r="AS118" s="71">
        <f>AJ118/94</f>
        <v/>
      </c>
      <c r="AT118" s="72">
        <f>AI118/24</f>
        <v/>
      </c>
      <c r="AU118" s="72">
        <f>AJ118/24</f>
        <v/>
      </c>
      <c r="AV118" s="73">
        <f>AI118/125</f>
        <v/>
      </c>
      <c r="AW118" s="73">
        <f>AJ118/125</f>
        <v/>
      </c>
    </row>
    <row r="119" ht="15.75" customHeight="1" s="258">
      <c r="A119" s="2" t="n"/>
      <c r="B119" s="2" t="inlineStr">
        <is>
          <t>Brown</t>
        </is>
      </c>
      <c r="C119" s="2" t="inlineStr">
        <is>
          <t>Yo-MC-MS-B</t>
        </is>
      </c>
      <c r="D119" s="118" t="n">
        <v>250</v>
      </c>
      <c r="F119" s="2" t="n">
        <v>50</v>
      </c>
      <c r="G119" s="118" t="n">
        <v>94041000</v>
      </c>
      <c r="H119" s="255" t="n">
        <v>0.18</v>
      </c>
      <c r="I119" s="2">
        <f>D119*H119</f>
        <v/>
      </c>
      <c r="K119" s="2" t="n">
        <v>50</v>
      </c>
      <c r="L119" s="4">
        <f>K119+J119+I119+F119+E119+D119</f>
        <v/>
      </c>
      <c r="M119" s="2">
        <f>D119*1%</f>
        <v/>
      </c>
      <c r="N119" s="12">
        <f>L119*8%</f>
        <v/>
      </c>
      <c r="O119" s="12">
        <f>L119*10%</f>
        <v/>
      </c>
      <c r="P119" s="12">
        <f>L119*5%</f>
        <v/>
      </c>
      <c r="Q119" s="12">
        <f>L119*2%</f>
        <v/>
      </c>
      <c r="R119" s="12">
        <f>AC119*0.5%</f>
        <v/>
      </c>
      <c r="S119" s="12">
        <f>L119*1%</f>
        <v/>
      </c>
      <c r="T119" s="60">
        <f>S119+Q119+P119+O119+N119+M119</f>
        <v/>
      </c>
      <c r="U119" s="2">
        <f>AC119*1%</f>
        <v/>
      </c>
      <c r="V119" s="44">
        <f>AC119*5%</f>
        <v/>
      </c>
      <c r="W119" s="2">
        <f>AC119*1%</f>
        <v/>
      </c>
      <c r="X119" s="2">
        <f>AC119*8%</f>
        <v/>
      </c>
      <c r="Y119" s="2">
        <f>U119+V119+W119+X119</f>
        <v/>
      </c>
      <c r="Z119" s="60">
        <f>Y119+T119+L119</f>
        <v/>
      </c>
      <c r="AA119" s="11">
        <f>Z119*20%</f>
        <v/>
      </c>
      <c r="AB119" s="12">
        <f>Z119+AA119</f>
        <v/>
      </c>
      <c r="AC119" s="2">
        <f>D119*2.1</f>
        <v/>
      </c>
      <c r="AD119" s="12">
        <f>AB119-AC119</f>
        <v/>
      </c>
      <c r="AE119" s="12">
        <f>AD119/AB119*100</f>
        <v/>
      </c>
      <c r="AF119" s="92" t="n">
        <v>585</v>
      </c>
      <c r="AG119" s="62">
        <f>((AF119-L119)/L119)*100</f>
        <v/>
      </c>
      <c r="AH119" s="106">
        <f>AJ119-AF119</f>
        <v/>
      </c>
      <c r="AI119" s="65" t="n">
        <v>790</v>
      </c>
      <c r="AJ119" s="65" t="n">
        <v>595</v>
      </c>
      <c r="AK119" s="66">
        <f>(AJ119-L119)/L119*100</f>
        <v/>
      </c>
      <c r="AL119" s="66" t="n"/>
      <c r="AM119" s="14">
        <f>AH119/AJ119%</f>
        <v/>
      </c>
      <c r="AN119" s="67">
        <f>AK119-AG119</f>
        <v/>
      </c>
      <c r="AO119" s="68">
        <f>AJ119/L119</f>
        <v/>
      </c>
      <c r="AP119" s="69">
        <f>(AJ119-AB119)/100</f>
        <v/>
      </c>
      <c r="AQ119" s="70">
        <f>(AJ119-AC119)/100</f>
        <v/>
      </c>
      <c r="AR119" s="71">
        <f>AI119/94</f>
        <v/>
      </c>
      <c r="AS119" s="71">
        <f>AJ119/94</f>
        <v/>
      </c>
      <c r="AT119" s="72">
        <f>AI119/24</f>
        <v/>
      </c>
      <c r="AU119" s="72">
        <f>AJ119/24</f>
        <v/>
      </c>
      <c r="AV119" s="73">
        <f>AI119/125</f>
        <v/>
      </c>
      <c r="AW119" s="73">
        <f>AJ119/125</f>
        <v/>
      </c>
    </row>
    <row r="120" ht="15.75" customHeight="1" s="258">
      <c r="A120" s="2" t="n"/>
      <c r="B120" s="2" t="inlineStr">
        <is>
          <t>Dark Grey</t>
        </is>
      </c>
      <c r="C120" s="2" t="inlineStr">
        <is>
          <t>Yo-MC-MS-DG</t>
        </is>
      </c>
      <c r="D120" s="118" t="n">
        <v>250</v>
      </c>
      <c r="F120" s="2" t="n">
        <v>50</v>
      </c>
      <c r="G120" s="118" t="n">
        <v>94041000</v>
      </c>
      <c r="H120" s="255" t="n">
        <v>0.18</v>
      </c>
      <c r="I120" s="2">
        <f>D120*H120</f>
        <v/>
      </c>
      <c r="K120" s="2" t="n">
        <v>50</v>
      </c>
      <c r="L120" s="4">
        <f>K120+J120+I120+F120+E120+D120</f>
        <v/>
      </c>
      <c r="M120" s="2">
        <f>D120*1%</f>
        <v/>
      </c>
      <c r="N120" s="12">
        <f>L120*8%</f>
        <v/>
      </c>
      <c r="O120" s="12">
        <f>L120*10%</f>
        <v/>
      </c>
      <c r="P120" s="12">
        <f>L120*5%</f>
        <v/>
      </c>
      <c r="Q120" s="12">
        <f>L120*2%</f>
        <v/>
      </c>
      <c r="R120" s="12">
        <f>AC120*0.5%</f>
        <v/>
      </c>
      <c r="S120" s="12">
        <f>L120*1%</f>
        <v/>
      </c>
      <c r="T120" s="60">
        <f>S120+Q120+P120+O120+N120+M120</f>
        <v/>
      </c>
      <c r="U120" s="2">
        <f>AC120*1%</f>
        <v/>
      </c>
      <c r="V120" s="44">
        <f>AC120*5%</f>
        <v/>
      </c>
      <c r="W120" s="2">
        <f>AC120*1%</f>
        <v/>
      </c>
      <c r="X120" s="2">
        <f>AC120*8%</f>
        <v/>
      </c>
      <c r="Y120" s="2">
        <f>U120+V120+W120+X120</f>
        <v/>
      </c>
      <c r="Z120" s="60">
        <f>Y120+T120+L120</f>
        <v/>
      </c>
      <c r="AA120" s="11">
        <f>Z120*20%</f>
        <v/>
      </c>
      <c r="AB120" s="12">
        <f>Z120+AA120</f>
        <v/>
      </c>
      <c r="AC120" s="2">
        <f>D120*2.1</f>
        <v/>
      </c>
      <c r="AD120" s="12">
        <f>AB120-AC120</f>
        <v/>
      </c>
      <c r="AE120" s="12">
        <f>AD120/AB120*100</f>
        <v/>
      </c>
      <c r="AF120" s="92" t="n">
        <v>585</v>
      </c>
      <c r="AG120" s="62">
        <f>((AF120-L120)/L120)*100</f>
        <v/>
      </c>
      <c r="AH120" s="106">
        <f>AJ120-AF120</f>
        <v/>
      </c>
      <c r="AI120" s="65" t="n">
        <v>790</v>
      </c>
      <c r="AJ120" s="65" t="n">
        <v>595</v>
      </c>
      <c r="AK120" s="66">
        <f>(AJ120-L120)/L120*100</f>
        <v/>
      </c>
      <c r="AL120" s="66" t="n"/>
      <c r="AM120" s="14">
        <f>AH120/AJ120%</f>
        <v/>
      </c>
      <c r="AN120" s="67">
        <f>AK120-AG120</f>
        <v/>
      </c>
      <c r="AO120" s="68">
        <f>AJ120/L120</f>
        <v/>
      </c>
      <c r="AP120" s="69">
        <f>(AJ120-AB120)/100</f>
        <v/>
      </c>
      <c r="AQ120" s="70">
        <f>(AJ120-AC120)/100</f>
        <v/>
      </c>
      <c r="AR120" s="71">
        <f>AI120/94</f>
        <v/>
      </c>
      <c r="AS120" s="71">
        <f>AJ120/94</f>
        <v/>
      </c>
      <c r="AT120" s="72">
        <f>AI120/24</f>
        <v/>
      </c>
      <c r="AU120" s="72">
        <f>AJ120/24</f>
        <v/>
      </c>
      <c r="AV120" s="73">
        <f>AI120/125</f>
        <v/>
      </c>
      <c r="AW120" s="73">
        <f>AJ120/125</f>
        <v/>
      </c>
    </row>
    <row r="121" ht="15.75" customHeight="1" s="258">
      <c r="A121" s="2" t="n"/>
      <c r="B121" s="2" t="inlineStr">
        <is>
          <t>Orange</t>
        </is>
      </c>
      <c r="C121" s="2" t="inlineStr">
        <is>
          <t>Yo-MC-MS-O</t>
        </is>
      </c>
      <c r="D121" s="118" t="n">
        <v>250</v>
      </c>
      <c r="F121" s="2" t="n">
        <v>50</v>
      </c>
      <c r="G121" s="118" t="n">
        <v>94041000</v>
      </c>
      <c r="H121" s="255" t="n">
        <v>0.18</v>
      </c>
      <c r="I121" s="2">
        <f>D121*H121</f>
        <v/>
      </c>
      <c r="K121" s="2" t="n">
        <v>50</v>
      </c>
      <c r="L121" s="4">
        <f>K121+J121+I121+F121+E121+D121</f>
        <v/>
      </c>
      <c r="M121" s="2">
        <f>D121*1%</f>
        <v/>
      </c>
      <c r="N121" s="12">
        <f>L121*8%</f>
        <v/>
      </c>
      <c r="O121" s="12">
        <f>L121*10%</f>
        <v/>
      </c>
      <c r="P121" s="12">
        <f>L121*5%</f>
        <v/>
      </c>
      <c r="Q121" s="12">
        <f>L121*2%</f>
        <v/>
      </c>
      <c r="R121" s="12">
        <f>AC121*0.5%</f>
        <v/>
      </c>
      <c r="S121" s="12">
        <f>L121*1%</f>
        <v/>
      </c>
      <c r="T121" s="60">
        <f>S121+Q121+P121+O121+N121+M121</f>
        <v/>
      </c>
      <c r="U121" s="2">
        <f>AC121*1%</f>
        <v/>
      </c>
      <c r="V121" s="44">
        <f>AC121*5%</f>
        <v/>
      </c>
      <c r="W121" s="2">
        <f>AC121*1%</f>
        <v/>
      </c>
      <c r="X121" s="2">
        <f>AC121*8%</f>
        <v/>
      </c>
      <c r="Y121" s="2">
        <f>U121+V121+W121+X121</f>
        <v/>
      </c>
      <c r="Z121" s="60">
        <f>Y121+T121+L121</f>
        <v/>
      </c>
      <c r="AA121" s="11">
        <f>Z121*20%</f>
        <v/>
      </c>
      <c r="AB121" s="12">
        <f>Z121+AA121</f>
        <v/>
      </c>
      <c r="AC121" s="2">
        <f>D121*2.1</f>
        <v/>
      </c>
      <c r="AD121" s="12">
        <f>AB121-AC121</f>
        <v/>
      </c>
      <c r="AE121" s="12">
        <f>AD121/AB121*100</f>
        <v/>
      </c>
      <c r="AF121" s="92" t="n">
        <v>585</v>
      </c>
      <c r="AG121" s="62">
        <f>((AF121-L121)/L121)*100</f>
        <v/>
      </c>
      <c r="AH121" s="106">
        <f>AJ121-AF121</f>
        <v/>
      </c>
      <c r="AI121" s="65" t="n">
        <v>790</v>
      </c>
      <c r="AJ121" s="65" t="n">
        <v>595</v>
      </c>
      <c r="AK121" s="66">
        <f>(AJ121-L121)/L121*100</f>
        <v/>
      </c>
      <c r="AL121" s="66" t="n"/>
      <c r="AM121" s="14">
        <f>AH121/AJ121%</f>
        <v/>
      </c>
      <c r="AN121" s="67">
        <f>AK121-AG121</f>
        <v/>
      </c>
      <c r="AO121" s="68">
        <f>AJ121/L121</f>
        <v/>
      </c>
      <c r="AP121" s="69">
        <f>(AJ121-AB121)/100</f>
        <v/>
      </c>
      <c r="AQ121" s="70">
        <f>(AJ121-AC121)/100</f>
        <v/>
      </c>
      <c r="AR121" s="71">
        <f>AI121/94</f>
        <v/>
      </c>
      <c r="AS121" s="71">
        <f>AJ121/94</f>
        <v/>
      </c>
      <c r="AT121" s="72">
        <f>AI121/24</f>
        <v/>
      </c>
      <c r="AU121" s="72">
        <f>AJ121/24</f>
        <v/>
      </c>
      <c r="AV121" s="73">
        <f>AI121/125</f>
        <v/>
      </c>
      <c r="AW121" s="73">
        <f>AJ121/125</f>
        <v/>
      </c>
    </row>
    <row r="122" ht="15.75" customHeight="1" s="258">
      <c r="A122" s="44" t="n"/>
      <c r="B122" s="44" t="inlineStr">
        <is>
          <t>Navy Blue</t>
        </is>
      </c>
      <c r="C122" s="44" t="inlineStr">
        <is>
          <t>Yo-MC-MS-NB</t>
        </is>
      </c>
      <c r="D122" s="45" t="n">
        <v>541</v>
      </c>
      <c r="E122" s="113" t="n"/>
      <c r="F122" s="44" t="n">
        <v>140</v>
      </c>
      <c r="G122" s="45" t="n">
        <v>94041000</v>
      </c>
      <c r="H122" s="115" t="n">
        <v>0.18</v>
      </c>
      <c r="I122" s="44">
        <f>D123*H123</f>
        <v/>
      </c>
      <c r="J122" s="113" t="n"/>
      <c r="K122" s="136" t="n">
        <v>200</v>
      </c>
      <c r="L122" s="48">
        <f>K123+J123+I123+F123+E123+D123</f>
        <v/>
      </c>
      <c r="M122" s="44">
        <f>D123*1%</f>
        <v/>
      </c>
      <c r="N122" s="49">
        <f>L123*8%</f>
        <v/>
      </c>
      <c r="O122" s="49">
        <f>L123*10%</f>
        <v/>
      </c>
      <c r="P122" s="49">
        <f>L123*5%</f>
        <v/>
      </c>
      <c r="Q122" s="49">
        <f>L123*2%</f>
        <v/>
      </c>
      <c r="R122" s="49">
        <f>AC123*0.5%</f>
        <v/>
      </c>
      <c r="S122" s="49">
        <f>L123*1%</f>
        <v/>
      </c>
      <c r="T122" s="50">
        <f>S123+Q123+P123+O123+N123+M123</f>
        <v/>
      </c>
      <c r="U122" s="44">
        <f>AC123*1%</f>
        <v/>
      </c>
      <c r="V122" s="44">
        <f>AC123*5%</f>
        <v/>
      </c>
      <c r="W122" s="44">
        <f>AC123*1%</f>
        <v/>
      </c>
      <c r="X122" s="44">
        <f>AC123*8%</f>
        <v/>
      </c>
      <c r="Y122" s="44">
        <f>U123+V123+W123+X123</f>
        <v/>
      </c>
      <c r="Z122" s="50">
        <f>Y123+T123+L123</f>
        <v/>
      </c>
      <c r="AA122" s="51">
        <f>Z123*20%</f>
        <v/>
      </c>
      <c r="AB122" s="49">
        <f>Z123+AA123</f>
        <v/>
      </c>
      <c r="AC122" s="44">
        <f>D123*2.1</f>
        <v/>
      </c>
      <c r="AD122" s="49">
        <f>AB123-AC123</f>
        <v/>
      </c>
      <c r="AE122" s="49">
        <f>AD123/AB123*100</f>
        <v/>
      </c>
      <c r="AF122" s="113" t="n">
        <v>1450</v>
      </c>
      <c r="AG122" s="116">
        <f>((AF123-L123)/L123)*100</f>
        <v/>
      </c>
      <c r="AH122" s="54">
        <f>AJ123-AF123</f>
        <v/>
      </c>
      <c r="AI122" s="54" t="n">
        <v>1590</v>
      </c>
      <c r="AJ122" s="54" t="n">
        <v>1490</v>
      </c>
      <c r="AK122" s="55">
        <f>(AJ123-L123)/L123*100</f>
        <v/>
      </c>
      <c r="AL122" s="55" t="n"/>
      <c r="AM122" s="55">
        <f>AH123/AJ123%</f>
        <v/>
      </c>
      <c r="AN122" s="55">
        <f>AK123-AG123</f>
        <v/>
      </c>
      <c r="AO122" s="56">
        <f>AJ123/L123</f>
        <v/>
      </c>
      <c r="AP122" s="55">
        <f>(AJ123-AB123)/100</f>
        <v/>
      </c>
      <c r="AQ122" s="55">
        <f>(AJ123-AC123)/100</f>
        <v/>
      </c>
      <c r="AR122" s="57">
        <f>AI123/94</f>
        <v/>
      </c>
      <c r="AS122" s="57">
        <f>AJ123/94</f>
        <v/>
      </c>
      <c r="AT122" s="58">
        <f>AI123/24</f>
        <v/>
      </c>
      <c r="AU122" s="58">
        <f>AJ123/24</f>
        <v/>
      </c>
      <c r="AV122" s="58">
        <f>AI123/125</f>
        <v/>
      </c>
      <c r="AW122" s="58">
        <f>AJ123/125</f>
        <v/>
      </c>
      <c r="AX122" s="113" t="n"/>
      <c r="AY122" s="113" t="n"/>
    </row>
    <row r="123" ht="15.75" customHeight="1" s="258">
      <c r="A123" s="44" t="n"/>
      <c r="B123" s="44" t="inlineStr">
        <is>
          <t>Rose</t>
        </is>
      </c>
      <c r="C123" s="44" t="inlineStr">
        <is>
          <t>Yo-MC-MS-R</t>
        </is>
      </c>
      <c r="D123" s="45" t="n">
        <v>541</v>
      </c>
      <c r="E123" s="113" t="n"/>
      <c r="F123" s="44" t="n">
        <v>140</v>
      </c>
      <c r="G123" s="45" t="n">
        <v>94041000</v>
      </c>
      <c r="H123" s="115" t="n">
        <v>0.18</v>
      </c>
      <c r="I123" s="44">
        <f>D124*H124</f>
        <v/>
      </c>
      <c r="J123" s="113" t="n"/>
      <c r="K123" s="136" t="n">
        <v>200</v>
      </c>
      <c r="L123" s="48">
        <f>K124+J124+I124+F124+E124+D124</f>
        <v/>
      </c>
      <c r="M123" s="44">
        <f>D124*1%</f>
        <v/>
      </c>
      <c r="N123" s="49">
        <f>L124*8%</f>
        <v/>
      </c>
      <c r="O123" s="49">
        <f>L124*10%</f>
        <v/>
      </c>
      <c r="P123" s="49">
        <f>L124*5%</f>
        <v/>
      </c>
      <c r="Q123" s="49">
        <f>L124*2%</f>
        <v/>
      </c>
      <c r="R123" s="49">
        <f>AC124*0.5%</f>
        <v/>
      </c>
      <c r="S123" s="49">
        <f>L124*1%</f>
        <v/>
      </c>
      <c r="T123" s="50">
        <f>S124+Q124+P124+O124+N124+M124</f>
        <v/>
      </c>
      <c r="U123" s="44">
        <f>AC124*1%</f>
        <v/>
      </c>
      <c r="V123" s="44">
        <f>AC124*5%</f>
        <v/>
      </c>
      <c r="W123" s="44">
        <f>AC124*1%</f>
        <v/>
      </c>
      <c r="X123" s="44">
        <f>AC124*8%</f>
        <v/>
      </c>
      <c r="Y123" s="44">
        <f>U124+V124+W124+X124</f>
        <v/>
      </c>
      <c r="Z123" s="50">
        <f>Y124+T124+L124</f>
        <v/>
      </c>
      <c r="AA123" s="51">
        <f>Z124*20%</f>
        <v/>
      </c>
      <c r="AB123" s="49">
        <f>Z124+AA124</f>
        <v/>
      </c>
      <c r="AC123" s="44">
        <f>D124*2.1</f>
        <v/>
      </c>
      <c r="AD123" s="49">
        <f>AB124-AC124</f>
        <v/>
      </c>
      <c r="AE123" s="49">
        <f>AD124/AB124*100</f>
        <v/>
      </c>
      <c r="AF123" s="113" t="n">
        <v>1450</v>
      </c>
      <c r="AG123" s="116">
        <f>((AF124-L124)/L124)*100</f>
        <v/>
      </c>
      <c r="AH123" s="54">
        <f>AJ124-AF124</f>
        <v/>
      </c>
      <c r="AI123" s="54" t="n">
        <v>1590</v>
      </c>
      <c r="AJ123" s="54" t="n">
        <v>1490</v>
      </c>
      <c r="AK123" s="55">
        <f>(AJ124-L124)/L124*100</f>
        <v/>
      </c>
      <c r="AL123" s="55" t="n"/>
      <c r="AM123" s="55">
        <f>AH124/AJ124%</f>
        <v/>
      </c>
      <c r="AN123" s="55">
        <f>AK124-AG124</f>
        <v/>
      </c>
      <c r="AO123" s="56">
        <f>AJ124/L124</f>
        <v/>
      </c>
      <c r="AP123" s="55">
        <f>(AJ124-AB124)/100</f>
        <v/>
      </c>
      <c r="AQ123" s="55">
        <f>(AJ124-AC124)/100</f>
        <v/>
      </c>
      <c r="AR123" s="57">
        <f>AI124/94</f>
        <v/>
      </c>
      <c r="AS123" s="57">
        <f>AJ124/94</f>
        <v/>
      </c>
      <c r="AT123" s="58">
        <f>AI124/24</f>
        <v/>
      </c>
      <c r="AU123" s="58">
        <f>AJ124/24</f>
        <v/>
      </c>
      <c r="AV123" s="58">
        <f>AI124/125</f>
        <v/>
      </c>
      <c r="AW123" s="58">
        <f>AJ124/125</f>
        <v/>
      </c>
      <c r="AX123" s="113" t="n"/>
      <c r="AY123" s="113" t="n"/>
    </row>
    <row r="124" ht="15.75" customHeight="1" s="258">
      <c r="A124" s="44" t="n"/>
      <c r="B124" s="44" t="inlineStr">
        <is>
          <t>Rouge Pink</t>
        </is>
      </c>
      <c r="C124" s="44" t="inlineStr">
        <is>
          <t>Yo-MC-MS-RP</t>
        </is>
      </c>
      <c r="D124" s="45" t="n">
        <v>541</v>
      </c>
      <c r="E124" s="113" t="n"/>
      <c r="F124" s="44" t="n">
        <v>140</v>
      </c>
      <c r="G124" s="45" t="n">
        <v>94041000</v>
      </c>
      <c r="H124" s="115" t="n">
        <v>0.18</v>
      </c>
      <c r="I124" s="44">
        <f>D125*H125</f>
        <v/>
      </c>
      <c r="J124" s="113" t="n"/>
      <c r="K124" s="136" t="n">
        <v>200</v>
      </c>
      <c r="L124" s="48">
        <f>K125+J125+I125+F125+E125+D125</f>
        <v/>
      </c>
      <c r="M124" s="44">
        <f>D125*1%</f>
        <v/>
      </c>
      <c r="N124" s="49">
        <f>L125*8%</f>
        <v/>
      </c>
      <c r="O124" s="49">
        <f>L125*10%</f>
        <v/>
      </c>
      <c r="P124" s="49">
        <f>L125*5%</f>
        <v/>
      </c>
      <c r="Q124" s="49">
        <f>L125*2%</f>
        <v/>
      </c>
      <c r="R124" s="49">
        <f>AC125*0.5%</f>
        <v/>
      </c>
      <c r="S124" s="49">
        <f>L125*1%</f>
        <v/>
      </c>
      <c r="T124" s="50">
        <f>S125+Q125+P125+O125+N125+M125</f>
        <v/>
      </c>
      <c r="U124" s="44">
        <f>AC125*1%</f>
        <v/>
      </c>
      <c r="V124" s="44">
        <f>AC125*5%</f>
        <v/>
      </c>
      <c r="W124" s="44">
        <f>AC125*1%</f>
        <v/>
      </c>
      <c r="X124" s="44">
        <f>AC125*8%</f>
        <v/>
      </c>
      <c r="Y124" s="44">
        <f>U125+V125+W125+X125</f>
        <v/>
      </c>
      <c r="Z124" s="50">
        <f>Y125+T125+L125</f>
        <v/>
      </c>
      <c r="AA124" s="51">
        <f>Z125*20%</f>
        <v/>
      </c>
      <c r="AB124" s="49">
        <f>Z125+AA125</f>
        <v/>
      </c>
      <c r="AC124" s="44">
        <f>D125*2.1</f>
        <v/>
      </c>
      <c r="AD124" s="49">
        <f>AB125-AC125</f>
        <v/>
      </c>
      <c r="AE124" s="49">
        <f>AD125/AB125*100</f>
        <v/>
      </c>
      <c r="AF124" s="113" t="n">
        <v>1450</v>
      </c>
      <c r="AG124" s="116">
        <f>((AF125-L125)/L125)*100</f>
        <v/>
      </c>
      <c r="AH124" s="54">
        <f>AJ125-AF125</f>
        <v/>
      </c>
      <c r="AI124" s="54" t="n">
        <v>1590</v>
      </c>
      <c r="AJ124" s="54" t="n">
        <v>1490</v>
      </c>
      <c r="AK124" s="55">
        <f>(AJ125-L125)/L125*100</f>
        <v/>
      </c>
      <c r="AL124" s="55" t="n"/>
      <c r="AM124" s="55">
        <f>AH125/AJ125%</f>
        <v/>
      </c>
      <c r="AN124" s="55">
        <f>AK125-AG125</f>
        <v/>
      </c>
      <c r="AO124" s="56">
        <f>AJ125/L125</f>
        <v/>
      </c>
      <c r="AP124" s="55">
        <f>(AJ125-AB125)/100</f>
        <v/>
      </c>
      <c r="AQ124" s="55">
        <f>(AJ125-AC125)/100</f>
        <v/>
      </c>
      <c r="AR124" s="57">
        <f>AI125/94</f>
        <v/>
      </c>
      <c r="AS124" s="57">
        <f>AJ125/94</f>
        <v/>
      </c>
      <c r="AT124" s="58">
        <f>AI125/24</f>
        <v/>
      </c>
      <c r="AU124" s="58">
        <f>AJ125/24</f>
        <v/>
      </c>
      <c r="AV124" s="58">
        <f>AI125/125</f>
        <v/>
      </c>
      <c r="AW124" s="58">
        <f>AJ125/125</f>
        <v/>
      </c>
      <c r="AX124" s="113" t="n"/>
      <c r="AY124" s="113" t="n"/>
    </row>
    <row r="125" ht="15.75" customHeight="1" s="258">
      <c r="A125" s="44" t="n"/>
      <c r="B125" s="44" t="inlineStr">
        <is>
          <t>Sage</t>
        </is>
      </c>
      <c r="C125" s="44" t="inlineStr">
        <is>
          <t>Yo-MC-MS-SE</t>
        </is>
      </c>
      <c r="D125" s="45" t="n">
        <v>541</v>
      </c>
      <c r="E125" s="113" t="n"/>
      <c r="F125" s="44" t="n">
        <v>140</v>
      </c>
      <c r="G125" s="45" t="n">
        <v>94041000</v>
      </c>
      <c r="H125" s="115" t="n">
        <v>0.18</v>
      </c>
      <c r="I125" s="44">
        <f>D126*H126</f>
        <v/>
      </c>
      <c r="J125" s="113" t="n"/>
      <c r="K125" s="136" t="n">
        <v>200</v>
      </c>
      <c r="L125" s="48">
        <f>K126+J126+I126+F126+E126+D126</f>
        <v/>
      </c>
      <c r="M125" s="44">
        <f>D126*1%</f>
        <v/>
      </c>
      <c r="N125" s="49">
        <f>L126*8%</f>
        <v/>
      </c>
      <c r="O125" s="49">
        <f>L126*10%</f>
        <v/>
      </c>
      <c r="P125" s="49">
        <f>L126*5%</f>
        <v/>
      </c>
      <c r="Q125" s="49">
        <f>L126*2%</f>
        <v/>
      </c>
      <c r="R125" s="49">
        <f>AC126*0.5%</f>
        <v/>
      </c>
      <c r="S125" s="49">
        <f>L126*1%</f>
        <v/>
      </c>
      <c r="T125" s="50">
        <f>S126+Q126+P126+O126+N126+M126</f>
        <v/>
      </c>
      <c r="U125" s="44">
        <f>AC126*1%</f>
        <v/>
      </c>
      <c r="V125" s="44">
        <f>AC126*5%</f>
        <v/>
      </c>
      <c r="W125" s="44">
        <f>AC126*1%</f>
        <v/>
      </c>
      <c r="X125" s="44">
        <f>AC126*8%</f>
        <v/>
      </c>
      <c r="Y125" s="44">
        <f>U126+V126+W126+X126</f>
        <v/>
      </c>
      <c r="Z125" s="50">
        <f>Y126+T126+L126</f>
        <v/>
      </c>
      <c r="AA125" s="51">
        <f>Z126*20%</f>
        <v/>
      </c>
      <c r="AB125" s="49">
        <f>Z126+AA126</f>
        <v/>
      </c>
      <c r="AC125" s="44">
        <f>D126*2.1</f>
        <v/>
      </c>
      <c r="AD125" s="49">
        <f>AB126-AC126</f>
        <v/>
      </c>
      <c r="AE125" s="49">
        <f>AD126/AB126*100</f>
        <v/>
      </c>
      <c r="AF125" s="113" t="n">
        <v>1450</v>
      </c>
      <c r="AG125" s="116">
        <f>((AF126-L126)/L126)*100</f>
        <v/>
      </c>
      <c r="AH125" s="54">
        <f>AJ126-AF126</f>
        <v/>
      </c>
      <c r="AI125" s="54" t="n">
        <v>1590</v>
      </c>
      <c r="AJ125" s="54" t="n">
        <v>1490</v>
      </c>
      <c r="AK125" s="55">
        <f>(AJ126-L126)/L126*100</f>
        <v/>
      </c>
      <c r="AL125" s="55" t="n"/>
      <c r="AM125" s="55">
        <f>AH126/AJ126%</f>
        <v/>
      </c>
      <c r="AN125" s="55">
        <f>AK126-AG126</f>
        <v/>
      </c>
      <c r="AO125" s="56">
        <f>AJ126/L126</f>
        <v/>
      </c>
      <c r="AP125" s="55">
        <f>(AJ126-AB126)/100</f>
        <v/>
      </c>
      <c r="AQ125" s="55">
        <f>(AJ126-AC126)/100</f>
        <v/>
      </c>
      <c r="AR125" s="57">
        <f>AI126/94</f>
        <v/>
      </c>
      <c r="AS125" s="57">
        <f>AJ126/94</f>
        <v/>
      </c>
      <c r="AT125" s="58">
        <f>AI126/24</f>
        <v/>
      </c>
      <c r="AU125" s="58">
        <f>AJ126/24</f>
        <v/>
      </c>
      <c r="AV125" s="58">
        <f>AI126/125</f>
        <v/>
      </c>
      <c r="AW125" s="58">
        <f>AJ126/125</f>
        <v/>
      </c>
      <c r="AX125" s="113" t="n"/>
      <c r="AY125" s="113" t="n"/>
    </row>
    <row r="126" ht="15.75" customHeight="1" s="258">
      <c r="A126" s="44" t="inlineStr">
        <is>
          <t>Round Yoga Bolster</t>
        </is>
      </c>
      <c r="B126" s="44" t="inlineStr">
        <is>
          <t>Dark Grey</t>
        </is>
      </c>
      <c r="C126" s="44" t="inlineStr">
        <is>
          <t>Yo-BR-R-DG</t>
        </is>
      </c>
      <c r="D126" s="45" t="n">
        <v>541</v>
      </c>
      <c r="E126" s="113" t="n"/>
      <c r="F126" s="44" t="n">
        <v>140</v>
      </c>
      <c r="G126" s="45" t="n">
        <v>94041000</v>
      </c>
      <c r="H126" s="115" t="n">
        <v>0.18</v>
      </c>
      <c r="I126" s="44">
        <f>D127*H127</f>
        <v/>
      </c>
      <c r="J126" s="113" t="n"/>
      <c r="K126" s="136" t="n">
        <v>200</v>
      </c>
      <c r="L126" s="48">
        <f>K127+J127+I127+F127+E127+D127</f>
        <v/>
      </c>
      <c r="M126" s="44">
        <f>D127*1%</f>
        <v/>
      </c>
      <c r="N126" s="49">
        <f>L127*8%</f>
        <v/>
      </c>
      <c r="O126" s="49">
        <f>L127*10%</f>
        <v/>
      </c>
      <c r="P126" s="49">
        <f>L127*5%</f>
        <v/>
      </c>
      <c r="Q126" s="49">
        <f>L127*2%</f>
        <v/>
      </c>
      <c r="R126" s="49">
        <f>AC127*0.5%</f>
        <v/>
      </c>
      <c r="S126" s="49">
        <f>L127*1%</f>
        <v/>
      </c>
      <c r="T126" s="50">
        <f>S127+Q127+P127+O127+N127+M127</f>
        <v/>
      </c>
      <c r="U126" s="44">
        <f>AC127*1%</f>
        <v/>
      </c>
      <c r="V126" s="44">
        <f>AC127*5%</f>
        <v/>
      </c>
      <c r="W126" s="44">
        <f>AC127*1%</f>
        <v/>
      </c>
      <c r="X126" s="44">
        <f>AC127*8%</f>
        <v/>
      </c>
      <c r="Y126" s="44">
        <f>U127+V127+W127+X127</f>
        <v/>
      </c>
      <c r="Z126" s="50">
        <f>Y127+T127+L127</f>
        <v/>
      </c>
      <c r="AA126" s="51">
        <f>Z127*20%</f>
        <v/>
      </c>
      <c r="AB126" s="49">
        <f>Z127+AA127</f>
        <v/>
      </c>
      <c r="AC126" s="44">
        <f>D127*2.1</f>
        <v/>
      </c>
      <c r="AD126" s="49">
        <f>AB127-AC127</f>
        <v/>
      </c>
      <c r="AE126" s="49">
        <f>AD127/AB127*100</f>
        <v/>
      </c>
      <c r="AF126" s="113" t="n">
        <v>1550</v>
      </c>
      <c r="AG126" s="116">
        <f>((AF127-L127)/L127)*100</f>
        <v/>
      </c>
      <c r="AH126" s="54">
        <f>AJ127-AF127</f>
        <v/>
      </c>
      <c r="AI126" s="54" t="n">
        <v>1690</v>
      </c>
      <c r="AJ126" s="54" t="n">
        <v>1590</v>
      </c>
      <c r="AK126" s="55">
        <f>(AJ127-L127)/L127*100</f>
        <v/>
      </c>
      <c r="AL126" s="55" t="n"/>
      <c r="AM126" s="55">
        <f>AH127/AJ127%</f>
        <v/>
      </c>
      <c r="AN126" s="55">
        <f>AK127-AG127</f>
        <v/>
      </c>
      <c r="AO126" s="56">
        <f>AJ127/L127</f>
        <v/>
      </c>
      <c r="AP126" s="55">
        <f>(AJ127-AB127)/100</f>
        <v/>
      </c>
      <c r="AQ126" s="55">
        <f>(AJ127-AC127)/100</f>
        <v/>
      </c>
      <c r="AR126" s="57">
        <f>AI127/94</f>
        <v/>
      </c>
      <c r="AS126" s="57">
        <f>AJ127/94</f>
        <v/>
      </c>
      <c r="AT126" s="58">
        <f>AI127/24</f>
        <v/>
      </c>
      <c r="AU126" s="58">
        <f>AJ127/24</f>
        <v/>
      </c>
      <c r="AV126" s="58">
        <f>AI127/125</f>
        <v/>
      </c>
      <c r="AW126" s="58">
        <f>AJ127/125</f>
        <v/>
      </c>
      <c r="AX126" s="113" t="n"/>
      <c r="AY126" s="113" t="n"/>
    </row>
    <row r="127" ht="15" customHeight="1" s="258">
      <c r="A127" s="44" t="n"/>
      <c r="B127" s="44" t="inlineStr">
        <is>
          <t>Grey</t>
        </is>
      </c>
      <c r="C127" s="44" t="inlineStr">
        <is>
          <t>Yo-BR-R-GY</t>
        </is>
      </c>
      <c r="D127" s="45" t="n">
        <v>541</v>
      </c>
      <c r="E127" s="113" t="n"/>
      <c r="F127" s="44" t="n">
        <v>140</v>
      </c>
      <c r="G127" s="45" t="n">
        <v>94041000</v>
      </c>
      <c r="H127" s="115" t="n">
        <v>0.18</v>
      </c>
      <c r="I127" s="44">
        <f>D128*H128</f>
        <v/>
      </c>
      <c r="J127" s="113" t="n"/>
      <c r="K127" s="136" t="n">
        <v>200</v>
      </c>
      <c r="L127" s="48">
        <f>K128+J128+I128+F128+E128+D128</f>
        <v/>
      </c>
      <c r="M127" s="44">
        <f>D128*1%</f>
        <v/>
      </c>
      <c r="N127" s="49">
        <f>L128*8%</f>
        <v/>
      </c>
      <c r="O127" s="49">
        <f>L128*10%</f>
        <v/>
      </c>
      <c r="P127" s="49">
        <f>L128*5%</f>
        <v/>
      </c>
      <c r="Q127" s="49">
        <f>L128*2%</f>
        <v/>
      </c>
      <c r="R127" s="49">
        <f>AC128*0.5%</f>
        <v/>
      </c>
      <c r="S127" s="49">
        <f>L128*1%</f>
        <v/>
      </c>
      <c r="T127" s="50">
        <f>S128+Q128+P128+O128+N128+M128</f>
        <v/>
      </c>
      <c r="U127" s="44">
        <f>AC128*1%</f>
        <v/>
      </c>
      <c r="V127" s="44">
        <f>AC128*5%</f>
        <v/>
      </c>
      <c r="W127" s="44">
        <f>AC128*1%</f>
        <v/>
      </c>
      <c r="X127" s="44">
        <f>AC128*8%</f>
        <v/>
      </c>
      <c r="Y127" s="44">
        <f>U128+V128+W128+X128</f>
        <v/>
      </c>
      <c r="Z127" s="50">
        <f>Y128+T128+L128</f>
        <v/>
      </c>
      <c r="AA127" s="51">
        <f>Z128*20%</f>
        <v/>
      </c>
      <c r="AB127" s="49">
        <f>Z128+AA128</f>
        <v/>
      </c>
      <c r="AC127" s="44">
        <f>D128*2.1</f>
        <v/>
      </c>
      <c r="AD127" s="49">
        <f>AB128-AC128</f>
        <v/>
      </c>
      <c r="AE127" s="49">
        <f>AD128/AB128*100</f>
        <v/>
      </c>
      <c r="AF127" s="113" t="n">
        <v>1550</v>
      </c>
      <c r="AG127" s="116">
        <f>((AF128-L128)/L128)*100</f>
        <v/>
      </c>
      <c r="AH127" s="54">
        <f>AJ128-AF128</f>
        <v/>
      </c>
      <c r="AI127" s="54" t="n">
        <v>1690</v>
      </c>
      <c r="AJ127" s="54" t="n">
        <v>1590</v>
      </c>
      <c r="AK127" s="55">
        <f>(AJ128-L128)/L128*100</f>
        <v/>
      </c>
      <c r="AL127" s="55" t="n"/>
      <c r="AM127" s="55">
        <f>AH128/AJ128%</f>
        <v/>
      </c>
      <c r="AN127" s="55">
        <f>AK128-AG128</f>
        <v/>
      </c>
      <c r="AO127" s="56">
        <f>AJ128/L128</f>
        <v/>
      </c>
      <c r="AP127" s="55">
        <f>(AJ128-AB128)/100</f>
        <v/>
      </c>
      <c r="AQ127" s="55">
        <f>(AJ128-AC128)/100</f>
        <v/>
      </c>
      <c r="AR127" s="57">
        <f>AI128/94</f>
        <v/>
      </c>
      <c r="AS127" s="57">
        <f>AJ128/94</f>
        <v/>
      </c>
      <c r="AT127" s="58">
        <f>AI128/24</f>
        <v/>
      </c>
      <c r="AU127" s="58">
        <f>AJ128/24</f>
        <v/>
      </c>
      <c r="AV127" s="58">
        <f>AI128/125</f>
        <v/>
      </c>
      <c r="AW127" s="58">
        <f>AJ128/125</f>
        <v/>
      </c>
      <c r="AX127" s="113" t="n"/>
      <c r="AY127" s="113" t="n"/>
    </row>
    <row r="128" ht="15.75" customHeight="1" s="258">
      <c r="A128" s="44" t="n"/>
      <c r="B128" s="44" t="inlineStr">
        <is>
          <t>Maroon</t>
        </is>
      </c>
      <c r="C128" s="44" t="inlineStr">
        <is>
          <t>Yo-BR-R-M</t>
        </is>
      </c>
      <c r="D128" s="45" t="n">
        <v>541</v>
      </c>
      <c r="E128" s="113" t="n"/>
      <c r="F128" s="44" t="n">
        <v>140</v>
      </c>
      <c r="G128" s="45" t="n">
        <v>94041000</v>
      </c>
      <c r="H128" s="115" t="n">
        <v>0.18</v>
      </c>
      <c r="I128" s="44">
        <f>D129*H129</f>
        <v/>
      </c>
      <c r="J128" s="113" t="n"/>
      <c r="K128" s="136" t="n">
        <v>200</v>
      </c>
      <c r="L128" s="48">
        <f>K129+J129+I129+F129+E129+D129</f>
        <v/>
      </c>
      <c r="M128" s="44">
        <f>D129*1%</f>
        <v/>
      </c>
      <c r="N128" s="49">
        <f>L129*8%</f>
        <v/>
      </c>
      <c r="O128" s="49">
        <f>L129*10%</f>
        <v/>
      </c>
      <c r="P128" s="49">
        <f>L129*5%</f>
        <v/>
      </c>
      <c r="Q128" s="49">
        <f>L129*2%</f>
        <v/>
      </c>
      <c r="R128" s="49">
        <f>AC129*0.5%</f>
        <v/>
      </c>
      <c r="S128" s="49">
        <f>L129*1%</f>
        <v/>
      </c>
      <c r="T128" s="50">
        <f>S129+Q129+P129+O129+N129+M129</f>
        <v/>
      </c>
      <c r="U128" s="44">
        <f>AC129*1%</f>
        <v/>
      </c>
      <c r="V128" s="44">
        <f>AC129*5%</f>
        <v/>
      </c>
      <c r="W128" s="44">
        <f>AC129*1%</f>
        <v/>
      </c>
      <c r="X128" s="44">
        <f>AC129*8%</f>
        <v/>
      </c>
      <c r="Y128" s="44">
        <f>U129+V129+W129+X129</f>
        <v/>
      </c>
      <c r="Z128" s="50">
        <f>Y129+T129+L129</f>
        <v/>
      </c>
      <c r="AA128" s="51">
        <f>Z129*20%</f>
        <v/>
      </c>
      <c r="AB128" s="49">
        <f>Z129+AA129</f>
        <v/>
      </c>
      <c r="AC128" s="44">
        <f>D129*2.1</f>
        <v/>
      </c>
      <c r="AD128" s="49">
        <f>AB129-AC129</f>
        <v/>
      </c>
      <c r="AE128" s="49">
        <f>AD129/AB129*100</f>
        <v/>
      </c>
      <c r="AF128" s="113" t="n">
        <v>1550</v>
      </c>
      <c r="AG128" s="116">
        <f>((AF129-L129)/L129)*100</f>
        <v/>
      </c>
      <c r="AH128" s="54">
        <f>AJ129-AF129</f>
        <v/>
      </c>
      <c r="AI128" s="54" t="n">
        <v>1690</v>
      </c>
      <c r="AJ128" s="54" t="n">
        <v>1590</v>
      </c>
      <c r="AK128" s="55">
        <f>(AJ129-L129)/L129*100</f>
        <v/>
      </c>
      <c r="AL128" s="55" t="n"/>
      <c r="AM128" s="55">
        <f>AH129/AJ129%</f>
        <v/>
      </c>
      <c r="AN128" s="55">
        <f>AK129-AG129</f>
        <v/>
      </c>
      <c r="AO128" s="56">
        <f>AJ129/L129</f>
        <v/>
      </c>
      <c r="AP128" s="55">
        <f>(AJ129-AB129)/100</f>
        <v/>
      </c>
      <c r="AQ128" s="55">
        <f>(AJ129-AC129)/100</f>
        <v/>
      </c>
      <c r="AR128" s="57">
        <f>AI129/94</f>
        <v/>
      </c>
      <c r="AS128" s="57">
        <f>AJ129/94</f>
        <v/>
      </c>
      <c r="AT128" s="58">
        <f>AI129/24</f>
        <v/>
      </c>
      <c r="AU128" s="58">
        <f>AJ129/24</f>
        <v/>
      </c>
      <c r="AV128" s="58">
        <f>AI129/125</f>
        <v/>
      </c>
      <c r="AW128" s="58">
        <f>AJ129/125</f>
        <v/>
      </c>
      <c r="AX128" s="113" t="n"/>
      <c r="AY128" s="113" t="n"/>
    </row>
    <row r="129" ht="15.75" customHeight="1" s="258">
      <c r="A129" s="44" t="n"/>
      <c r="B129" s="44" t="inlineStr">
        <is>
          <t>Navy Blue</t>
        </is>
      </c>
      <c r="C129" s="44" t="inlineStr">
        <is>
          <t>Yo-BR-R-NB</t>
        </is>
      </c>
      <c r="D129" s="45" t="n">
        <v>541</v>
      </c>
      <c r="E129" s="113" t="n"/>
      <c r="F129" s="44" t="n">
        <v>140</v>
      </c>
      <c r="G129" s="45" t="n">
        <v>94041000</v>
      </c>
      <c r="H129" s="115" t="n">
        <v>0.18</v>
      </c>
      <c r="I129" s="44">
        <f>D130*H130</f>
        <v/>
      </c>
      <c r="J129" s="113" t="n"/>
      <c r="K129" s="136" t="n">
        <v>200</v>
      </c>
      <c r="L129" s="48">
        <f>K130+J130+I130+F130+E130+D130</f>
        <v/>
      </c>
      <c r="M129" s="44">
        <f>D130*1%</f>
        <v/>
      </c>
      <c r="N129" s="49">
        <f>L130*8%</f>
        <v/>
      </c>
      <c r="O129" s="49">
        <f>L130*10%</f>
        <v/>
      </c>
      <c r="P129" s="49">
        <f>L130*5%</f>
        <v/>
      </c>
      <c r="Q129" s="49">
        <f>L130*2%</f>
        <v/>
      </c>
      <c r="R129" s="49">
        <f>AC130*0.5%</f>
        <v/>
      </c>
      <c r="S129" s="49">
        <f>L130*1%</f>
        <v/>
      </c>
      <c r="T129" s="50">
        <f>S130+Q130+P130+O130+N130+M130</f>
        <v/>
      </c>
      <c r="U129" s="44">
        <f>AC130*1%</f>
        <v/>
      </c>
      <c r="V129" s="44">
        <f>AC130*5%</f>
        <v/>
      </c>
      <c r="W129" s="44">
        <f>AC130*1%</f>
        <v/>
      </c>
      <c r="X129" s="44">
        <f>AC130*8%</f>
        <v/>
      </c>
      <c r="Y129" s="44">
        <f>U130+V130+W130+X130</f>
        <v/>
      </c>
      <c r="Z129" s="50">
        <f>Y130+T130+L130</f>
        <v/>
      </c>
      <c r="AA129" s="51">
        <f>Z130*20%</f>
        <v/>
      </c>
      <c r="AB129" s="49">
        <f>Z130+AA130</f>
        <v/>
      </c>
      <c r="AC129" s="44">
        <f>D130*2.1</f>
        <v/>
      </c>
      <c r="AD129" s="49">
        <f>AB130-AC130</f>
        <v/>
      </c>
      <c r="AE129" s="49">
        <f>AD130/AB130*100</f>
        <v/>
      </c>
      <c r="AF129" s="113" t="n">
        <v>1550</v>
      </c>
      <c r="AG129" s="116">
        <f>((AF130-L130)/L130)*100</f>
        <v/>
      </c>
      <c r="AH129" s="54">
        <f>AJ130-AF130</f>
        <v/>
      </c>
      <c r="AI129" s="54" t="n">
        <v>1690</v>
      </c>
      <c r="AJ129" s="54" t="n">
        <v>1590</v>
      </c>
      <c r="AK129" s="55">
        <f>(AJ130-L130)/L130*100</f>
        <v/>
      </c>
      <c r="AL129" s="55" t="n"/>
      <c r="AM129" s="55">
        <f>AH130/AJ130%</f>
        <v/>
      </c>
      <c r="AN129" s="55">
        <f>AK130-AG130</f>
        <v/>
      </c>
      <c r="AO129" s="56">
        <f>AJ130/L130</f>
        <v/>
      </c>
      <c r="AP129" s="55">
        <f>(AJ130-AB130)/100</f>
        <v/>
      </c>
      <c r="AQ129" s="55">
        <f>(AJ130-AC130)/100</f>
        <v/>
      </c>
      <c r="AR129" s="57">
        <f>AI130/94</f>
        <v/>
      </c>
      <c r="AS129" s="57">
        <f>AJ130/94</f>
        <v/>
      </c>
      <c r="AT129" s="58">
        <f>AI130/24</f>
        <v/>
      </c>
      <c r="AU129" s="58">
        <f>AJ130/24</f>
        <v/>
      </c>
      <c r="AV129" s="58">
        <f>AI130/125</f>
        <v/>
      </c>
      <c r="AW129" s="58">
        <f>AJ130/125</f>
        <v/>
      </c>
      <c r="AX129" s="113" t="n"/>
      <c r="AY129" s="113" t="n"/>
    </row>
    <row r="130" ht="15.75" customHeight="1" s="258">
      <c r="A130" s="44" t="n"/>
      <c r="B130" s="44" t="inlineStr">
        <is>
          <t>Orange</t>
        </is>
      </c>
      <c r="C130" s="44" t="inlineStr">
        <is>
          <t>Yo-BR-R-O</t>
        </is>
      </c>
      <c r="D130" s="45" t="n">
        <v>541</v>
      </c>
      <c r="E130" s="113" t="n"/>
      <c r="F130" s="44" t="n">
        <v>140</v>
      </c>
      <c r="G130" s="45" t="n">
        <v>94041000</v>
      </c>
      <c r="H130" s="115" t="n">
        <v>0.18</v>
      </c>
      <c r="I130" s="44">
        <f>D131*H131</f>
        <v/>
      </c>
      <c r="J130" s="113" t="n"/>
      <c r="K130" s="136" t="n">
        <v>200</v>
      </c>
      <c r="L130" s="48">
        <f>K131+J131+I131+F131+E131+D131</f>
        <v/>
      </c>
      <c r="M130" s="44">
        <f>D131*1%</f>
        <v/>
      </c>
      <c r="N130" s="49">
        <f>L131*8%</f>
        <v/>
      </c>
      <c r="O130" s="49">
        <f>L131*10%</f>
        <v/>
      </c>
      <c r="P130" s="49">
        <f>L131*5%</f>
        <v/>
      </c>
      <c r="Q130" s="49">
        <f>L131*2%</f>
        <v/>
      </c>
      <c r="R130" s="49">
        <f>AC131*0.5%</f>
        <v/>
      </c>
      <c r="S130" s="49">
        <f>L131*1%</f>
        <v/>
      </c>
      <c r="T130" s="50">
        <f>S131+Q131+P131+O131+N131+M131</f>
        <v/>
      </c>
      <c r="U130" s="44">
        <f>AC131*1%</f>
        <v/>
      </c>
      <c r="V130" s="44">
        <f>AC131*5%</f>
        <v/>
      </c>
      <c r="W130" s="44">
        <f>AC131*1%</f>
        <v/>
      </c>
      <c r="X130" s="44">
        <f>AC131*8%</f>
        <v/>
      </c>
      <c r="Y130" s="44">
        <f>U131+V131+W131+X131</f>
        <v/>
      </c>
      <c r="Z130" s="50">
        <f>Y131+T131+L131</f>
        <v/>
      </c>
      <c r="AA130" s="51">
        <f>Z131*20%</f>
        <v/>
      </c>
      <c r="AB130" s="49">
        <f>Z131+AA131</f>
        <v/>
      </c>
      <c r="AC130" s="44">
        <f>D131*2.1</f>
        <v/>
      </c>
      <c r="AD130" s="49">
        <f>AB131-AC131</f>
        <v/>
      </c>
      <c r="AE130" s="49">
        <f>AD131/AB131*100</f>
        <v/>
      </c>
      <c r="AF130" s="113" t="n">
        <v>1550</v>
      </c>
      <c r="AG130" s="116">
        <f>((AF131-L131)/L131)*100</f>
        <v/>
      </c>
      <c r="AH130" s="54">
        <f>AJ131-AF131</f>
        <v/>
      </c>
      <c r="AI130" s="54" t="n">
        <v>1690</v>
      </c>
      <c r="AJ130" s="54" t="n">
        <v>1590</v>
      </c>
      <c r="AK130" s="55">
        <f>(AJ131-L131)/L131*100</f>
        <v/>
      </c>
      <c r="AL130" s="55" t="n"/>
      <c r="AM130" s="55">
        <f>AH131/AJ131%</f>
        <v/>
      </c>
      <c r="AN130" s="55">
        <f>AK131-AG131</f>
        <v/>
      </c>
      <c r="AO130" s="56">
        <f>AJ131/L131</f>
        <v/>
      </c>
      <c r="AP130" s="55">
        <f>(AJ131-AB131)/100</f>
        <v/>
      </c>
      <c r="AQ130" s="55">
        <f>(AJ131-AC131)/100</f>
        <v/>
      </c>
      <c r="AR130" s="57">
        <f>AI131/94</f>
        <v/>
      </c>
      <c r="AS130" s="57">
        <f>AJ131/94</f>
        <v/>
      </c>
      <c r="AT130" s="58">
        <f>AI131/24</f>
        <v/>
      </c>
      <c r="AU130" s="58">
        <f>AJ131/24</f>
        <v/>
      </c>
      <c r="AV130" s="58">
        <f>AI131/125</f>
        <v/>
      </c>
      <c r="AW130" s="58">
        <f>AJ131/125</f>
        <v/>
      </c>
      <c r="AX130" s="113" t="n"/>
      <c r="AY130" s="113" t="n"/>
    </row>
    <row r="131" ht="15.75" customHeight="1" s="258">
      <c r="A131" s="44" t="n"/>
      <c r="B131" s="44" t="inlineStr">
        <is>
          <t>Rose</t>
        </is>
      </c>
      <c r="C131" s="44" t="inlineStr">
        <is>
          <t>Yo-BR-R-RE</t>
        </is>
      </c>
      <c r="D131" s="45" t="n">
        <v>541</v>
      </c>
      <c r="E131" s="113" t="n"/>
      <c r="F131" s="44" t="n">
        <v>140</v>
      </c>
      <c r="G131" s="45" t="n">
        <v>94041000</v>
      </c>
      <c r="H131" s="115" t="n">
        <v>0.18</v>
      </c>
      <c r="I131" s="44">
        <f>D132*H132</f>
        <v/>
      </c>
      <c r="J131" s="113" t="n"/>
      <c r="K131" s="136" t="n">
        <v>200</v>
      </c>
      <c r="L131" s="48">
        <f>K132+J132+I132+F132+E132+D132</f>
        <v/>
      </c>
      <c r="M131" s="44">
        <f>D132*1%</f>
        <v/>
      </c>
      <c r="N131" s="49">
        <f>L132*8%</f>
        <v/>
      </c>
      <c r="O131" s="49">
        <f>L132*10%</f>
        <v/>
      </c>
      <c r="P131" s="49">
        <f>L132*5%</f>
        <v/>
      </c>
      <c r="Q131" s="49">
        <f>L132*2%</f>
        <v/>
      </c>
      <c r="R131" s="49">
        <f>AC132*0.5%</f>
        <v/>
      </c>
      <c r="S131" s="49">
        <f>L132*1%</f>
        <v/>
      </c>
      <c r="T131" s="50">
        <f>S132+Q132+P132+O132+N132+M132</f>
        <v/>
      </c>
      <c r="U131" s="44">
        <f>AC132*1%</f>
        <v/>
      </c>
      <c r="V131" s="44">
        <f>AC132*5%</f>
        <v/>
      </c>
      <c r="W131" s="44">
        <f>AC132*1%</f>
        <v/>
      </c>
      <c r="X131" s="44">
        <f>AC132*8%</f>
        <v/>
      </c>
      <c r="Y131" s="44">
        <f>U132+V132+W132+X132</f>
        <v/>
      </c>
      <c r="Z131" s="50">
        <f>Y132+T132+L132</f>
        <v/>
      </c>
      <c r="AA131" s="51">
        <f>Z132*20%</f>
        <v/>
      </c>
      <c r="AB131" s="49">
        <f>Z132+AA132</f>
        <v/>
      </c>
      <c r="AC131" s="44">
        <f>D132*2.1</f>
        <v/>
      </c>
      <c r="AD131" s="49">
        <f>AB132-AC132</f>
        <v/>
      </c>
      <c r="AE131" s="49">
        <f>AD132/AB132*100</f>
        <v/>
      </c>
      <c r="AF131" s="113" t="n">
        <v>1550</v>
      </c>
      <c r="AG131" s="116">
        <f>((AF132-L132)/L132)*100</f>
        <v/>
      </c>
      <c r="AH131" s="54">
        <f>AJ132-AF132</f>
        <v/>
      </c>
      <c r="AI131" s="54" t="n">
        <v>1690</v>
      </c>
      <c r="AJ131" s="54" t="n">
        <v>1590</v>
      </c>
      <c r="AK131" s="55">
        <f>(AJ132-L132)/L132*100</f>
        <v/>
      </c>
      <c r="AL131" s="55" t="n"/>
      <c r="AM131" s="55">
        <f>AH132/AJ132%</f>
        <v/>
      </c>
      <c r="AN131" s="55">
        <f>AK132-AG132</f>
        <v/>
      </c>
      <c r="AO131" s="56">
        <f>AJ132/L132</f>
        <v/>
      </c>
      <c r="AP131" s="55">
        <f>(AJ132-AB132)/100</f>
        <v/>
      </c>
      <c r="AQ131" s="55">
        <f>(AJ132-AC132)/100</f>
        <v/>
      </c>
      <c r="AR131" s="57">
        <f>AI132/94</f>
        <v/>
      </c>
      <c r="AS131" s="57">
        <f>AJ132/94</f>
        <v/>
      </c>
      <c r="AT131" s="58">
        <f>AI132/24</f>
        <v/>
      </c>
      <c r="AU131" s="58">
        <f>AJ132/24</f>
        <v/>
      </c>
      <c r="AV131" s="58">
        <f>AI132/125</f>
        <v/>
      </c>
      <c r="AW131" s="58">
        <f>AJ132/125</f>
        <v/>
      </c>
      <c r="AX131" s="113" t="n"/>
      <c r="AY131" s="113" t="n"/>
    </row>
    <row r="132" ht="15.75" customHeight="1" s="258">
      <c r="A132" s="44" t="n"/>
      <c r="B132" s="44" t="inlineStr">
        <is>
          <t>Rogue Pink</t>
        </is>
      </c>
      <c r="C132" s="44" t="inlineStr">
        <is>
          <t>Yo-BR-R-RP</t>
        </is>
      </c>
      <c r="D132" s="45" t="n">
        <v>541</v>
      </c>
      <c r="E132" s="113" t="n"/>
      <c r="F132" s="44" t="n">
        <v>140</v>
      </c>
      <c r="G132" s="45" t="n">
        <v>94041000</v>
      </c>
      <c r="H132" s="115" t="n">
        <v>0.18</v>
      </c>
      <c r="I132" s="44">
        <f>D133*H133</f>
        <v/>
      </c>
      <c r="J132" s="113" t="n"/>
      <c r="K132" s="136" t="n">
        <v>200</v>
      </c>
      <c r="L132" s="48">
        <f>K133+J133+I133+F133+E133+D133</f>
        <v/>
      </c>
      <c r="M132" s="44">
        <f>D133*1%</f>
        <v/>
      </c>
      <c r="N132" s="49">
        <f>L133*8%</f>
        <v/>
      </c>
      <c r="O132" s="49">
        <f>L133*10%</f>
        <v/>
      </c>
      <c r="P132" s="49">
        <f>L133*5%</f>
        <v/>
      </c>
      <c r="Q132" s="49">
        <f>L133*2%</f>
        <v/>
      </c>
      <c r="R132" s="49">
        <f>AC133*0.5%</f>
        <v/>
      </c>
      <c r="S132" s="49">
        <f>L133*1%</f>
        <v/>
      </c>
      <c r="T132" s="50">
        <f>S133+Q133+P133+O133+N133+M133</f>
        <v/>
      </c>
      <c r="U132" s="44">
        <f>AC133*1%</f>
        <v/>
      </c>
      <c r="V132" s="44">
        <f>AC133*5%</f>
        <v/>
      </c>
      <c r="W132" s="44">
        <f>AC133*1%</f>
        <v/>
      </c>
      <c r="X132" s="44">
        <f>AC133*8%</f>
        <v/>
      </c>
      <c r="Y132" s="44">
        <f>U133+V133+W133+X133</f>
        <v/>
      </c>
      <c r="Z132" s="50">
        <f>Y133+T133+L133</f>
        <v/>
      </c>
      <c r="AA132" s="51">
        <f>Z133*20%</f>
        <v/>
      </c>
      <c r="AB132" s="49">
        <f>Z133+AA133</f>
        <v/>
      </c>
      <c r="AC132" s="44">
        <f>D133*2.1</f>
        <v/>
      </c>
      <c r="AD132" s="49">
        <f>AB133-AC133</f>
        <v/>
      </c>
      <c r="AE132" s="49">
        <f>AD133/AB133*100</f>
        <v/>
      </c>
      <c r="AF132" s="113" t="n">
        <v>1550</v>
      </c>
      <c r="AG132" s="116">
        <f>((AF133-L133)/L133)*100</f>
        <v/>
      </c>
      <c r="AH132" s="54">
        <f>AJ133-AF133</f>
        <v/>
      </c>
      <c r="AI132" s="54" t="n">
        <v>1690</v>
      </c>
      <c r="AJ132" s="54" t="n">
        <v>1590</v>
      </c>
      <c r="AK132" s="55">
        <f>(AJ133-L133)/L133*100</f>
        <v/>
      </c>
      <c r="AL132" s="55" t="n"/>
      <c r="AM132" s="55">
        <f>AH133/AJ133%</f>
        <v/>
      </c>
      <c r="AN132" s="55">
        <f>AK133-AG133</f>
        <v/>
      </c>
      <c r="AO132" s="56">
        <f>AJ133/L133</f>
        <v/>
      </c>
      <c r="AP132" s="55">
        <f>(AJ133-AB133)/100</f>
        <v/>
      </c>
      <c r="AQ132" s="55">
        <f>(AJ133-AC133)/100</f>
        <v/>
      </c>
      <c r="AR132" s="57">
        <f>AI133/94</f>
        <v/>
      </c>
      <c r="AS132" s="57">
        <f>AJ133/94</f>
        <v/>
      </c>
      <c r="AT132" s="58">
        <f>AI133/24</f>
        <v/>
      </c>
      <c r="AU132" s="58">
        <f>AJ133/24</f>
        <v/>
      </c>
      <c r="AV132" s="58">
        <f>AI133/125</f>
        <v/>
      </c>
      <c r="AW132" s="58">
        <f>AJ133/125</f>
        <v/>
      </c>
      <c r="AX132" s="113" t="n"/>
      <c r="AY132" s="113" t="n"/>
    </row>
    <row r="133" ht="15.75" customHeight="1" s="258">
      <c r="A133" s="2" t="inlineStr">
        <is>
          <t>Eye Shaped Natural Lavender Scented Eye Pillows</t>
        </is>
      </c>
      <c r="B133" s="2" t="inlineStr">
        <is>
          <t>Rose</t>
        </is>
      </c>
      <c r="C133" s="2" t="inlineStr">
        <is>
          <t>Yo-P-E-RE-1</t>
        </is>
      </c>
      <c r="D133" s="118" t="n">
        <v>175</v>
      </c>
      <c r="F133" s="2" t="n">
        <v>35</v>
      </c>
      <c r="G133" s="118" t="n">
        <v>94041000</v>
      </c>
      <c r="H133" s="255" t="n">
        <v>0.18</v>
      </c>
      <c r="I133" s="2">
        <f>D134*H134</f>
        <v/>
      </c>
      <c r="K133" s="2" t="n">
        <v>20</v>
      </c>
      <c r="L133" s="4">
        <f>K134+J134+I134+F134+E134+D134</f>
        <v/>
      </c>
      <c r="M133" s="2">
        <f>D134*1%</f>
        <v/>
      </c>
      <c r="N133" s="12">
        <f>L134*8%</f>
        <v/>
      </c>
      <c r="O133" s="12">
        <f>L134*10%</f>
        <v/>
      </c>
      <c r="P133" s="12">
        <f>L134*5%</f>
        <v/>
      </c>
      <c r="Q133" s="12">
        <f>L134*2%</f>
        <v/>
      </c>
      <c r="R133" s="12">
        <f>AC134*0.5%</f>
        <v/>
      </c>
      <c r="S133" s="12">
        <f>L134*1%</f>
        <v/>
      </c>
      <c r="T133" s="60">
        <f>S134+Q134+P134+O134+N134+M134</f>
        <v/>
      </c>
      <c r="U133" s="2">
        <f>AC134*1%</f>
        <v/>
      </c>
      <c r="V133" s="44">
        <f>AC134*5%</f>
        <v/>
      </c>
      <c r="W133" s="2">
        <f>AC134*1%</f>
        <v/>
      </c>
      <c r="X133" s="2">
        <f>AC134*8%</f>
        <v/>
      </c>
      <c r="Y133" s="2">
        <f>U134+V134+W134+X134</f>
        <v/>
      </c>
      <c r="Z133" s="60">
        <f>Y134+T134+L134</f>
        <v/>
      </c>
      <c r="AA133" s="11">
        <f>Z134*20%</f>
        <v/>
      </c>
      <c r="AB133" s="12">
        <f>Z134+AA134</f>
        <v/>
      </c>
      <c r="AC133" s="2">
        <f>D134*2.1</f>
        <v/>
      </c>
      <c r="AD133" s="12">
        <f>AB134-AC134</f>
        <v/>
      </c>
      <c r="AE133" s="12">
        <f>AD134/AB134*100</f>
        <v/>
      </c>
      <c r="AF133" s="92" t="n">
        <v>395</v>
      </c>
      <c r="AG133" s="62">
        <f>((AF134-L134)/L134)*100</f>
        <v/>
      </c>
      <c r="AH133" s="106">
        <f>AJ134-AF134</f>
        <v/>
      </c>
      <c r="AI133" s="65" t="n">
        <v>499</v>
      </c>
      <c r="AJ133" s="65" t="n">
        <v>425</v>
      </c>
      <c r="AK133" s="66">
        <f>(AJ134-L134)/L134*100</f>
        <v/>
      </c>
      <c r="AL133" s="66" t="n"/>
      <c r="AM133" s="14">
        <f>AH134/AJ134%</f>
        <v/>
      </c>
      <c r="AN133" s="67">
        <f>AK134-AG134</f>
        <v/>
      </c>
      <c r="AO133" s="68">
        <f>AJ134/L134</f>
        <v/>
      </c>
      <c r="AP133" s="69">
        <f>(AJ134-AB134)/100</f>
        <v/>
      </c>
      <c r="AQ133" s="70">
        <f>(AJ134-AC134)/100</f>
        <v/>
      </c>
      <c r="AR133" s="71">
        <f>AI134/94</f>
        <v/>
      </c>
      <c r="AS133" s="71">
        <f>AJ134/94</f>
        <v/>
      </c>
      <c r="AT133" s="72">
        <f>AI134/24</f>
        <v/>
      </c>
      <c r="AU133" s="72">
        <f>AJ134/24</f>
        <v/>
      </c>
      <c r="AV133" s="73">
        <f>AI134/125</f>
        <v/>
      </c>
      <c r="AW133" s="73">
        <f>AJ134/125</f>
        <v/>
      </c>
    </row>
    <row r="134" ht="15" customHeight="1" s="258">
      <c r="A134" s="2" t="n"/>
      <c r="B134" s="2" t="inlineStr">
        <is>
          <t>Dark Grey</t>
        </is>
      </c>
      <c r="C134" s="2" t="inlineStr">
        <is>
          <t>Yo-P-E-DG-1</t>
        </is>
      </c>
      <c r="D134" s="118" t="n">
        <v>175</v>
      </c>
      <c r="F134" s="2" t="n">
        <v>35</v>
      </c>
      <c r="G134" s="118" t="n">
        <v>94041000</v>
      </c>
      <c r="H134" s="255" t="n">
        <v>0.18</v>
      </c>
      <c r="I134" s="2">
        <f>D135*H135</f>
        <v/>
      </c>
      <c r="K134" s="2" t="n">
        <v>20</v>
      </c>
      <c r="L134" s="4">
        <f>K135+J135+I135+F135+E135+D135</f>
        <v/>
      </c>
      <c r="M134" s="2">
        <f>D135*1%</f>
        <v/>
      </c>
      <c r="N134" s="12">
        <f>L135*8%</f>
        <v/>
      </c>
      <c r="O134" s="12">
        <f>L135*10%</f>
        <v/>
      </c>
      <c r="P134" s="12">
        <f>L135*5%</f>
        <v/>
      </c>
      <c r="Q134" s="12">
        <f>L135*2%</f>
        <v/>
      </c>
      <c r="R134" s="12">
        <f>AC135*0.5%</f>
        <v/>
      </c>
      <c r="S134" s="12">
        <f>L135*1%</f>
        <v/>
      </c>
      <c r="T134" s="60">
        <f>S135+Q135+P135+O135+N135+M135</f>
        <v/>
      </c>
      <c r="U134" s="2">
        <f>AC135*1%</f>
        <v/>
      </c>
      <c r="V134" s="44">
        <f>AC135*5%</f>
        <v/>
      </c>
      <c r="W134" s="2">
        <f>AC135*1%</f>
        <v/>
      </c>
      <c r="X134" s="2">
        <f>AC135*8%</f>
        <v/>
      </c>
      <c r="Y134" s="2">
        <f>U135+V135+W135+X135</f>
        <v/>
      </c>
      <c r="Z134" s="60">
        <f>Y135+T135+L135</f>
        <v/>
      </c>
      <c r="AA134" s="11">
        <f>Z135*20%</f>
        <v/>
      </c>
      <c r="AB134" s="12">
        <f>Z135+AA135</f>
        <v/>
      </c>
      <c r="AC134" s="2">
        <f>D135*2.1</f>
        <v/>
      </c>
      <c r="AD134" s="12">
        <f>AB135-AC135</f>
        <v/>
      </c>
      <c r="AE134" s="12">
        <f>AD135/AB135*100</f>
        <v/>
      </c>
      <c r="AF134" s="92" t="n">
        <v>395</v>
      </c>
      <c r="AG134" s="62">
        <f>((AF135-L135)/L135)*100</f>
        <v/>
      </c>
      <c r="AH134" s="106">
        <f>AJ135-AF135</f>
        <v/>
      </c>
      <c r="AI134" s="65" t="n">
        <v>499</v>
      </c>
      <c r="AJ134" s="65" t="n">
        <v>425</v>
      </c>
      <c r="AK134" s="66">
        <f>(AJ135-L135)/L135*100</f>
        <v/>
      </c>
      <c r="AL134" s="66" t="n"/>
      <c r="AM134" s="14">
        <f>AH135/AJ135%</f>
        <v/>
      </c>
      <c r="AN134" s="67">
        <f>AK135-AG135</f>
        <v/>
      </c>
      <c r="AO134" s="68">
        <f>AJ135/L135</f>
        <v/>
      </c>
      <c r="AP134" s="69">
        <f>(AJ135-AB135)/100</f>
        <v/>
      </c>
      <c r="AQ134" s="70">
        <f>(AJ135-AC135)/100</f>
        <v/>
      </c>
      <c r="AR134" s="71">
        <f>AI135/94</f>
        <v/>
      </c>
      <c r="AS134" s="71">
        <f>AJ135/94</f>
        <v/>
      </c>
      <c r="AT134" s="72">
        <f>AI135/24</f>
        <v/>
      </c>
      <c r="AU134" s="72">
        <f>AJ135/24</f>
        <v/>
      </c>
      <c r="AV134" s="73">
        <f>AI135/125</f>
        <v/>
      </c>
      <c r="AW134" s="73">
        <f>AJ135/125</f>
        <v/>
      </c>
    </row>
    <row r="135" ht="15.75" customHeight="1" s="258">
      <c r="A135" s="2" t="n"/>
      <c r="B135" s="2" t="inlineStr">
        <is>
          <t>Grey</t>
        </is>
      </c>
      <c r="C135" s="2" t="inlineStr">
        <is>
          <t>Yo-P-E-GY-1</t>
        </is>
      </c>
      <c r="D135" s="118" t="n">
        <v>175</v>
      </c>
      <c r="E135" s="92" t="n"/>
      <c r="F135" s="2" t="n">
        <v>35</v>
      </c>
      <c r="G135" s="118" t="n">
        <v>94041000</v>
      </c>
      <c r="H135" s="255" t="n">
        <v>0.18</v>
      </c>
      <c r="I135" s="2">
        <f>D136*H136</f>
        <v/>
      </c>
      <c r="K135" s="2" t="n">
        <v>20</v>
      </c>
      <c r="L135" s="4">
        <f>K136+J136+I136+F136+E136+D136</f>
        <v/>
      </c>
      <c r="M135" s="2">
        <f>D136*1%</f>
        <v/>
      </c>
      <c r="N135" s="12">
        <f>L136*8%</f>
        <v/>
      </c>
      <c r="O135" s="12">
        <f>L136*10%</f>
        <v/>
      </c>
      <c r="P135" s="12">
        <f>L136*5%</f>
        <v/>
      </c>
      <c r="Q135" s="12">
        <f>L136*2%</f>
        <v/>
      </c>
      <c r="R135" s="12">
        <f>AC136*0.5%</f>
        <v/>
      </c>
      <c r="S135" s="12">
        <f>L136*1%</f>
        <v/>
      </c>
      <c r="T135" s="60">
        <f>S136+Q136+P136+O136+N136+M136</f>
        <v/>
      </c>
      <c r="U135" s="2">
        <f>AC136*1%</f>
        <v/>
      </c>
      <c r="V135" s="44">
        <f>AC136*5%</f>
        <v/>
      </c>
      <c r="W135" s="2">
        <f>AC136*1%</f>
        <v/>
      </c>
      <c r="X135" s="2">
        <f>AC136*8%</f>
        <v/>
      </c>
      <c r="Y135" s="2">
        <f>U136+V136+W136+X136</f>
        <v/>
      </c>
      <c r="Z135" s="60">
        <f>Y136+T136+L136</f>
        <v/>
      </c>
      <c r="AA135" s="11">
        <f>Z136*20%</f>
        <v/>
      </c>
      <c r="AB135" s="12">
        <f>Z136+AA136</f>
        <v/>
      </c>
      <c r="AC135" s="2">
        <f>D136*2.1</f>
        <v/>
      </c>
      <c r="AD135" s="12">
        <f>AB136-AC136</f>
        <v/>
      </c>
      <c r="AE135" s="12">
        <f>AD136/AB136*100</f>
        <v/>
      </c>
      <c r="AF135" s="92" t="n">
        <v>395</v>
      </c>
      <c r="AG135" s="62">
        <f>((AF136-L136)/L136)*100</f>
        <v/>
      </c>
      <c r="AH135" s="106">
        <f>AJ136-AF136</f>
        <v/>
      </c>
      <c r="AI135" s="65" t="n">
        <v>499</v>
      </c>
      <c r="AJ135" s="65" t="n">
        <v>425</v>
      </c>
      <c r="AK135" s="66">
        <f>(AJ136-L136)/L136*100</f>
        <v/>
      </c>
      <c r="AL135" s="66" t="n"/>
      <c r="AM135" s="14">
        <f>AH136/AJ136%</f>
        <v/>
      </c>
      <c r="AN135" s="67">
        <f>AK136-AG136</f>
        <v/>
      </c>
      <c r="AO135" s="68">
        <f>AJ136/L136</f>
        <v/>
      </c>
      <c r="AP135" s="69">
        <f>(AJ136-AB136)/100</f>
        <v/>
      </c>
      <c r="AQ135" s="70">
        <f>(AJ136-AC136)/100</f>
        <v/>
      </c>
      <c r="AR135" s="71">
        <f>AI136/94</f>
        <v/>
      </c>
      <c r="AS135" s="71">
        <f>AJ136/94</f>
        <v/>
      </c>
      <c r="AT135" s="72">
        <f>AI136/24</f>
        <v/>
      </c>
      <c r="AU135" s="72">
        <f>AJ136/24</f>
        <v/>
      </c>
      <c r="AV135" s="73">
        <f>AI136/125</f>
        <v/>
      </c>
      <c r="AW135" s="73">
        <f>AJ136/125</f>
        <v/>
      </c>
    </row>
    <row r="136" ht="15.75" customHeight="1" s="258">
      <c r="A136" s="2" t="n"/>
      <c r="B136" s="2" t="inlineStr">
        <is>
          <t>Navy Blue</t>
        </is>
      </c>
      <c r="C136" s="2" t="inlineStr">
        <is>
          <t>Yo-P-E-NB-1</t>
        </is>
      </c>
      <c r="D136" s="118" t="n">
        <v>175</v>
      </c>
      <c r="F136" s="2" t="n">
        <v>35</v>
      </c>
      <c r="G136" s="118" t="n">
        <v>94041000</v>
      </c>
      <c r="H136" s="255" t="n">
        <v>0.18</v>
      </c>
      <c r="I136" s="2">
        <f>D137*H137</f>
        <v/>
      </c>
      <c r="K136" s="2" t="n">
        <v>20</v>
      </c>
      <c r="L136" s="4">
        <f>K137+J137+I137+F137+E137+D137</f>
        <v/>
      </c>
      <c r="M136" s="2">
        <f>D137*1%</f>
        <v/>
      </c>
      <c r="N136" s="12">
        <f>L137*8%</f>
        <v/>
      </c>
      <c r="O136" s="12">
        <f>L137*10%</f>
        <v/>
      </c>
      <c r="P136" s="12">
        <f>L137*5%</f>
        <v/>
      </c>
      <c r="Q136" s="12">
        <f>L137*2%</f>
        <v/>
      </c>
      <c r="R136" s="12">
        <f>AC137*0.5%</f>
        <v/>
      </c>
      <c r="S136" s="12">
        <f>L137*1%</f>
        <v/>
      </c>
      <c r="T136" s="60">
        <f>S137+Q137+P137+O137+N137+M137</f>
        <v/>
      </c>
      <c r="U136" s="2">
        <f>AC137*1%</f>
        <v/>
      </c>
      <c r="V136" s="44">
        <f>AC137*5%</f>
        <v/>
      </c>
      <c r="W136" s="2">
        <f>AC137*1%</f>
        <v/>
      </c>
      <c r="X136" s="2">
        <f>AC137*8%</f>
        <v/>
      </c>
      <c r="Y136" s="2">
        <f>U137+V137+W137+X137</f>
        <v/>
      </c>
      <c r="Z136" s="60">
        <f>Y137+T137+L137</f>
        <v/>
      </c>
      <c r="AA136" s="11">
        <f>Z137*20%</f>
        <v/>
      </c>
      <c r="AB136" s="12">
        <f>Z137+AA137</f>
        <v/>
      </c>
      <c r="AC136" s="2">
        <f>D137*2.1</f>
        <v/>
      </c>
      <c r="AD136" s="12">
        <f>AB137-AC137</f>
        <v/>
      </c>
      <c r="AE136" s="12">
        <f>AD137/AB137*100</f>
        <v/>
      </c>
      <c r="AF136" s="92" t="n">
        <v>395</v>
      </c>
      <c r="AG136" s="62">
        <f>((AF137-L137)/L137)*100</f>
        <v/>
      </c>
      <c r="AH136" s="106">
        <f>AJ137-AF137</f>
        <v/>
      </c>
      <c r="AI136" s="65" t="n">
        <v>499</v>
      </c>
      <c r="AJ136" s="65" t="n">
        <v>425</v>
      </c>
      <c r="AK136" s="66">
        <f>(AJ137-L137)/L137*100</f>
        <v/>
      </c>
      <c r="AL136" s="66" t="n"/>
      <c r="AM136" s="14">
        <f>AH137/AJ137%</f>
        <v/>
      </c>
      <c r="AN136" s="67">
        <f>AK137-AG137</f>
        <v/>
      </c>
      <c r="AO136" s="68">
        <f>AJ137/L137</f>
        <v/>
      </c>
      <c r="AP136" s="69">
        <f>(AJ137-AB137)/100</f>
        <v/>
      </c>
      <c r="AQ136" s="70">
        <f>(AJ137-AC137)/100</f>
        <v/>
      </c>
      <c r="AR136" s="71">
        <f>AI137/94</f>
        <v/>
      </c>
      <c r="AS136" s="71">
        <f>AJ137/94</f>
        <v/>
      </c>
      <c r="AT136" s="72">
        <f>AI137/24</f>
        <v/>
      </c>
      <c r="AU136" s="72">
        <f>AJ137/24</f>
        <v/>
      </c>
      <c r="AV136" s="73">
        <f>AI137/125</f>
        <v/>
      </c>
      <c r="AW136" s="73">
        <f>AJ137/125</f>
        <v/>
      </c>
    </row>
    <row r="137" ht="15.75" customHeight="1" s="258">
      <c r="A137" s="2" t="n"/>
      <c r="B137" s="2" t="inlineStr">
        <is>
          <t>Sage</t>
        </is>
      </c>
      <c r="C137" s="2" t="inlineStr">
        <is>
          <t>Yo-P-E-SE-1</t>
        </is>
      </c>
      <c r="D137" s="118" t="n">
        <v>175</v>
      </c>
      <c r="F137" s="2" t="n">
        <v>35</v>
      </c>
      <c r="G137" s="118" t="n">
        <v>94041000</v>
      </c>
      <c r="H137" s="255" t="n">
        <v>0.18</v>
      </c>
      <c r="I137" s="2">
        <f>D138*H138</f>
        <v/>
      </c>
      <c r="K137" s="2" t="n">
        <v>20</v>
      </c>
      <c r="L137" s="4">
        <f>K138+J138+I138+F138+E138+D138</f>
        <v/>
      </c>
      <c r="M137" s="2">
        <f>D138*1%</f>
        <v/>
      </c>
      <c r="N137" s="12">
        <f>L138*8%</f>
        <v/>
      </c>
      <c r="O137" s="12">
        <f>L138*10%</f>
        <v/>
      </c>
      <c r="P137" s="12">
        <f>L138*5%</f>
        <v/>
      </c>
      <c r="Q137" s="12">
        <f>L138*2%</f>
        <v/>
      </c>
      <c r="R137" s="12">
        <f>AC138*0.5%</f>
        <v/>
      </c>
      <c r="S137" s="12">
        <f>L138*1%</f>
        <v/>
      </c>
      <c r="T137" s="60">
        <f>S138+Q138+P138+O138+N138+M138</f>
        <v/>
      </c>
      <c r="U137" s="2">
        <f>AC138*1%</f>
        <v/>
      </c>
      <c r="V137" s="44">
        <f>AC138*5%</f>
        <v/>
      </c>
      <c r="W137" s="2">
        <f>AC138*1%</f>
        <v/>
      </c>
      <c r="X137" s="2">
        <f>AC138*8%</f>
        <v/>
      </c>
      <c r="Y137" s="2">
        <f>U138+V138+W138+X138</f>
        <v/>
      </c>
      <c r="Z137" s="60">
        <f>Y138+T138+L138</f>
        <v/>
      </c>
      <c r="AA137" s="11">
        <f>Z138*20%</f>
        <v/>
      </c>
      <c r="AB137" s="12">
        <f>Z138+AA138</f>
        <v/>
      </c>
      <c r="AC137" s="2">
        <f>D138*2.1</f>
        <v/>
      </c>
      <c r="AD137" s="12">
        <f>AB138-AC138</f>
        <v/>
      </c>
      <c r="AE137" s="12">
        <f>AD138/AB138*100</f>
        <v/>
      </c>
      <c r="AF137" s="92" t="n">
        <v>395</v>
      </c>
      <c r="AG137" s="62">
        <f>((AF138-L138)/L138)*100</f>
        <v/>
      </c>
      <c r="AH137" s="106">
        <f>AJ138-AF138</f>
        <v/>
      </c>
      <c r="AI137" s="65" t="n">
        <v>499</v>
      </c>
      <c r="AJ137" s="65" t="n">
        <v>425</v>
      </c>
      <c r="AK137" s="66">
        <f>(AJ138-L138)/L138*100</f>
        <v/>
      </c>
      <c r="AL137" s="66" t="n"/>
      <c r="AM137" s="14">
        <f>AH138/AJ138%</f>
        <v/>
      </c>
      <c r="AN137" s="67">
        <f>AK138-AG138</f>
        <v/>
      </c>
      <c r="AO137" s="68">
        <f>AJ138/L138</f>
        <v/>
      </c>
      <c r="AP137" s="69">
        <f>(AJ138-AB138)/100</f>
        <v/>
      </c>
      <c r="AQ137" s="70">
        <f>(AJ138-AC138)/100</f>
        <v/>
      </c>
      <c r="AR137" s="71">
        <f>AI138/94</f>
        <v/>
      </c>
      <c r="AS137" s="71">
        <f>AJ138/94</f>
        <v/>
      </c>
      <c r="AT137" s="72">
        <f>AI138/24</f>
        <v/>
      </c>
      <c r="AU137" s="72">
        <f>AJ138/24</f>
        <v/>
      </c>
      <c r="AV137" s="73">
        <f>AI138/125</f>
        <v/>
      </c>
      <c r="AW137" s="73">
        <f>AJ138/125</f>
        <v/>
      </c>
    </row>
    <row r="138" ht="15.75" customHeight="1" s="258">
      <c r="A138" s="2" t="inlineStr">
        <is>
          <t>Crescent Zafu Cushion - Compact</t>
        </is>
      </c>
      <c r="B138" s="2" t="inlineStr">
        <is>
          <t>Dark Grey</t>
        </is>
      </c>
      <c r="C138" s="2" t="inlineStr">
        <is>
          <t>Me-CZ-C-DG</t>
        </is>
      </c>
      <c r="D138" s="118" t="n">
        <v>445</v>
      </c>
      <c r="F138" s="2" t="n">
        <v>140</v>
      </c>
      <c r="G138" s="74" t="n">
        <v>94041000</v>
      </c>
      <c r="H138" s="255" t="n">
        <v>0.18</v>
      </c>
      <c r="I138" s="2">
        <f>D139*H139</f>
        <v/>
      </c>
      <c r="K138" s="152" t="n">
        <v>100</v>
      </c>
      <c r="L138" s="4">
        <f>K139+J139+I139+F139+E139+D139</f>
        <v/>
      </c>
      <c r="M138" s="2">
        <f>D139*1%</f>
        <v/>
      </c>
      <c r="N138" s="12">
        <f>L139*8%</f>
        <v/>
      </c>
      <c r="O138" s="12">
        <f>L139*10%</f>
        <v/>
      </c>
      <c r="P138" s="12">
        <f>L139*5%</f>
        <v/>
      </c>
      <c r="Q138" s="12">
        <f>L139*2%</f>
        <v/>
      </c>
      <c r="R138" s="12">
        <f>AC139*0.5%</f>
        <v/>
      </c>
      <c r="S138" s="12">
        <f>L139*1%</f>
        <v/>
      </c>
      <c r="T138" s="60">
        <f>S139+Q139+P139+O139+N139+M139</f>
        <v/>
      </c>
      <c r="U138" s="2">
        <f>AC139*1%</f>
        <v/>
      </c>
      <c r="V138" s="44">
        <f>AC139*5%</f>
        <v/>
      </c>
      <c r="W138" s="2">
        <f>AC139*1%</f>
        <v/>
      </c>
      <c r="X138" s="2">
        <f>AC139*8%</f>
        <v/>
      </c>
      <c r="Y138" s="2">
        <f>U139+V139+W139+X139</f>
        <v/>
      </c>
      <c r="Z138" s="60">
        <f>Y139+T139+L139</f>
        <v/>
      </c>
      <c r="AA138" s="11">
        <f>Z139*20%</f>
        <v/>
      </c>
      <c r="AB138" s="12">
        <f>Z139+AA139</f>
        <v/>
      </c>
      <c r="AC138" s="2">
        <f>D139*2.1</f>
        <v/>
      </c>
      <c r="AD138" s="12">
        <f>AB139-AC139</f>
        <v/>
      </c>
      <c r="AE138" s="12">
        <f>AD139/AB139*100</f>
        <v/>
      </c>
      <c r="AF138" s="92" t="n">
        <v>1085</v>
      </c>
      <c r="AG138" s="62">
        <f>((AF139-L139)/L139)*100</f>
        <v/>
      </c>
      <c r="AH138" s="106">
        <f>AJ139-AF139</f>
        <v/>
      </c>
      <c r="AI138" s="65" t="n">
        <v>1290</v>
      </c>
      <c r="AJ138" s="65" t="n">
        <v>1290</v>
      </c>
      <c r="AK138" s="66">
        <f>(AJ139-L139)/L139*100</f>
        <v/>
      </c>
      <c r="AL138" s="66" t="n"/>
      <c r="AM138" s="14">
        <f>AH139/AJ139%</f>
        <v/>
      </c>
      <c r="AN138" s="67">
        <f>AK139-AG139</f>
        <v/>
      </c>
      <c r="AO138" s="68">
        <f>AJ139/L139</f>
        <v/>
      </c>
      <c r="AP138" s="69">
        <f>(AJ139-AB139)/100</f>
        <v/>
      </c>
      <c r="AQ138" s="70">
        <f>(AJ139-AC139)/100</f>
        <v/>
      </c>
      <c r="AR138" s="71">
        <f>AI139/94</f>
        <v/>
      </c>
      <c r="AS138" s="71">
        <f>AJ139/94</f>
        <v/>
      </c>
      <c r="AT138" s="72">
        <f>AI139/24</f>
        <v/>
      </c>
      <c r="AU138" s="72">
        <f>AJ139/24</f>
        <v/>
      </c>
      <c r="AV138" s="73">
        <f>AI139/125</f>
        <v/>
      </c>
      <c r="AW138" s="73">
        <f>AJ139/125</f>
        <v/>
      </c>
    </row>
    <row r="139" ht="15" customHeight="1" s="258">
      <c r="A139" s="2" t="n"/>
      <c r="B139" s="2" t="inlineStr">
        <is>
          <t>Misty Blue</t>
        </is>
      </c>
      <c r="C139" s="2" t="inlineStr">
        <is>
          <t>Me-CZ-C-MB</t>
        </is>
      </c>
      <c r="D139" s="118" t="n">
        <v>445</v>
      </c>
      <c r="F139" s="2" t="n">
        <v>140</v>
      </c>
      <c r="G139" s="74" t="n">
        <v>94041000</v>
      </c>
      <c r="H139" s="255" t="n">
        <v>0.18</v>
      </c>
      <c r="I139" s="2">
        <f>D140*H140</f>
        <v/>
      </c>
      <c r="K139" s="152" t="n">
        <v>100</v>
      </c>
      <c r="L139" s="4">
        <f>K140+J140+I140+F140+E140+D140</f>
        <v/>
      </c>
      <c r="M139" s="2">
        <f>D140*1%</f>
        <v/>
      </c>
      <c r="N139" s="12">
        <f>L140*8%</f>
        <v/>
      </c>
      <c r="O139" s="12">
        <f>L140*10%</f>
        <v/>
      </c>
      <c r="P139" s="12">
        <f>L140*5%</f>
        <v/>
      </c>
      <c r="Q139" s="12">
        <f>L140*2%</f>
        <v/>
      </c>
      <c r="R139" s="12">
        <f>AC140*0.5%</f>
        <v/>
      </c>
      <c r="S139" s="12">
        <f>L140*1%</f>
        <v/>
      </c>
      <c r="T139" s="60">
        <f>S140+Q140+P140+O140+N140+M140</f>
        <v/>
      </c>
      <c r="U139" s="2">
        <f>AC140*1%</f>
        <v/>
      </c>
      <c r="V139" s="44">
        <f>AC140*5%</f>
        <v/>
      </c>
      <c r="W139" s="2">
        <f>AC140*1%</f>
        <v/>
      </c>
      <c r="X139" s="2">
        <f>AC140*8%</f>
        <v/>
      </c>
      <c r="Y139" s="2">
        <f>U140+V140+W140+X140</f>
        <v/>
      </c>
      <c r="Z139" s="60">
        <f>Y140+T140+L140</f>
        <v/>
      </c>
      <c r="AA139" s="11">
        <f>Z140*20%</f>
        <v/>
      </c>
      <c r="AB139" s="12">
        <f>Z140+AA140</f>
        <v/>
      </c>
      <c r="AC139" s="2">
        <f>D140*2.1</f>
        <v/>
      </c>
      <c r="AD139" s="12">
        <f>AB140-AC140</f>
        <v/>
      </c>
      <c r="AE139" s="12">
        <f>AD140/AB140*100</f>
        <v/>
      </c>
      <c r="AF139" s="92" t="n">
        <v>1085</v>
      </c>
      <c r="AG139" s="62">
        <f>((AF140-L140)/L140)*100</f>
        <v/>
      </c>
      <c r="AH139" s="106">
        <f>AJ140-AF140</f>
        <v/>
      </c>
      <c r="AI139" s="65" t="n">
        <v>1290</v>
      </c>
      <c r="AJ139" s="65" t="n">
        <v>1290</v>
      </c>
      <c r="AK139" s="66">
        <f>(AJ140-L140)/L140*100</f>
        <v/>
      </c>
      <c r="AL139" s="66" t="n"/>
      <c r="AM139" s="14">
        <f>AH140/AJ140%</f>
        <v/>
      </c>
      <c r="AN139" s="67">
        <f>AK140-AG140</f>
        <v/>
      </c>
      <c r="AO139" s="68">
        <f>AJ140/L140</f>
        <v/>
      </c>
      <c r="AP139" s="69">
        <f>(AJ140-AB140)/100</f>
        <v/>
      </c>
      <c r="AQ139" s="70">
        <f>(AJ140-AC140)/100</f>
        <v/>
      </c>
      <c r="AR139" s="71">
        <f>AI140/94</f>
        <v/>
      </c>
      <c r="AS139" s="71">
        <f>AJ140/94</f>
        <v/>
      </c>
      <c r="AT139" s="72">
        <f>AI140/24</f>
        <v/>
      </c>
      <c r="AU139" s="72">
        <f>AJ140/24</f>
        <v/>
      </c>
      <c r="AV139" s="73">
        <f>AI140/125</f>
        <v/>
      </c>
      <c r="AW139" s="73">
        <f>AJ140/125</f>
        <v/>
      </c>
    </row>
    <row r="140" ht="15.75" customHeight="1" s="258">
      <c r="A140" s="2" t="n"/>
      <c r="B140" s="2" t="inlineStr">
        <is>
          <t>Lavender</t>
        </is>
      </c>
      <c r="C140" s="2" t="inlineStr">
        <is>
          <t>Me-CZ-C-L</t>
        </is>
      </c>
      <c r="D140" s="118" t="n">
        <v>445</v>
      </c>
      <c r="F140" s="2" t="n">
        <v>140</v>
      </c>
      <c r="G140" s="118" t="n">
        <v>94041000</v>
      </c>
      <c r="H140" s="255" t="n">
        <v>0.18</v>
      </c>
      <c r="I140" s="2">
        <f>D141*H141</f>
        <v/>
      </c>
      <c r="K140" s="152" t="n">
        <v>100</v>
      </c>
      <c r="L140" s="4">
        <f>K141+J141+I141+F141+E141+D141</f>
        <v/>
      </c>
      <c r="M140" s="2">
        <f>D141*1%</f>
        <v/>
      </c>
      <c r="N140" s="12">
        <f>L141*8%</f>
        <v/>
      </c>
      <c r="O140" s="12">
        <f>L141*10%</f>
        <v/>
      </c>
      <c r="P140" s="12">
        <f>L141*5%</f>
        <v/>
      </c>
      <c r="Q140" s="12">
        <f>L141*2%</f>
        <v/>
      </c>
      <c r="R140" s="12">
        <f>AC141*0.5%</f>
        <v/>
      </c>
      <c r="S140" s="12">
        <f>L141*1%</f>
        <v/>
      </c>
      <c r="T140" s="60">
        <f>S141+Q141+P141+O141+N141+M141</f>
        <v/>
      </c>
      <c r="U140" s="2">
        <f>AC141*1%</f>
        <v/>
      </c>
      <c r="V140" s="44">
        <f>AC141*5%</f>
        <v/>
      </c>
      <c r="W140" s="2">
        <f>AC141*1%</f>
        <v/>
      </c>
      <c r="X140" s="2">
        <f>AC141*8%</f>
        <v/>
      </c>
      <c r="Y140" s="2">
        <f>U141+V141+W141+X141</f>
        <v/>
      </c>
      <c r="Z140" s="60">
        <f>Y141+T141+L141</f>
        <v/>
      </c>
      <c r="AA140" s="11">
        <f>Z141*20%</f>
        <v/>
      </c>
      <c r="AB140" s="12">
        <f>Z141+AA141</f>
        <v/>
      </c>
      <c r="AC140" s="2">
        <f>D141*2.1</f>
        <v/>
      </c>
      <c r="AD140" s="12">
        <f>AB141-AC141</f>
        <v/>
      </c>
      <c r="AE140" s="12">
        <f>AD141/AB141*100</f>
        <v/>
      </c>
      <c r="AF140" s="92" t="n">
        <v>1085</v>
      </c>
      <c r="AG140" s="62">
        <f>((AF141-L141)/L141)*100</f>
        <v/>
      </c>
      <c r="AH140" s="106">
        <f>AJ141-AF141</f>
        <v/>
      </c>
      <c r="AI140" s="65" t="n">
        <v>1290</v>
      </c>
      <c r="AJ140" s="65" t="n">
        <v>1290</v>
      </c>
      <c r="AK140" s="66">
        <f>(AJ141-L141)/L141*100</f>
        <v/>
      </c>
      <c r="AL140" s="66" t="n"/>
      <c r="AM140" s="14">
        <f>AH141/AJ141%</f>
        <v/>
      </c>
      <c r="AN140" s="67">
        <f>AK141-AG141</f>
        <v/>
      </c>
      <c r="AO140" s="68">
        <f>AJ141/L141</f>
        <v/>
      </c>
      <c r="AP140" s="69">
        <f>(AJ141-AB141)/100</f>
        <v/>
      </c>
      <c r="AQ140" s="70">
        <f>(AJ141-AC141)/100</f>
        <v/>
      </c>
      <c r="AR140" s="71">
        <f>AI141/94</f>
        <v/>
      </c>
      <c r="AS140" s="71">
        <f>AJ141/94</f>
        <v/>
      </c>
      <c r="AT140" s="72">
        <f>AI141/24</f>
        <v/>
      </c>
      <c r="AU140" s="72">
        <f>AJ141/24</f>
        <v/>
      </c>
      <c r="AV140" s="73">
        <f>AI141/125</f>
        <v/>
      </c>
      <c r="AW140" s="73">
        <f>AJ141/125</f>
        <v/>
      </c>
    </row>
    <row r="141" ht="15.75" customHeight="1" s="258">
      <c r="A141" s="2" t="n"/>
      <c r="B141" s="2" t="inlineStr">
        <is>
          <t>Sage</t>
        </is>
      </c>
      <c r="C141" s="2" t="inlineStr">
        <is>
          <t>Me-CZ-C-S</t>
        </is>
      </c>
      <c r="D141" s="118" t="n">
        <v>445</v>
      </c>
      <c r="F141" s="2" t="n">
        <v>140</v>
      </c>
      <c r="G141" s="118" t="n">
        <v>94041000</v>
      </c>
      <c r="H141" s="255" t="n">
        <v>0.18</v>
      </c>
      <c r="I141" s="2">
        <f>D142*H142</f>
        <v/>
      </c>
      <c r="K141" s="152" t="n">
        <v>100</v>
      </c>
      <c r="L141" s="4">
        <f>K142+J142+I142+F142+E142+D142</f>
        <v/>
      </c>
      <c r="M141" s="2">
        <f>D142*1%</f>
        <v/>
      </c>
      <c r="N141" s="12">
        <f>L142*8%</f>
        <v/>
      </c>
      <c r="O141" s="12">
        <f>L142*10%</f>
        <v/>
      </c>
      <c r="P141" s="12">
        <f>L142*5%</f>
        <v/>
      </c>
      <c r="Q141" s="12">
        <f>L142*2%</f>
        <v/>
      </c>
      <c r="R141" s="12">
        <f>AC142*0.5%</f>
        <v/>
      </c>
      <c r="S141" s="12">
        <f>L142*1%</f>
        <v/>
      </c>
      <c r="T141" s="60">
        <f>S142+Q142+P142+O142+N142+M142</f>
        <v/>
      </c>
      <c r="U141" s="2">
        <f>AC142*1%</f>
        <v/>
      </c>
      <c r="V141" s="44">
        <f>AC142*5%</f>
        <v/>
      </c>
      <c r="W141" s="2">
        <f>AC142*1%</f>
        <v/>
      </c>
      <c r="X141" s="2">
        <f>AC142*8%</f>
        <v/>
      </c>
      <c r="Y141" s="2">
        <f>U142+V142+W142+X142</f>
        <v/>
      </c>
      <c r="Z141" s="60">
        <f>Y142+T142+L142</f>
        <v/>
      </c>
      <c r="AA141" s="11">
        <f>Z142*20%</f>
        <v/>
      </c>
      <c r="AB141" s="12">
        <f>Z142+AA142</f>
        <v/>
      </c>
      <c r="AC141" s="2">
        <f>D142*2.1</f>
        <v/>
      </c>
      <c r="AD141" s="12">
        <f>AB142-AC142</f>
        <v/>
      </c>
      <c r="AE141" s="12">
        <f>AD142/AB142*100</f>
        <v/>
      </c>
      <c r="AF141" s="92" t="n">
        <v>1085</v>
      </c>
      <c r="AG141" s="62">
        <f>((AF142-L142)/L142)*100</f>
        <v/>
      </c>
      <c r="AH141" s="106">
        <f>AJ142-AF142</f>
        <v/>
      </c>
      <c r="AI141" s="65" t="n">
        <v>1290</v>
      </c>
      <c r="AJ141" s="65" t="n">
        <v>1290</v>
      </c>
      <c r="AK141" s="66">
        <f>(AJ142-L142)/L142*100</f>
        <v/>
      </c>
      <c r="AL141" s="66" t="n"/>
      <c r="AM141" s="14">
        <f>AH142/AJ142%</f>
        <v/>
      </c>
      <c r="AN141" s="67">
        <f>AK142-AG142</f>
        <v/>
      </c>
      <c r="AO141" s="68">
        <f>AJ142/L142</f>
        <v/>
      </c>
      <c r="AP141" s="69">
        <f>(AJ142-AB142)/100</f>
        <v/>
      </c>
      <c r="AQ141" s="70">
        <f>(AJ142-AC142)/100</f>
        <v/>
      </c>
      <c r="AR141" s="71">
        <f>AI142/94</f>
        <v/>
      </c>
      <c r="AS141" s="71">
        <f>AJ142/94</f>
        <v/>
      </c>
      <c r="AT141" s="72">
        <f>AI142/24</f>
        <v/>
      </c>
      <c r="AU141" s="72">
        <f>AJ142/24</f>
        <v/>
      </c>
      <c r="AV141" s="73">
        <f>AI142/125</f>
        <v/>
      </c>
      <c r="AW141" s="73">
        <f>AJ142/125</f>
        <v/>
      </c>
    </row>
    <row r="142" ht="15.75" customHeight="1" s="258">
      <c r="A142" s="2" t="n"/>
      <c r="B142" s="2" t="inlineStr">
        <is>
          <t>Rose</t>
        </is>
      </c>
      <c r="C142" s="2" t="inlineStr">
        <is>
          <t>Me-CZ-C-RE</t>
        </is>
      </c>
      <c r="D142" s="118" t="n">
        <v>445</v>
      </c>
      <c r="F142" s="2" t="n">
        <v>140</v>
      </c>
      <c r="G142" s="118" t="n">
        <v>94041000</v>
      </c>
      <c r="H142" s="255" t="n">
        <v>0.18</v>
      </c>
      <c r="I142" s="2">
        <f>D143*H143</f>
        <v/>
      </c>
      <c r="K142" s="152" t="n">
        <v>100</v>
      </c>
      <c r="L142" s="4">
        <f>K143+J143+I143+F143+E143+D143</f>
        <v/>
      </c>
      <c r="M142" s="2">
        <f>D143*1%</f>
        <v/>
      </c>
      <c r="N142" s="12">
        <f>L143*8%</f>
        <v/>
      </c>
      <c r="O142" s="12">
        <f>L143*10%</f>
        <v/>
      </c>
      <c r="P142" s="12">
        <f>L143*5%</f>
        <v/>
      </c>
      <c r="Q142" s="12">
        <f>L143*2%</f>
        <v/>
      </c>
      <c r="R142" s="12">
        <f>AC143*0.5%</f>
        <v/>
      </c>
      <c r="S142" s="12">
        <f>L143*1%</f>
        <v/>
      </c>
      <c r="T142" s="60">
        <f>S143+Q143+P143+O143+N143+M143</f>
        <v/>
      </c>
      <c r="U142" s="2">
        <f>AC143*1%</f>
        <v/>
      </c>
      <c r="V142" s="44">
        <f>AC143*5%</f>
        <v/>
      </c>
      <c r="W142" s="2">
        <f>AC143*1%</f>
        <v/>
      </c>
      <c r="X142" s="2">
        <f>AC143*8%</f>
        <v/>
      </c>
      <c r="Y142" s="2">
        <f>U143+V143+W143+X143</f>
        <v/>
      </c>
      <c r="Z142" s="60">
        <f>Y143+T143+L143</f>
        <v/>
      </c>
      <c r="AA142" s="11">
        <f>Z143*20%</f>
        <v/>
      </c>
      <c r="AB142" s="12">
        <f>Z143+AA143</f>
        <v/>
      </c>
      <c r="AC142" s="2">
        <f>D143*2.1</f>
        <v/>
      </c>
      <c r="AD142" s="12">
        <f>AB143-AC143</f>
        <v/>
      </c>
      <c r="AE142" s="12">
        <f>AD143/AB143*100</f>
        <v/>
      </c>
      <c r="AF142" s="92" t="n">
        <v>1085</v>
      </c>
      <c r="AG142" s="62">
        <f>((AF143-L143)/L143)*100</f>
        <v/>
      </c>
      <c r="AH142" s="106">
        <f>AJ143-AF143</f>
        <v/>
      </c>
      <c r="AI142" s="65" t="n">
        <v>1290</v>
      </c>
      <c r="AJ142" s="65" t="n">
        <v>1290</v>
      </c>
      <c r="AK142" s="66">
        <f>(AJ143-L143)/L143*100</f>
        <v/>
      </c>
      <c r="AL142" s="66" t="n"/>
      <c r="AM142" s="14">
        <f>AH143/AJ143%</f>
        <v/>
      </c>
      <c r="AN142" s="67">
        <f>AK143-AG143</f>
        <v/>
      </c>
      <c r="AO142" s="68">
        <f>AJ143/L143</f>
        <v/>
      </c>
      <c r="AP142" s="69">
        <f>(AJ143-AB143)/100</f>
        <v/>
      </c>
      <c r="AQ142" s="70">
        <f>(AJ143-AC143)/100</f>
        <v/>
      </c>
      <c r="AR142" s="71">
        <f>AI143/94</f>
        <v/>
      </c>
      <c r="AS142" s="71">
        <f>AJ143/94</f>
        <v/>
      </c>
      <c r="AT142" s="72">
        <f>AI143/24</f>
        <v/>
      </c>
      <c r="AU142" s="72">
        <f>AJ143/24</f>
        <v/>
      </c>
      <c r="AV142" s="73">
        <f>AI143/125</f>
        <v/>
      </c>
      <c r="AW142" s="73">
        <f>AJ143/125</f>
        <v/>
      </c>
    </row>
    <row r="143" ht="15.75" customHeight="1" s="258">
      <c r="A143" s="2" t="inlineStr">
        <is>
          <t>Yoga Belt/Strap for Sturdy Grip</t>
        </is>
      </c>
      <c r="B143" s="2" t="inlineStr">
        <is>
          <t>Sky Blue</t>
        </is>
      </c>
      <c r="C143" s="2" t="inlineStr">
        <is>
          <t>Yo-BL-D-SB</t>
        </is>
      </c>
      <c r="D143" s="118" t="n">
        <v>145</v>
      </c>
      <c r="F143" s="2" t="n">
        <v>40</v>
      </c>
      <c r="G143" s="118" t="n">
        <v>94041000</v>
      </c>
      <c r="H143" s="255" t="n">
        <v>0.18</v>
      </c>
      <c r="I143" s="2">
        <f>D144*H144</f>
        <v/>
      </c>
      <c r="K143" s="2" t="n">
        <v>20</v>
      </c>
      <c r="L143" s="4">
        <f>K144+J144+I144+F144+E144+D144</f>
        <v/>
      </c>
      <c r="M143" s="2">
        <f>D144*1%</f>
        <v/>
      </c>
      <c r="N143" s="12">
        <f>L144*8%</f>
        <v/>
      </c>
      <c r="O143" s="12">
        <f>L144*10%</f>
        <v/>
      </c>
      <c r="P143" s="12">
        <f>L144*5%</f>
        <v/>
      </c>
      <c r="Q143" s="12">
        <f>L144*2%</f>
        <v/>
      </c>
      <c r="R143" s="12">
        <f>AC144*0.5%</f>
        <v/>
      </c>
      <c r="S143" s="12">
        <f>L144*1%</f>
        <v/>
      </c>
      <c r="T143" s="60">
        <f>S144+Q144+P144+O144+N144+M144</f>
        <v/>
      </c>
      <c r="U143" s="2">
        <f>AC144*1%</f>
        <v/>
      </c>
      <c r="V143" s="44">
        <f>AC144*5%</f>
        <v/>
      </c>
      <c r="W143" s="2">
        <f>AC144*1%</f>
        <v/>
      </c>
      <c r="X143" s="2">
        <f>AC144*8%</f>
        <v/>
      </c>
      <c r="Y143" s="2">
        <f>U144+V144+W144+X144</f>
        <v/>
      </c>
      <c r="Z143" s="60">
        <f>Y144+T144+L144</f>
        <v/>
      </c>
      <c r="AA143" s="11">
        <f>Z144*20%</f>
        <v/>
      </c>
      <c r="AB143" s="12">
        <f>Z144+AA144</f>
        <v/>
      </c>
      <c r="AC143" s="2">
        <f>D144*2.1</f>
        <v/>
      </c>
      <c r="AD143" s="12">
        <f>AB144-AC144</f>
        <v/>
      </c>
      <c r="AE143" s="12">
        <f>AD144/AB144*100</f>
        <v/>
      </c>
      <c r="AF143" s="92" t="n">
        <v>345</v>
      </c>
      <c r="AG143" s="62">
        <f>((AF144-L144)/L144)*100</f>
        <v/>
      </c>
      <c r="AH143" s="106">
        <f>AJ144-AF144</f>
        <v/>
      </c>
      <c r="AI143" s="65">
        <f>AB144</f>
        <v/>
      </c>
      <c r="AJ143" s="65">
        <f>AI144-(AI144*7%)</f>
        <v/>
      </c>
      <c r="AK143" s="66">
        <f>(AJ144-L144)/L144*100</f>
        <v/>
      </c>
      <c r="AL143" s="66" t="n"/>
      <c r="AM143" s="14">
        <f>AH144/AJ144%</f>
        <v/>
      </c>
      <c r="AN143" s="67">
        <f>AK144-AG144</f>
        <v/>
      </c>
      <c r="AO143" s="68">
        <f>AJ144/L144</f>
        <v/>
      </c>
      <c r="AP143" s="69">
        <f>(AJ144-AB144)/100</f>
        <v/>
      </c>
      <c r="AQ143" s="70">
        <f>(AJ144-AC144)/100</f>
        <v/>
      </c>
      <c r="AR143" s="71">
        <f>AI144/94</f>
        <v/>
      </c>
      <c r="AS143" s="71">
        <f>AJ144/94</f>
        <v/>
      </c>
      <c r="AT143" s="72">
        <f>AI144/24</f>
        <v/>
      </c>
      <c r="AU143" s="72">
        <f>AJ144/24</f>
        <v/>
      </c>
      <c r="AV143" s="73">
        <f>AI144/125</f>
        <v/>
      </c>
      <c r="AW143" s="73">
        <f>AJ144/125</f>
        <v/>
      </c>
    </row>
    <row r="144" ht="15" customHeight="1" s="258">
      <c r="A144" s="2" t="n"/>
      <c r="B144" s="2" t="inlineStr">
        <is>
          <t>Beige</t>
        </is>
      </c>
      <c r="C144" s="2" t="inlineStr">
        <is>
          <t>Yo-BL-D-BE</t>
        </is>
      </c>
      <c r="D144" s="118" t="n">
        <v>145</v>
      </c>
      <c r="F144" s="2" t="n">
        <v>40</v>
      </c>
      <c r="G144" s="118" t="n">
        <v>94041000</v>
      </c>
      <c r="H144" s="255" t="n">
        <v>0.18</v>
      </c>
      <c r="I144" s="2">
        <f>D145*H145</f>
        <v/>
      </c>
      <c r="K144" s="2" t="n">
        <v>20</v>
      </c>
      <c r="L144" s="4">
        <f>K145+J145+I145+F145+E145+D145</f>
        <v/>
      </c>
      <c r="M144" s="2">
        <f>D145*1%</f>
        <v/>
      </c>
      <c r="N144" s="12">
        <f>L145*8%</f>
        <v/>
      </c>
      <c r="O144" s="12">
        <f>L145*10%</f>
        <v/>
      </c>
      <c r="P144" s="12">
        <f>L145*5%</f>
        <v/>
      </c>
      <c r="Q144" s="12">
        <f>L145*2%</f>
        <v/>
      </c>
      <c r="R144" s="12">
        <f>AC145*0.5%</f>
        <v/>
      </c>
      <c r="S144" s="12">
        <f>L145*1%</f>
        <v/>
      </c>
      <c r="T144" s="60">
        <f>S145+Q145+P145+O145+N145+M145</f>
        <v/>
      </c>
      <c r="U144" s="2">
        <f>AC145*1%</f>
        <v/>
      </c>
      <c r="V144" s="44">
        <f>AC145*5%</f>
        <v/>
      </c>
      <c r="W144" s="2">
        <f>AC145*1%</f>
        <v/>
      </c>
      <c r="X144" s="2">
        <f>AC145*8%</f>
        <v/>
      </c>
      <c r="Y144" s="2">
        <f>U145+V145+W145+X145</f>
        <v/>
      </c>
      <c r="Z144" s="60">
        <f>Y145+T145+L145</f>
        <v/>
      </c>
      <c r="AA144" s="11">
        <f>Z145*20%</f>
        <v/>
      </c>
      <c r="AB144" s="12">
        <f>Z145+AA145</f>
        <v/>
      </c>
      <c r="AC144" s="2">
        <f>D145*2.1</f>
        <v/>
      </c>
      <c r="AD144" s="12">
        <f>AB145-AC145</f>
        <v/>
      </c>
      <c r="AE144" s="12">
        <f>AD145/AB145*100</f>
        <v/>
      </c>
      <c r="AF144" s="92" t="n">
        <v>345</v>
      </c>
      <c r="AG144" s="62">
        <f>((AF145-L145)/L145)*100</f>
        <v/>
      </c>
      <c r="AH144" s="106">
        <f>AJ145-AF145</f>
        <v/>
      </c>
      <c r="AI144" s="65">
        <f>AB145</f>
        <v/>
      </c>
      <c r="AJ144" s="65">
        <f>AI145-(AI145*7%)</f>
        <v/>
      </c>
      <c r="AK144" s="66">
        <f>(AJ145-L145)/L145*100</f>
        <v/>
      </c>
      <c r="AL144" s="66" t="n"/>
      <c r="AM144" s="14">
        <f>AH145/AJ145%</f>
        <v/>
      </c>
      <c r="AN144" s="67">
        <f>AK145-AG145</f>
        <v/>
      </c>
      <c r="AO144" s="68">
        <f>AJ145/L145</f>
        <v/>
      </c>
      <c r="AP144" s="69">
        <f>(AJ145-AB145)/100</f>
        <v/>
      </c>
      <c r="AQ144" s="70">
        <f>(AJ145-AC145)/100</f>
        <v/>
      </c>
      <c r="AR144" s="71">
        <f>AI145/94</f>
        <v/>
      </c>
      <c r="AS144" s="71">
        <f>AJ145/94</f>
        <v/>
      </c>
      <c r="AT144" s="72">
        <f>AI145/24</f>
        <v/>
      </c>
      <c r="AU144" s="72">
        <f>AJ145/24</f>
        <v/>
      </c>
      <c r="AV144" s="73">
        <f>AI145/125</f>
        <v/>
      </c>
      <c r="AW144" s="73">
        <f>AJ145/125</f>
        <v/>
      </c>
    </row>
    <row r="145" ht="15.75" customHeight="1" s="258">
      <c r="A145" s="2" t="n"/>
      <c r="B145" s="2" t="inlineStr">
        <is>
          <t>Green</t>
        </is>
      </c>
      <c r="C145" s="2" t="inlineStr">
        <is>
          <t>Yo-BL-D-GR</t>
        </is>
      </c>
      <c r="D145" s="118" t="n">
        <v>145</v>
      </c>
      <c r="F145" s="2" t="n">
        <v>40</v>
      </c>
      <c r="G145" s="118" t="n">
        <v>94041000</v>
      </c>
      <c r="H145" s="255" t="n">
        <v>0.18</v>
      </c>
      <c r="I145" s="2">
        <f>D146*H146</f>
        <v/>
      </c>
      <c r="K145" s="2" t="n">
        <v>20</v>
      </c>
      <c r="L145" s="4">
        <f>K146+J146+I146+F146+E146+D146</f>
        <v/>
      </c>
      <c r="M145" s="2">
        <f>D146*1%</f>
        <v/>
      </c>
      <c r="N145" s="12">
        <f>L146*8%</f>
        <v/>
      </c>
      <c r="O145" s="12">
        <f>L146*10%</f>
        <v/>
      </c>
      <c r="P145" s="12">
        <f>L146*5%</f>
        <v/>
      </c>
      <c r="Q145" s="12">
        <f>L146*2%</f>
        <v/>
      </c>
      <c r="R145" s="12">
        <f>AC146*0.5%</f>
        <v/>
      </c>
      <c r="S145" s="12">
        <f>L146*1%</f>
        <v/>
      </c>
      <c r="T145" s="60">
        <f>S146+Q146+P146+O146+N146+M146</f>
        <v/>
      </c>
      <c r="U145" s="2">
        <f>AC146*1%</f>
        <v/>
      </c>
      <c r="V145" s="44">
        <f>AC146*5%</f>
        <v/>
      </c>
      <c r="W145" s="2">
        <f>AC146*1%</f>
        <v/>
      </c>
      <c r="X145" s="2">
        <f>AC146*8%</f>
        <v/>
      </c>
      <c r="Y145" s="2">
        <f>U146+V146+W146+X146</f>
        <v/>
      </c>
      <c r="Z145" s="60">
        <f>Y146+T146+L146</f>
        <v/>
      </c>
      <c r="AA145" s="11">
        <f>Z146*20%</f>
        <v/>
      </c>
      <c r="AB145" s="12">
        <f>Z146+AA146</f>
        <v/>
      </c>
      <c r="AC145" s="2">
        <f>D146*2.1</f>
        <v/>
      </c>
      <c r="AD145" s="12">
        <f>AB146-AC146</f>
        <v/>
      </c>
      <c r="AE145" s="12">
        <f>AD146/AB146*100</f>
        <v/>
      </c>
      <c r="AF145" s="92" t="n">
        <v>345</v>
      </c>
      <c r="AG145" s="62">
        <f>((AF146-L146)/L146)*100</f>
        <v/>
      </c>
      <c r="AH145" s="106">
        <f>AJ146-AF146</f>
        <v/>
      </c>
      <c r="AI145" s="65">
        <f>AB146</f>
        <v/>
      </c>
      <c r="AJ145" s="65">
        <f>AI146-(AI146*7%)</f>
        <v/>
      </c>
      <c r="AK145" s="66">
        <f>(AJ146-L146)/L146*100</f>
        <v/>
      </c>
      <c r="AL145" s="66" t="n"/>
      <c r="AM145" s="14">
        <f>AH146/AJ146%</f>
        <v/>
      </c>
      <c r="AN145" s="67">
        <f>AK146-AG146</f>
        <v/>
      </c>
      <c r="AO145" s="68">
        <f>AJ146/L146</f>
        <v/>
      </c>
      <c r="AP145" s="69">
        <f>(AJ146-AB146)/100</f>
        <v/>
      </c>
      <c r="AQ145" s="70">
        <f>(AJ146-AC146)/100</f>
        <v/>
      </c>
      <c r="AR145" s="71">
        <f>AI146/94</f>
        <v/>
      </c>
      <c r="AS145" s="71">
        <f>AJ146/94</f>
        <v/>
      </c>
      <c r="AT145" s="72">
        <f>AI146/24</f>
        <v/>
      </c>
      <c r="AU145" s="72">
        <f>AJ146/24</f>
        <v/>
      </c>
      <c r="AV145" s="73">
        <f>AI146/125</f>
        <v/>
      </c>
      <c r="AW145" s="73">
        <f>AJ146/125</f>
        <v/>
      </c>
    </row>
    <row r="146" ht="15.75" customHeight="1" s="258">
      <c r="A146" s="2" t="n"/>
      <c r="B146" s="2" t="inlineStr">
        <is>
          <t>Navy Blue</t>
        </is>
      </c>
      <c r="C146" s="2" t="inlineStr">
        <is>
          <t>Yo-BL-D-NB</t>
        </is>
      </c>
      <c r="D146" s="118" t="n">
        <v>145</v>
      </c>
      <c r="F146" s="2" t="n">
        <v>40</v>
      </c>
      <c r="G146" s="118" t="n">
        <v>94041000</v>
      </c>
      <c r="H146" s="255" t="n">
        <v>0.18</v>
      </c>
      <c r="I146" s="2">
        <f>D147*H147</f>
        <v/>
      </c>
      <c r="K146" s="2" t="n">
        <v>20</v>
      </c>
      <c r="L146" s="4">
        <f>K147+J147+I147+F147+E147+D147</f>
        <v/>
      </c>
      <c r="M146" s="2">
        <f>D147*1%</f>
        <v/>
      </c>
      <c r="N146" s="12">
        <f>L147*8%</f>
        <v/>
      </c>
      <c r="O146" s="12">
        <f>L147*10%</f>
        <v/>
      </c>
      <c r="P146" s="12">
        <f>L147*5%</f>
        <v/>
      </c>
      <c r="Q146" s="12">
        <f>L147*2%</f>
        <v/>
      </c>
      <c r="R146" s="12">
        <f>AC147*0.5%</f>
        <v/>
      </c>
      <c r="S146" s="12">
        <f>L147*1%</f>
        <v/>
      </c>
      <c r="T146" s="60">
        <f>S147+Q147+P147+O147+N147+M147</f>
        <v/>
      </c>
      <c r="U146" s="2">
        <f>AC147*1%</f>
        <v/>
      </c>
      <c r="V146" s="44">
        <f>AC147*5%</f>
        <v/>
      </c>
      <c r="W146" s="2">
        <f>AC147*1%</f>
        <v/>
      </c>
      <c r="X146" s="2">
        <f>AC147*8%</f>
        <v/>
      </c>
      <c r="Y146" s="2">
        <f>U147+V147+W147+X147</f>
        <v/>
      </c>
      <c r="Z146" s="60">
        <f>Y147+T147+L147</f>
        <v/>
      </c>
      <c r="AA146" s="11">
        <f>Z147*20%</f>
        <v/>
      </c>
      <c r="AB146" s="12">
        <f>Z147+AA147</f>
        <v/>
      </c>
      <c r="AC146" s="2">
        <f>D147*2.1</f>
        <v/>
      </c>
      <c r="AD146" s="12">
        <f>AB147-AC147</f>
        <v/>
      </c>
      <c r="AE146" s="12">
        <f>AD147/AB147*100</f>
        <v/>
      </c>
      <c r="AF146" s="92" t="n">
        <v>345</v>
      </c>
      <c r="AG146" s="62">
        <f>((AF147-L147)/L147)*100</f>
        <v/>
      </c>
      <c r="AH146" s="106">
        <f>AJ147-AF147</f>
        <v/>
      </c>
      <c r="AI146" s="65">
        <f>AB147</f>
        <v/>
      </c>
      <c r="AJ146" s="65">
        <f>AI147-(AI147*7%)</f>
        <v/>
      </c>
      <c r="AK146" s="66">
        <f>(AJ147-L147)/L147*100</f>
        <v/>
      </c>
      <c r="AL146" s="66" t="n"/>
      <c r="AM146" s="14">
        <f>AH147/AJ147%</f>
        <v/>
      </c>
      <c r="AN146" s="67">
        <f>AK147-AG147</f>
        <v/>
      </c>
      <c r="AO146" s="68">
        <f>AJ147/L147</f>
        <v/>
      </c>
      <c r="AP146" s="69">
        <f>(AJ147-AB147)/100</f>
        <v/>
      </c>
      <c r="AQ146" s="70">
        <f>(AJ147-AC147)/100</f>
        <v/>
      </c>
      <c r="AR146" s="71">
        <f>AI147/94</f>
        <v/>
      </c>
      <c r="AS146" s="71">
        <f>AJ147/94</f>
        <v/>
      </c>
      <c r="AT146" s="72">
        <f>AI147/24</f>
        <v/>
      </c>
      <c r="AU146" s="72">
        <f>AJ147/24</f>
        <v/>
      </c>
      <c r="AV146" s="73">
        <f>AI147/125</f>
        <v/>
      </c>
      <c r="AW146" s="73">
        <f>AJ147/125</f>
        <v/>
      </c>
    </row>
    <row r="147" ht="15.75" customHeight="1" s="258">
      <c r="A147" s="2" t="n"/>
      <c r="B147" s="2" t="inlineStr">
        <is>
          <t>Rose</t>
        </is>
      </c>
      <c r="C147" s="2" t="inlineStr">
        <is>
          <t>Yo-BL-D-RE</t>
        </is>
      </c>
      <c r="D147" s="118" t="n">
        <v>145</v>
      </c>
      <c r="F147" s="2" t="n">
        <v>40</v>
      </c>
      <c r="G147" s="118" t="n">
        <v>94041000</v>
      </c>
      <c r="H147" s="255" t="n">
        <v>0.18</v>
      </c>
      <c r="I147" s="2">
        <f>D148*H148</f>
        <v/>
      </c>
      <c r="K147" s="2" t="n">
        <v>20</v>
      </c>
      <c r="L147" s="4">
        <f>K148+J148+I148+F148+E148+D148</f>
        <v/>
      </c>
      <c r="M147" s="2">
        <f>D148*1%</f>
        <v/>
      </c>
      <c r="N147" s="12">
        <f>L148*8%</f>
        <v/>
      </c>
      <c r="O147" s="12">
        <f>L148*10%</f>
        <v/>
      </c>
      <c r="P147" s="12">
        <f>L148*5%</f>
        <v/>
      </c>
      <c r="Q147" s="12">
        <f>L148*2%</f>
        <v/>
      </c>
      <c r="R147" s="12">
        <f>AC148*0.5%</f>
        <v/>
      </c>
      <c r="S147" s="12">
        <f>L148*1%</f>
        <v/>
      </c>
      <c r="T147" s="60">
        <f>S148+Q148+P148+O148+N148+M148</f>
        <v/>
      </c>
      <c r="U147" s="2">
        <f>AC148*1%</f>
        <v/>
      </c>
      <c r="V147" s="44">
        <f>AC148*5%</f>
        <v/>
      </c>
      <c r="W147" s="2">
        <f>AC148*1%</f>
        <v/>
      </c>
      <c r="X147" s="2">
        <f>AC148*8%</f>
        <v/>
      </c>
      <c r="Y147" s="2">
        <f>U148+V148+W148+X148</f>
        <v/>
      </c>
      <c r="Z147" s="60">
        <f>Y148+T148+L148</f>
        <v/>
      </c>
      <c r="AA147" s="11">
        <f>Z148*20%</f>
        <v/>
      </c>
      <c r="AB147" s="12">
        <f>Z148+AA148</f>
        <v/>
      </c>
      <c r="AC147" s="2">
        <f>D148*2.1</f>
        <v/>
      </c>
      <c r="AD147" s="12">
        <f>AB148-AC148</f>
        <v/>
      </c>
      <c r="AE147" s="12">
        <f>AD148/AB148*100</f>
        <v/>
      </c>
      <c r="AF147" s="92" t="n">
        <v>345</v>
      </c>
      <c r="AG147" s="62">
        <f>((AF148-L148)/L148)*100</f>
        <v/>
      </c>
      <c r="AH147" s="106">
        <f>AJ148-AF148</f>
        <v/>
      </c>
      <c r="AI147" s="65">
        <f>AB148</f>
        <v/>
      </c>
      <c r="AJ147" s="65">
        <f>AI148-(AI148*7%)</f>
        <v/>
      </c>
      <c r="AK147" s="66">
        <f>(AJ148-L148)/L148*100</f>
        <v/>
      </c>
      <c r="AL147" s="66" t="n"/>
      <c r="AM147" s="14">
        <f>AH148/AJ148%</f>
        <v/>
      </c>
      <c r="AN147" s="67">
        <f>AK148-AG148</f>
        <v/>
      </c>
      <c r="AO147" s="68">
        <f>AJ148/L148</f>
        <v/>
      </c>
      <c r="AP147" s="69">
        <f>(AJ148-AB148)/100</f>
        <v/>
      </c>
      <c r="AQ147" s="70">
        <f>(AJ148-AC148)/100</f>
        <v/>
      </c>
      <c r="AR147" s="71">
        <f>AI148/94</f>
        <v/>
      </c>
      <c r="AS147" s="71">
        <f>AJ148/94</f>
        <v/>
      </c>
      <c r="AT147" s="72">
        <f>AI148/24</f>
        <v/>
      </c>
      <c r="AU147" s="72">
        <f>AJ148/24</f>
        <v/>
      </c>
      <c r="AV147" s="73">
        <f>AI148/125</f>
        <v/>
      </c>
      <c r="AW147" s="73">
        <f>AJ148/125</f>
        <v/>
      </c>
    </row>
    <row r="148" ht="15.75" customHeight="1" s="258">
      <c r="A148" s="2" t="inlineStr">
        <is>
          <t>Yoga Blanket made from Organic Cotton</t>
        </is>
      </c>
      <c r="B148" s="2" t="inlineStr">
        <is>
          <t>Magenta</t>
        </is>
      </c>
      <c r="C148" s="2" t="inlineStr">
        <is>
          <t>Yo-BT-C-MG</t>
        </is>
      </c>
      <c r="D148" s="118" t="n">
        <v>690</v>
      </c>
      <c r="F148" s="2" t="n">
        <v>75</v>
      </c>
      <c r="G148" s="118" t="n">
        <v>94041000</v>
      </c>
      <c r="H148" s="255" t="n">
        <v>0.18</v>
      </c>
      <c r="I148" s="2">
        <f>D149*H149</f>
        <v/>
      </c>
      <c r="K148" s="2" t="n">
        <v>100</v>
      </c>
      <c r="L148" s="4">
        <f>K149+J149+I149+F149+E149+D149</f>
        <v/>
      </c>
      <c r="M148" s="2">
        <f>D149*1%</f>
        <v/>
      </c>
      <c r="N148" s="12">
        <f>L149*8%</f>
        <v/>
      </c>
      <c r="O148" s="12">
        <f>L149*10%</f>
        <v/>
      </c>
      <c r="P148" s="12">
        <f>L149*5%</f>
        <v/>
      </c>
      <c r="Q148" s="12">
        <f>L149*2%</f>
        <v/>
      </c>
      <c r="R148" s="12">
        <f>AC149*0.5%</f>
        <v/>
      </c>
      <c r="S148" s="12">
        <f>L149*1%</f>
        <v/>
      </c>
      <c r="T148" s="60">
        <f>S149+Q149+P149+O149+N149+M149</f>
        <v/>
      </c>
      <c r="U148" s="2">
        <f>AC149*1%</f>
        <v/>
      </c>
      <c r="V148" s="44">
        <f>AC149*5%</f>
        <v/>
      </c>
      <c r="W148" s="2">
        <f>AC149*1%</f>
        <v/>
      </c>
      <c r="X148" s="2">
        <f>AC149*8%</f>
        <v/>
      </c>
      <c r="Y148" s="2">
        <f>U149+V149+W149+X149</f>
        <v/>
      </c>
      <c r="Z148" s="60">
        <f>Y149+T149+L149</f>
        <v/>
      </c>
      <c r="AA148" s="11">
        <f>Z149*20%</f>
        <v/>
      </c>
      <c r="AB148" s="12">
        <f>Z149+AA149</f>
        <v/>
      </c>
      <c r="AC148" s="2">
        <f>D149*2.1</f>
        <v/>
      </c>
      <c r="AD148" s="12">
        <f>AB149-AC149</f>
        <v/>
      </c>
      <c r="AE148" s="12">
        <f>AD149/AB149*100</f>
        <v/>
      </c>
      <c r="AF148" s="92" t="n">
        <v>1395</v>
      </c>
      <c r="AG148" s="62">
        <f>((AF149-L149)/L149)*100</f>
        <v/>
      </c>
      <c r="AH148" s="106">
        <f>AJ149-AF149</f>
        <v/>
      </c>
      <c r="AI148" s="65">
        <f>AB149</f>
        <v/>
      </c>
      <c r="AJ148" s="65" t="n">
        <v>1685</v>
      </c>
      <c r="AK148" s="66">
        <f>(AJ149-L149)/L149*100</f>
        <v/>
      </c>
      <c r="AL148" s="66" t="n"/>
      <c r="AM148" s="14">
        <f>AH149/AJ149%</f>
        <v/>
      </c>
      <c r="AN148" s="67">
        <f>AK149-AG149</f>
        <v/>
      </c>
      <c r="AO148" s="68">
        <f>AJ149/L149</f>
        <v/>
      </c>
      <c r="AP148" s="69">
        <f>(AJ149-AB149)/100</f>
        <v/>
      </c>
      <c r="AQ148" s="70">
        <f>(AJ149-AC149)/100</f>
        <v/>
      </c>
      <c r="AR148" s="71">
        <f>AI149/94</f>
        <v/>
      </c>
      <c r="AS148" s="71">
        <f>AJ149/94</f>
        <v/>
      </c>
      <c r="AT148" s="72">
        <f>AI149/24</f>
        <v/>
      </c>
      <c r="AU148" s="72">
        <f>AJ149/24</f>
        <v/>
      </c>
      <c r="AV148" s="73">
        <f>AI149/125</f>
        <v/>
      </c>
      <c r="AW148" s="73">
        <f>AJ149/125</f>
        <v/>
      </c>
    </row>
    <row r="149" ht="15" customHeight="1" s="258">
      <c r="A149" s="2" t="n"/>
      <c r="B149" s="2" t="inlineStr">
        <is>
          <t>Brown</t>
        </is>
      </c>
      <c r="C149" s="2" t="inlineStr">
        <is>
          <t>Yo-BT-C-BW</t>
        </is>
      </c>
      <c r="D149" s="118" t="n">
        <v>690</v>
      </c>
      <c r="F149" s="2" t="n">
        <v>75</v>
      </c>
      <c r="G149" s="118" t="n">
        <v>94041000</v>
      </c>
      <c r="H149" s="255" t="n">
        <v>0.18</v>
      </c>
      <c r="I149" s="2">
        <f>D150*H150</f>
        <v/>
      </c>
      <c r="K149" s="2" t="n">
        <v>100</v>
      </c>
      <c r="L149" s="4">
        <f>K150+J150+I150+F150+E150+D150</f>
        <v/>
      </c>
      <c r="M149" s="2">
        <f>D150*1%</f>
        <v/>
      </c>
      <c r="N149" s="12">
        <f>L150*8%</f>
        <v/>
      </c>
      <c r="O149" s="12">
        <f>L150*10%</f>
        <v/>
      </c>
      <c r="P149" s="12">
        <f>L150*5%</f>
        <v/>
      </c>
      <c r="Q149" s="12">
        <f>L150*2%</f>
        <v/>
      </c>
      <c r="R149" s="12">
        <f>AC150*0.5%</f>
        <v/>
      </c>
      <c r="S149" s="12">
        <f>L150*1%</f>
        <v/>
      </c>
      <c r="T149" s="60">
        <f>S150+Q150+P150+O150+N150+M150</f>
        <v/>
      </c>
      <c r="U149" s="2">
        <f>AC150*1%</f>
        <v/>
      </c>
      <c r="V149" s="44">
        <f>AC150*5%</f>
        <v/>
      </c>
      <c r="W149" s="2">
        <f>AC150*1%</f>
        <v/>
      </c>
      <c r="X149" s="2">
        <f>AC150*8%</f>
        <v/>
      </c>
      <c r="Y149" s="2">
        <f>U150+V150+W150+X150</f>
        <v/>
      </c>
      <c r="Z149" s="60">
        <f>Y150+T150+L150</f>
        <v/>
      </c>
      <c r="AA149" s="11">
        <f>Z150*20%</f>
        <v/>
      </c>
      <c r="AB149" s="12">
        <f>Z150+AA150</f>
        <v/>
      </c>
      <c r="AC149" s="2">
        <f>D150*2.1</f>
        <v/>
      </c>
      <c r="AD149" s="12">
        <f>AB150-AC150</f>
        <v/>
      </c>
      <c r="AE149" s="12">
        <f>AD150/AB150*100</f>
        <v/>
      </c>
      <c r="AF149" s="92" t="n">
        <v>1395</v>
      </c>
      <c r="AG149" s="62">
        <f>((AF150-L150)/L150)*100</f>
        <v/>
      </c>
      <c r="AH149" s="106">
        <f>AJ150-AF150</f>
        <v/>
      </c>
      <c r="AI149" s="65">
        <f>AB150</f>
        <v/>
      </c>
      <c r="AJ149" s="65" t="n">
        <v>1685</v>
      </c>
      <c r="AK149" s="66">
        <f>(AJ150-L150)/L150*100</f>
        <v/>
      </c>
      <c r="AL149" s="66" t="n"/>
      <c r="AM149" s="14">
        <f>AH150/AJ150%</f>
        <v/>
      </c>
      <c r="AN149" s="67">
        <f>AK150-AG150</f>
        <v/>
      </c>
      <c r="AO149" s="68">
        <f>AJ150/L150</f>
        <v/>
      </c>
      <c r="AP149" s="69">
        <f>(AJ150-AB150)/100</f>
        <v/>
      </c>
      <c r="AQ149" s="70">
        <f>(AJ150-AC150)/100</f>
        <v/>
      </c>
      <c r="AR149" s="71">
        <f>AI150/94</f>
        <v/>
      </c>
      <c r="AS149" s="71">
        <f>AJ150/94</f>
        <v/>
      </c>
      <c r="AT149" s="72">
        <f>AI150/24</f>
        <v/>
      </c>
      <c r="AU149" s="72">
        <f>AJ150/24</f>
        <v/>
      </c>
      <c r="AV149" s="73">
        <f>AI150/125</f>
        <v/>
      </c>
      <c r="AW149" s="73">
        <f>AJ150/125</f>
        <v/>
      </c>
    </row>
    <row r="150" ht="15.75" customHeight="1" s="258">
      <c r="A150" s="2" t="n"/>
      <c r="B150" s="2" t="inlineStr">
        <is>
          <t>Natural White</t>
        </is>
      </c>
      <c r="C150" s="2" t="inlineStr">
        <is>
          <t>Yo-BT-C-NT</t>
        </is>
      </c>
      <c r="D150" s="118" t="n">
        <v>595</v>
      </c>
      <c r="F150" s="2" t="n">
        <v>75</v>
      </c>
      <c r="G150" s="118" t="n">
        <v>94041000</v>
      </c>
      <c r="H150" s="255" t="n">
        <v>0.18</v>
      </c>
      <c r="I150" s="2">
        <f>D151*H151</f>
        <v/>
      </c>
      <c r="K150" s="2" t="n">
        <v>100</v>
      </c>
      <c r="L150" s="4">
        <f>K151+J151+I151+F151+E151+D151</f>
        <v/>
      </c>
      <c r="M150" s="2">
        <f>D151*1%</f>
        <v/>
      </c>
      <c r="N150" s="12">
        <f>L151*8%</f>
        <v/>
      </c>
      <c r="O150" s="12">
        <f>L151*10%</f>
        <v/>
      </c>
      <c r="P150" s="12">
        <f>L151*5%</f>
        <v/>
      </c>
      <c r="Q150" s="12">
        <f>L151*2%</f>
        <v/>
      </c>
      <c r="R150" s="12">
        <f>AC151*0.5%</f>
        <v/>
      </c>
      <c r="S150" s="12">
        <f>L151*1%</f>
        <v/>
      </c>
      <c r="T150" s="60">
        <f>S151+Q151+P151+O151+N151+M151</f>
        <v/>
      </c>
      <c r="U150" s="2">
        <f>AC151*1%</f>
        <v/>
      </c>
      <c r="V150" s="44">
        <f>AC151*5%</f>
        <v/>
      </c>
      <c r="W150" s="2">
        <f>AC151*1%</f>
        <v/>
      </c>
      <c r="X150" s="2">
        <f>AC151*8%</f>
        <v/>
      </c>
      <c r="Y150" s="2">
        <f>U151+V151+W151+X151</f>
        <v/>
      </c>
      <c r="Z150" s="60">
        <f>Y151+T151+L151</f>
        <v/>
      </c>
      <c r="AA150" s="11">
        <f>Z151*20%</f>
        <v/>
      </c>
      <c r="AB150" s="12">
        <f>Z151+AA151</f>
        <v/>
      </c>
      <c r="AC150" s="2">
        <f>D151*2.1</f>
        <v/>
      </c>
      <c r="AD150" s="12">
        <f>AB151-AC151</f>
        <v/>
      </c>
      <c r="AE150" s="12">
        <f>AD151/AB151*100</f>
        <v/>
      </c>
      <c r="AF150" s="92" t="n">
        <v>1295</v>
      </c>
      <c r="AG150" s="62">
        <f>((AF151-L151)/L151)*100</f>
        <v/>
      </c>
      <c r="AH150" s="106">
        <f>AJ151-AF151</f>
        <v/>
      </c>
      <c r="AI150" s="65">
        <f>AB151</f>
        <v/>
      </c>
      <c r="AJ150" s="65" t="n">
        <v>1490</v>
      </c>
      <c r="AK150" s="66">
        <f>(AJ151-L151)/L151*100</f>
        <v/>
      </c>
      <c r="AL150" s="66" t="n"/>
      <c r="AM150" s="14">
        <f>AH151/AJ151%</f>
        <v/>
      </c>
      <c r="AN150" s="67">
        <f>AK151-AG151</f>
        <v/>
      </c>
      <c r="AO150" s="68">
        <f>AJ151/L151</f>
        <v/>
      </c>
      <c r="AP150" s="69">
        <f>(AJ151-AB151)/100</f>
        <v/>
      </c>
      <c r="AQ150" s="70">
        <f>(AJ151-AC151)/100</f>
        <v/>
      </c>
      <c r="AR150" s="71">
        <f>AI151/94</f>
        <v/>
      </c>
      <c r="AS150" s="71">
        <f>AJ151/94</f>
        <v/>
      </c>
      <c r="AT150" s="72">
        <f>AI151/24</f>
        <v/>
      </c>
      <c r="AU150" s="72">
        <f>AJ151/24</f>
        <v/>
      </c>
      <c r="AV150" s="73">
        <f>AI151/125</f>
        <v/>
      </c>
      <c r="AW150" s="73">
        <f>AJ151/125</f>
        <v/>
      </c>
    </row>
    <row r="151" ht="15.75" customHeight="1" s="258">
      <c r="A151" s="44" t="inlineStr">
        <is>
          <t>Zabuton Cushion for Meditation</t>
        </is>
      </c>
      <c r="B151" s="44" t="inlineStr">
        <is>
          <t>Navy Blue</t>
        </is>
      </c>
      <c r="C151" s="44" t="inlineStr">
        <is>
          <t>Me-C-Zn-NB</t>
        </is>
      </c>
      <c r="D151" s="45" t="n">
        <v>1080</v>
      </c>
      <c r="E151" s="113" t="n"/>
      <c r="F151" s="44" t="n">
        <v>125</v>
      </c>
      <c r="G151" s="45" t="n">
        <v>94041000</v>
      </c>
      <c r="H151" s="115" t="n">
        <v>0.18</v>
      </c>
      <c r="I151" s="44">
        <f>D152*H152</f>
        <v/>
      </c>
      <c r="J151" s="113" t="n"/>
      <c r="K151" s="44" t="n">
        <v>150</v>
      </c>
      <c r="L151" s="48">
        <f>K152+J152+I152+F152+E152+D152</f>
        <v/>
      </c>
      <c r="M151" s="44">
        <f>D152*1%</f>
        <v/>
      </c>
      <c r="N151" s="49">
        <f>L152*8%</f>
        <v/>
      </c>
      <c r="O151" s="49">
        <f>L152*10%</f>
        <v/>
      </c>
      <c r="P151" s="49">
        <f>L152*5%</f>
        <v/>
      </c>
      <c r="Q151" s="49">
        <f>L152*2%</f>
        <v/>
      </c>
      <c r="R151" s="49">
        <f>AC152*0.5%</f>
        <v/>
      </c>
      <c r="S151" s="49">
        <f>L152*1%</f>
        <v/>
      </c>
      <c r="T151" s="50">
        <f>S152+Q152+P152+O152+N152+M152</f>
        <v/>
      </c>
      <c r="U151" s="44">
        <f>AC152*1%</f>
        <v/>
      </c>
      <c r="V151" s="44">
        <f>AC152*5%</f>
        <v/>
      </c>
      <c r="W151" s="44">
        <f>AC152*1%</f>
        <v/>
      </c>
      <c r="X151" s="44">
        <f>AC152*8%</f>
        <v/>
      </c>
      <c r="Y151" s="44">
        <f>U152+V152+W152+X152</f>
        <v/>
      </c>
      <c r="Z151" s="50">
        <f>Y152+T152+L152</f>
        <v/>
      </c>
      <c r="AA151" s="51">
        <f>Z152*20%</f>
        <v/>
      </c>
      <c r="AB151" s="49">
        <f>Z152+AA152</f>
        <v/>
      </c>
      <c r="AC151" s="44">
        <f>D152*2.1</f>
        <v/>
      </c>
      <c r="AD151" s="49">
        <f>AB152-AC152</f>
        <v/>
      </c>
      <c r="AE151" s="49">
        <f>AD152/AB152*100</f>
        <v/>
      </c>
      <c r="AF151" s="113" t="n">
        <v>1995</v>
      </c>
      <c r="AG151" s="116">
        <f>((AF152-L152)/L152)*100</f>
        <v/>
      </c>
      <c r="AH151" s="54">
        <f>AJ152-AF152</f>
        <v/>
      </c>
      <c r="AI151" s="54">
        <f>AB152</f>
        <v/>
      </c>
      <c r="AJ151" s="54" t="n">
        <v>2395</v>
      </c>
      <c r="AK151" s="55">
        <f>(AJ152-L152)/L152*100</f>
        <v/>
      </c>
      <c r="AL151" s="55" t="n"/>
      <c r="AM151" s="55">
        <f>AH152/AJ152%</f>
        <v/>
      </c>
      <c r="AN151" s="55">
        <f>AK152-AG152</f>
        <v/>
      </c>
      <c r="AO151" s="56">
        <f>AJ152/L152</f>
        <v/>
      </c>
      <c r="AP151" s="55">
        <f>(AJ152-AB152)/100</f>
        <v/>
      </c>
      <c r="AQ151" s="55">
        <f>(AJ152-AC152)/100</f>
        <v/>
      </c>
      <c r="AR151" s="57">
        <f>AI152/94</f>
        <v/>
      </c>
      <c r="AS151" s="57">
        <f>AJ152/94</f>
        <v/>
      </c>
      <c r="AT151" s="58">
        <f>AI152/24</f>
        <v/>
      </c>
      <c r="AU151" s="58">
        <f>AJ152/24</f>
        <v/>
      </c>
      <c r="AV151" s="58">
        <f>AI152/125</f>
        <v/>
      </c>
      <c r="AW151" s="58">
        <f>AJ152/125</f>
        <v/>
      </c>
      <c r="AX151" s="113" t="n"/>
      <c r="AY151" s="113" t="n"/>
    </row>
    <row r="152" ht="15" customHeight="1" s="258">
      <c r="A152" s="44" t="n"/>
      <c r="B152" s="44" t="inlineStr">
        <is>
          <t>Grey</t>
        </is>
      </c>
      <c r="C152" s="44" t="inlineStr">
        <is>
          <t>Me-C-Zn-GY</t>
        </is>
      </c>
      <c r="D152" s="45" t="n">
        <v>1080</v>
      </c>
      <c r="E152" s="113" t="n"/>
      <c r="F152" s="44" t="n">
        <v>125</v>
      </c>
      <c r="G152" s="45" t="n">
        <v>94041000</v>
      </c>
      <c r="H152" s="115" t="n">
        <v>0.18</v>
      </c>
      <c r="I152" s="44">
        <f>D153*H153</f>
        <v/>
      </c>
      <c r="J152" s="113" t="n"/>
      <c r="K152" s="44" t="n">
        <v>150</v>
      </c>
      <c r="L152" s="48">
        <f>K153+J153+I153+F153+E153+D153</f>
        <v/>
      </c>
      <c r="M152" s="44">
        <f>D153*1%</f>
        <v/>
      </c>
      <c r="N152" s="49">
        <f>L153*8%</f>
        <v/>
      </c>
      <c r="O152" s="49">
        <f>L153*10%</f>
        <v/>
      </c>
      <c r="P152" s="49">
        <f>L153*5%</f>
        <v/>
      </c>
      <c r="Q152" s="49">
        <f>L153*2%</f>
        <v/>
      </c>
      <c r="R152" s="49">
        <f>AC153*0.5%</f>
        <v/>
      </c>
      <c r="S152" s="49">
        <f>L153*1%</f>
        <v/>
      </c>
      <c r="T152" s="50">
        <f>S153+Q153+P153+O153+N153+M153</f>
        <v/>
      </c>
      <c r="U152" s="44">
        <f>AC153*1%</f>
        <v/>
      </c>
      <c r="V152" s="44">
        <f>AC153*5%</f>
        <v/>
      </c>
      <c r="W152" s="44">
        <f>AC153*1%</f>
        <v/>
      </c>
      <c r="X152" s="44">
        <f>AC153*8%</f>
        <v/>
      </c>
      <c r="Y152" s="44">
        <f>U153+V153+W153+X153</f>
        <v/>
      </c>
      <c r="Z152" s="50">
        <f>Y153+T153+L153</f>
        <v/>
      </c>
      <c r="AA152" s="51">
        <f>Z153*20%</f>
        <v/>
      </c>
      <c r="AB152" s="49">
        <f>Z153+AA153</f>
        <v/>
      </c>
      <c r="AC152" s="44">
        <f>D153*2.1</f>
        <v/>
      </c>
      <c r="AD152" s="49">
        <f>AB153-AC153</f>
        <v/>
      </c>
      <c r="AE152" s="49">
        <f>AD153/AB153*100</f>
        <v/>
      </c>
      <c r="AF152" s="113" t="n">
        <v>1995</v>
      </c>
      <c r="AG152" s="116">
        <f>((AF153-L153)/L153)*100</f>
        <v/>
      </c>
      <c r="AH152" s="54">
        <f>AJ153-AF153</f>
        <v/>
      </c>
      <c r="AI152" s="54">
        <f>AB153</f>
        <v/>
      </c>
      <c r="AJ152" s="54" t="n">
        <v>2395</v>
      </c>
      <c r="AK152" s="55">
        <f>(AJ153-L153)/L153*100</f>
        <v/>
      </c>
      <c r="AL152" s="55" t="n"/>
      <c r="AM152" s="55">
        <f>AH153/AJ153%</f>
        <v/>
      </c>
      <c r="AN152" s="55">
        <f>AK153-AG153</f>
        <v/>
      </c>
      <c r="AO152" s="56">
        <f>AJ153/L153</f>
        <v/>
      </c>
      <c r="AP152" s="55">
        <f>(AJ153-AB153)/100</f>
        <v/>
      </c>
      <c r="AQ152" s="55">
        <f>(AJ153-AC153)/100</f>
        <v/>
      </c>
      <c r="AR152" s="57">
        <f>AI153/94</f>
        <v/>
      </c>
      <c r="AS152" s="57">
        <f>AJ153/94</f>
        <v/>
      </c>
      <c r="AT152" s="58">
        <f>AI153/24</f>
        <v/>
      </c>
      <c r="AU152" s="58">
        <f>AJ153/24</f>
        <v/>
      </c>
      <c r="AV152" s="58">
        <f>AI153/125</f>
        <v/>
      </c>
      <c r="AW152" s="58">
        <f>AJ153/125</f>
        <v/>
      </c>
      <c r="AX152" s="113" t="n"/>
      <c r="AY152" s="113" t="n"/>
    </row>
    <row r="153" ht="15.75" customHeight="1" s="258">
      <c r="A153" s="44" t="n"/>
      <c r="B153" s="44" t="inlineStr">
        <is>
          <t>Light Grey</t>
        </is>
      </c>
      <c r="C153" s="44" t="inlineStr">
        <is>
          <t>Me-C-Zn-LG</t>
        </is>
      </c>
      <c r="D153" s="45" t="n">
        <v>1080</v>
      </c>
      <c r="E153" s="113" t="n"/>
      <c r="F153" s="44" t="n">
        <v>125</v>
      </c>
      <c r="G153" s="45" t="n">
        <v>94041000</v>
      </c>
      <c r="H153" s="115" t="n">
        <v>0.18</v>
      </c>
      <c r="I153" s="44">
        <f>D154*H154</f>
        <v/>
      </c>
      <c r="J153" s="113" t="n"/>
      <c r="K153" s="44" t="n">
        <v>150</v>
      </c>
      <c r="L153" s="48">
        <f>K154+J154+I154+F154+E154+D154</f>
        <v/>
      </c>
      <c r="M153" s="44">
        <f>D154*1%</f>
        <v/>
      </c>
      <c r="N153" s="49">
        <f>L154*8%</f>
        <v/>
      </c>
      <c r="O153" s="49">
        <f>L154*10%</f>
        <v/>
      </c>
      <c r="P153" s="49">
        <f>L154*5%</f>
        <v/>
      </c>
      <c r="Q153" s="49">
        <f>L154*2%</f>
        <v/>
      </c>
      <c r="R153" s="49">
        <f>AC154*0.5%</f>
        <v/>
      </c>
      <c r="S153" s="49">
        <f>L154*1%</f>
        <v/>
      </c>
      <c r="T153" s="50">
        <f>S154+Q154+P154+O154+N154+M154</f>
        <v/>
      </c>
      <c r="U153" s="44">
        <f>AC154*1%</f>
        <v/>
      </c>
      <c r="V153" s="44">
        <f>AC154*5%</f>
        <v/>
      </c>
      <c r="W153" s="44">
        <f>AC154*1%</f>
        <v/>
      </c>
      <c r="X153" s="44">
        <f>AC154*8%</f>
        <v/>
      </c>
      <c r="Y153" s="44">
        <f>U154+V154+W154+X154</f>
        <v/>
      </c>
      <c r="Z153" s="50">
        <f>Y154+T154+L154</f>
        <v/>
      </c>
      <c r="AA153" s="51">
        <f>Z154*20%</f>
        <v/>
      </c>
      <c r="AB153" s="49">
        <f>Z154+AA154</f>
        <v/>
      </c>
      <c r="AC153" s="44">
        <f>D154*2.1</f>
        <v/>
      </c>
      <c r="AD153" s="49">
        <f>AB154-AC154</f>
        <v/>
      </c>
      <c r="AE153" s="49">
        <f>AD154/AB154*100</f>
        <v/>
      </c>
      <c r="AF153" s="113" t="n">
        <v>1995</v>
      </c>
      <c r="AG153" s="116">
        <f>((AF154-L154)/L154)*100</f>
        <v/>
      </c>
      <c r="AH153" s="54">
        <f>AJ154-AF154</f>
        <v/>
      </c>
      <c r="AI153" s="54">
        <f>AB154</f>
        <v/>
      </c>
      <c r="AJ153" s="54" t="n">
        <v>2395</v>
      </c>
      <c r="AK153" s="55">
        <f>(AJ154-L154)/L154*100</f>
        <v/>
      </c>
      <c r="AL153" s="55" t="n"/>
      <c r="AM153" s="55">
        <f>AH154/AJ154%</f>
        <v/>
      </c>
      <c r="AN153" s="55">
        <f>AK154-AG154</f>
        <v/>
      </c>
      <c r="AO153" s="56">
        <f>AJ154/L154</f>
        <v/>
      </c>
      <c r="AP153" s="55">
        <f>(AJ154-AB154)/100</f>
        <v/>
      </c>
      <c r="AQ153" s="55">
        <f>(AJ154-AC154)/100</f>
        <v/>
      </c>
      <c r="AR153" s="57">
        <f>AI154/94</f>
        <v/>
      </c>
      <c r="AS153" s="57">
        <f>AJ154/94</f>
        <v/>
      </c>
      <c r="AT153" s="58">
        <f>AI154/24</f>
        <v/>
      </c>
      <c r="AU153" s="58">
        <f>AJ154/24</f>
        <v/>
      </c>
      <c r="AV153" s="58">
        <f>AI154/125</f>
        <v/>
      </c>
      <c r="AW153" s="58">
        <f>AJ154/125</f>
        <v/>
      </c>
      <c r="AX153" s="113" t="n"/>
      <c r="AY153" s="113" t="n"/>
    </row>
    <row r="154" ht="15.75" customHeight="1" s="258">
      <c r="A154" s="44" t="n"/>
      <c r="B154" s="44" t="inlineStr">
        <is>
          <t>Lavender</t>
        </is>
      </c>
      <c r="C154" s="44" t="inlineStr">
        <is>
          <t>Me-C-Zn-LR</t>
        </is>
      </c>
      <c r="D154" s="45" t="n">
        <v>1080</v>
      </c>
      <c r="E154" s="113" t="n"/>
      <c r="F154" s="44" t="n">
        <v>125</v>
      </c>
      <c r="G154" s="45" t="n">
        <v>94041000</v>
      </c>
      <c r="H154" s="115" t="n">
        <v>0.18</v>
      </c>
      <c r="I154" s="44">
        <f>D155*H155</f>
        <v/>
      </c>
      <c r="J154" s="113" t="n"/>
      <c r="K154" s="44" t="n">
        <v>150</v>
      </c>
      <c r="L154" s="48">
        <f>K155+J155+I155+F155+E155+D155</f>
        <v/>
      </c>
      <c r="M154" s="44">
        <f>D155*1%</f>
        <v/>
      </c>
      <c r="N154" s="49">
        <f>L155*8%</f>
        <v/>
      </c>
      <c r="O154" s="49">
        <f>L155*10%</f>
        <v/>
      </c>
      <c r="P154" s="49">
        <f>L155*5%</f>
        <v/>
      </c>
      <c r="Q154" s="49">
        <f>L155*2%</f>
        <v/>
      </c>
      <c r="R154" s="49">
        <f>AC155*0.5%</f>
        <v/>
      </c>
      <c r="S154" s="49">
        <f>L155*1%</f>
        <v/>
      </c>
      <c r="T154" s="50">
        <f>S155+Q155+P155+O155+N155+M155</f>
        <v/>
      </c>
      <c r="U154" s="44">
        <f>AC155*1%</f>
        <v/>
      </c>
      <c r="V154" s="44">
        <f>AC155*5%</f>
        <v/>
      </c>
      <c r="W154" s="44">
        <f>AC155*1%</f>
        <v/>
      </c>
      <c r="X154" s="44">
        <f>AC155*8%</f>
        <v/>
      </c>
      <c r="Y154" s="44">
        <f>U155+V155+W155+X155</f>
        <v/>
      </c>
      <c r="Z154" s="50">
        <f>Y155+T155+L155</f>
        <v/>
      </c>
      <c r="AA154" s="51">
        <f>Z155*20%</f>
        <v/>
      </c>
      <c r="AB154" s="49">
        <f>Z155+AA155</f>
        <v/>
      </c>
      <c r="AC154" s="44">
        <f>D155*2.1</f>
        <v/>
      </c>
      <c r="AD154" s="49">
        <f>AB155-AC155</f>
        <v/>
      </c>
      <c r="AE154" s="49">
        <f>AD155/AB155*100</f>
        <v/>
      </c>
      <c r="AF154" s="113" t="n">
        <v>1995</v>
      </c>
      <c r="AG154" s="116">
        <f>((AF155-L155)/L155)*100</f>
        <v/>
      </c>
      <c r="AH154" s="54">
        <f>AJ155-AF155</f>
        <v/>
      </c>
      <c r="AI154" s="54">
        <f>AB155</f>
        <v/>
      </c>
      <c r="AJ154" s="54" t="n">
        <v>2395</v>
      </c>
      <c r="AK154" s="55">
        <f>(AJ155-L155)/L155*100</f>
        <v/>
      </c>
      <c r="AL154" s="55" t="n"/>
      <c r="AM154" s="55">
        <f>AH155/AJ155%</f>
        <v/>
      </c>
      <c r="AN154" s="55">
        <f>AK155-AG155</f>
        <v/>
      </c>
      <c r="AO154" s="56">
        <f>AJ155/L155</f>
        <v/>
      </c>
      <c r="AP154" s="55">
        <f>(AJ155-AB155)/100</f>
        <v/>
      </c>
      <c r="AQ154" s="55">
        <f>(AJ155-AC155)/100</f>
        <v/>
      </c>
      <c r="AR154" s="57">
        <f>AI155/94</f>
        <v/>
      </c>
      <c r="AS154" s="57">
        <f>AJ155/94</f>
        <v/>
      </c>
      <c r="AT154" s="58">
        <f>AI155/24</f>
        <v/>
      </c>
      <c r="AU154" s="58">
        <f>AJ155/24</f>
        <v/>
      </c>
      <c r="AV154" s="58">
        <f>AI155/125</f>
        <v/>
      </c>
      <c r="AW154" s="58">
        <f>AJ155/125</f>
        <v/>
      </c>
      <c r="AX154" s="113" t="n"/>
      <c r="AY154" s="113" t="n"/>
    </row>
    <row r="155" ht="15.75" customHeight="1" s="258">
      <c r="A155" s="44" t="n"/>
      <c r="B155" s="44" t="inlineStr">
        <is>
          <t>Misty Blue</t>
        </is>
      </c>
      <c r="C155" s="44" t="inlineStr">
        <is>
          <t>Me-C-Zn-MB</t>
        </is>
      </c>
      <c r="D155" s="45" t="n">
        <v>1080</v>
      </c>
      <c r="E155" s="113" t="n"/>
      <c r="F155" s="44" t="n">
        <v>125</v>
      </c>
      <c r="G155" s="45" t="n">
        <v>94041000</v>
      </c>
      <c r="H155" s="115" t="n">
        <v>0.18</v>
      </c>
      <c r="I155" s="44">
        <f>D156*H156</f>
        <v/>
      </c>
      <c r="J155" s="113" t="n"/>
      <c r="K155" s="44" t="n">
        <v>150</v>
      </c>
      <c r="L155" s="48">
        <f>K156+J156+I156+F156+E156+D156</f>
        <v/>
      </c>
      <c r="M155" s="44">
        <f>D156*1%</f>
        <v/>
      </c>
      <c r="N155" s="49">
        <f>L156*8%</f>
        <v/>
      </c>
      <c r="O155" s="49">
        <f>L156*10%</f>
        <v/>
      </c>
      <c r="P155" s="49">
        <f>L156*5%</f>
        <v/>
      </c>
      <c r="Q155" s="49">
        <f>L156*2%</f>
        <v/>
      </c>
      <c r="R155" s="49">
        <f>AC156*0.5%</f>
        <v/>
      </c>
      <c r="S155" s="49">
        <f>L156*1%</f>
        <v/>
      </c>
      <c r="T155" s="50">
        <f>S156+Q156+P156+O156+N156+M156</f>
        <v/>
      </c>
      <c r="U155" s="44">
        <f>AC156*1%</f>
        <v/>
      </c>
      <c r="V155" s="44">
        <f>AC156*5%</f>
        <v/>
      </c>
      <c r="W155" s="44">
        <f>AC156*1%</f>
        <v/>
      </c>
      <c r="X155" s="44">
        <f>AC156*8%</f>
        <v/>
      </c>
      <c r="Y155" s="44">
        <f>U156+V156+W156+X156</f>
        <v/>
      </c>
      <c r="Z155" s="50">
        <f>Y156+T156+L156</f>
        <v/>
      </c>
      <c r="AA155" s="51">
        <f>Z156*20%</f>
        <v/>
      </c>
      <c r="AB155" s="49">
        <f>Z156+AA156</f>
        <v/>
      </c>
      <c r="AC155" s="44">
        <f>D156*2.1</f>
        <v/>
      </c>
      <c r="AD155" s="49">
        <f>AB156-AC156</f>
        <v/>
      </c>
      <c r="AE155" s="49">
        <f>AD156/AB156*100</f>
        <v/>
      </c>
      <c r="AF155" s="113" t="n">
        <v>1995</v>
      </c>
      <c r="AG155" s="116">
        <f>((AF156-L156)/L156)*100</f>
        <v/>
      </c>
      <c r="AH155" s="54">
        <f>AJ156-AF156</f>
        <v/>
      </c>
      <c r="AI155" s="54">
        <f>AB156</f>
        <v/>
      </c>
      <c r="AJ155" s="54" t="n">
        <v>2395</v>
      </c>
      <c r="AK155" s="55">
        <f>(AJ156-L156)/L156*100</f>
        <v/>
      </c>
      <c r="AL155" s="55" t="n"/>
      <c r="AM155" s="55">
        <f>AH156/AJ156%</f>
        <v/>
      </c>
      <c r="AN155" s="55">
        <f>AK156-AG156</f>
        <v/>
      </c>
      <c r="AO155" s="56">
        <f>AJ156/L156</f>
        <v/>
      </c>
      <c r="AP155" s="55">
        <f>(AJ156-AB156)/100</f>
        <v/>
      </c>
      <c r="AQ155" s="55">
        <f>(AJ156-AC156)/100</f>
        <v/>
      </c>
      <c r="AR155" s="57">
        <f>AI156/94</f>
        <v/>
      </c>
      <c r="AS155" s="57">
        <f>AJ156/94</f>
        <v/>
      </c>
      <c r="AT155" s="58">
        <f>AI156/24</f>
        <v/>
      </c>
      <c r="AU155" s="58">
        <f>AJ156/24</f>
        <v/>
      </c>
      <c r="AV155" s="58">
        <f>AI156/125</f>
        <v/>
      </c>
      <c r="AW155" s="58">
        <f>AJ156/125</f>
        <v/>
      </c>
      <c r="AX155" s="113" t="n"/>
      <c r="AY155" s="113" t="n"/>
    </row>
    <row r="156" ht="15.75" customHeight="1" s="258">
      <c r="A156" s="2" t="inlineStr">
        <is>
          <t>Zafu &amp; Zabuton Meditation Cushion Combo - Lotus Embroidery</t>
        </is>
      </c>
      <c r="B156" s="44" t="inlineStr">
        <is>
          <t>Light Grey</t>
        </is>
      </c>
      <c r="C156" s="44" t="inlineStr">
        <is>
          <t>Co-Me-C-Z-Zn-LG</t>
        </is>
      </c>
      <c r="D156" s="45" t="n">
        <v>1480</v>
      </c>
      <c r="E156" s="113" t="n"/>
      <c r="F156" s="44" t="n">
        <v>125</v>
      </c>
      <c r="G156" s="45" t="n">
        <v>94041000</v>
      </c>
      <c r="H156" s="115" t="n">
        <v>0.18</v>
      </c>
      <c r="I156" s="44">
        <f>D157*H157</f>
        <v/>
      </c>
      <c r="J156" s="113" t="n"/>
      <c r="K156" s="44" t="n">
        <v>250</v>
      </c>
      <c r="L156" s="48">
        <f>K157+J157+I157+F157+E157+D157</f>
        <v/>
      </c>
      <c r="M156" s="44">
        <f>D157*1%</f>
        <v/>
      </c>
      <c r="N156" s="49">
        <f>L157*8%</f>
        <v/>
      </c>
      <c r="O156" s="49">
        <f>L157*10%</f>
        <v/>
      </c>
      <c r="P156" s="49">
        <f>L157*5%</f>
        <v/>
      </c>
      <c r="Q156" s="49">
        <f>L157*2%</f>
        <v/>
      </c>
      <c r="R156" s="49">
        <f>AC157*0.5%</f>
        <v/>
      </c>
      <c r="S156" s="49">
        <f>L157*1%</f>
        <v/>
      </c>
      <c r="T156" s="50">
        <f>S157+Q157+P157+O157+N157+M157</f>
        <v/>
      </c>
      <c r="U156" s="44">
        <f>AC157*1%</f>
        <v/>
      </c>
      <c r="V156" s="44">
        <f>AC157*5%</f>
        <v/>
      </c>
      <c r="W156" s="44">
        <f>AC157*1%</f>
        <v/>
      </c>
      <c r="X156" s="44">
        <f>AC157*8%</f>
        <v/>
      </c>
      <c r="Y156" s="44">
        <f>U157+V157+W157+X157</f>
        <v/>
      </c>
      <c r="Z156" s="50">
        <f>Y157+T157+L157</f>
        <v/>
      </c>
      <c r="AA156" s="51">
        <f>Z157*20%</f>
        <v/>
      </c>
      <c r="AB156" s="49">
        <f>Z157+AA157</f>
        <v/>
      </c>
      <c r="AC156" s="44">
        <f>D157*2.1</f>
        <v/>
      </c>
      <c r="AD156" s="49">
        <f>AB157-AC157</f>
        <v/>
      </c>
      <c r="AE156" s="49">
        <f>AD157/AB157*100</f>
        <v/>
      </c>
      <c r="AF156" s="113" t="n">
        <v>1995</v>
      </c>
      <c r="AG156" s="116">
        <f>((AF157-L157)/L157)*100</f>
        <v/>
      </c>
      <c r="AH156" s="54">
        <f>AJ157-AF157</f>
        <v/>
      </c>
      <c r="AI156" s="54">
        <f>AB157</f>
        <v/>
      </c>
      <c r="AJ156" s="65" t="n">
        <v>3390</v>
      </c>
      <c r="AK156" s="55">
        <f>(AJ157-L157)/L157*100</f>
        <v/>
      </c>
      <c r="AL156" s="55" t="n"/>
      <c r="AM156" s="55">
        <f>AH157/AJ157%</f>
        <v/>
      </c>
      <c r="AN156" s="55">
        <f>AK157-AG157</f>
        <v/>
      </c>
      <c r="AO156" s="56">
        <f>AJ157/L157</f>
        <v/>
      </c>
      <c r="AP156" s="55">
        <f>(AJ157-AB157)/100</f>
        <v/>
      </c>
      <c r="AQ156" s="55">
        <f>(AJ157-AC157)/100</f>
        <v/>
      </c>
      <c r="AR156" s="57">
        <f>AI157/94</f>
        <v/>
      </c>
      <c r="AS156" s="57">
        <f>AJ157/94</f>
        <v/>
      </c>
      <c r="AT156" s="58">
        <f>AI157/24</f>
        <v/>
      </c>
      <c r="AU156" s="58">
        <f>AJ157/24</f>
        <v/>
      </c>
      <c r="AV156" s="58">
        <f>AI157/125</f>
        <v/>
      </c>
      <c r="AW156" s="58">
        <f>AJ157/125</f>
        <v/>
      </c>
      <c r="AX156" s="113" t="n"/>
      <c r="AY156" s="113" t="n"/>
    </row>
    <row r="157" ht="15.75" customHeight="1" s="258">
      <c r="A157" s="44" t="n"/>
      <c r="B157" s="44" t="inlineStr">
        <is>
          <t>Lavender</t>
        </is>
      </c>
      <c r="C157" s="44" t="inlineStr">
        <is>
          <t>Co-Me-C-Z-Zn-LR</t>
        </is>
      </c>
      <c r="D157" s="45" t="n">
        <v>1480</v>
      </c>
      <c r="E157" s="113" t="n"/>
      <c r="F157" s="44" t="n">
        <v>125</v>
      </c>
      <c r="G157" s="45" t="n">
        <v>94041000</v>
      </c>
      <c r="H157" s="115" t="n">
        <v>0.18</v>
      </c>
      <c r="I157" s="44">
        <f>D158*H158</f>
        <v/>
      </c>
      <c r="J157" s="113" t="n"/>
      <c r="K157" s="44" t="n">
        <v>250</v>
      </c>
      <c r="L157" s="48">
        <f>K158+J158+I158+F158+E158+D158</f>
        <v/>
      </c>
      <c r="M157" s="44">
        <f>D158*1%</f>
        <v/>
      </c>
      <c r="N157" s="49">
        <f>L158*8%</f>
        <v/>
      </c>
      <c r="O157" s="49">
        <f>L158*10%</f>
        <v/>
      </c>
      <c r="P157" s="49">
        <f>L158*5%</f>
        <v/>
      </c>
      <c r="Q157" s="49">
        <f>L158*2%</f>
        <v/>
      </c>
      <c r="R157" s="49">
        <f>AC158*0.5%</f>
        <v/>
      </c>
      <c r="S157" s="49">
        <f>L158*1%</f>
        <v/>
      </c>
      <c r="T157" s="50">
        <f>S158+Q158+P158+O158+N158+M158</f>
        <v/>
      </c>
      <c r="U157" s="44">
        <f>AC158*1%</f>
        <v/>
      </c>
      <c r="V157" s="44">
        <f>AC158*5%</f>
        <v/>
      </c>
      <c r="W157" s="44">
        <f>AC158*1%</f>
        <v/>
      </c>
      <c r="X157" s="44">
        <f>AC158*8%</f>
        <v/>
      </c>
      <c r="Y157" s="44">
        <f>U158+V158+W158+X158</f>
        <v/>
      </c>
      <c r="Z157" s="50">
        <f>Y158+T158+L158</f>
        <v/>
      </c>
      <c r="AA157" s="51">
        <f>Z158*20%</f>
        <v/>
      </c>
      <c r="AB157" s="49">
        <f>Z158+AA158</f>
        <v/>
      </c>
      <c r="AC157" s="44">
        <f>D158*2.1</f>
        <v/>
      </c>
      <c r="AD157" s="49">
        <f>AB158-AC158</f>
        <v/>
      </c>
      <c r="AE157" s="49">
        <f>AD158/AB158*100</f>
        <v/>
      </c>
      <c r="AF157" s="113" t="n">
        <v>1995</v>
      </c>
      <c r="AG157" s="116">
        <f>((AF158-L158)/L158)*100</f>
        <v/>
      </c>
      <c r="AH157" s="54">
        <f>AJ158-AF158</f>
        <v/>
      </c>
      <c r="AI157" s="54">
        <f>AB158</f>
        <v/>
      </c>
      <c r="AJ157" s="65" t="n">
        <v>3390</v>
      </c>
      <c r="AK157" s="55">
        <f>(AJ158-L158)/L158*100</f>
        <v/>
      </c>
      <c r="AL157" s="55" t="n"/>
      <c r="AM157" s="55">
        <f>AH158/AJ158%</f>
        <v/>
      </c>
      <c r="AN157" s="55">
        <f>AK158-AG158</f>
        <v/>
      </c>
      <c r="AO157" s="56">
        <f>AJ158/L158</f>
        <v/>
      </c>
      <c r="AP157" s="55">
        <f>(AJ158-AB158)/100</f>
        <v/>
      </c>
      <c r="AQ157" s="55">
        <f>(AJ158-AC158)/100</f>
        <v/>
      </c>
      <c r="AR157" s="57">
        <f>AI158/94</f>
        <v/>
      </c>
      <c r="AS157" s="57">
        <f>AJ158/94</f>
        <v/>
      </c>
      <c r="AT157" s="58">
        <f>AI158/24</f>
        <v/>
      </c>
      <c r="AU157" s="58">
        <f>AJ158/24</f>
        <v/>
      </c>
      <c r="AV157" s="58">
        <f>AI158/125</f>
        <v/>
      </c>
      <c r="AW157" s="58">
        <f>AJ158/125</f>
        <v/>
      </c>
      <c r="AX157" s="113" t="n"/>
      <c r="AY157" s="113" t="n"/>
    </row>
    <row r="158" ht="15.75" customHeight="1" s="258">
      <c r="A158" s="44" t="n"/>
      <c r="B158" s="44" t="inlineStr">
        <is>
          <t>Misty Blue</t>
        </is>
      </c>
      <c r="C158" s="44" t="inlineStr">
        <is>
          <t>Co-Me-C-Z-Zn-MB</t>
        </is>
      </c>
      <c r="D158" s="45" t="n">
        <v>1480</v>
      </c>
      <c r="E158" s="113" t="n"/>
      <c r="F158" s="44" t="n">
        <v>125</v>
      </c>
      <c r="G158" s="45" t="n">
        <v>94041000</v>
      </c>
      <c r="H158" s="115" t="n">
        <v>0.18</v>
      </c>
      <c r="I158" s="44">
        <f>D159*H159</f>
        <v/>
      </c>
      <c r="J158" s="113" t="n"/>
      <c r="K158" s="44" t="n">
        <v>250</v>
      </c>
      <c r="L158" s="48">
        <f>K159+J159+I159+F159+E159+D159</f>
        <v/>
      </c>
      <c r="M158" s="44">
        <f>D159*1%</f>
        <v/>
      </c>
      <c r="N158" s="49">
        <f>L159*8%</f>
        <v/>
      </c>
      <c r="O158" s="49">
        <f>L159*10%</f>
        <v/>
      </c>
      <c r="P158" s="49">
        <f>L159*5%</f>
        <v/>
      </c>
      <c r="Q158" s="49">
        <f>L159*2%</f>
        <v/>
      </c>
      <c r="R158" s="49">
        <f>AC159*0.5%</f>
        <v/>
      </c>
      <c r="S158" s="49">
        <f>L159*1%</f>
        <v/>
      </c>
      <c r="T158" s="50">
        <f>S159+Q159+P159+O159+N159+M159</f>
        <v/>
      </c>
      <c r="U158" s="44">
        <f>AC159*1%</f>
        <v/>
      </c>
      <c r="V158" s="44">
        <f>AC159*5%</f>
        <v/>
      </c>
      <c r="W158" s="44">
        <f>AC159*1%</f>
        <v/>
      </c>
      <c r="X158" s="44">
        <f>AC159*8%</f>
        <v/>
      </c>
      <c r="Y158" s="44">
        <f>U159+V159+W159+X159</f>
        <v/>
      </c>
      <c r="Z158" s="50">
        <f>Y159+T159+L159</f>
        <v/>
      </c>
      <c r="AA158" s="51">
        <f>Z159*20%</f>
        <v/>
      </c>
      <c r="AB158" s="49">
        <f>Z159+AA159</f>
        <v/>
      </c>
      <c r="AC158" s="44">
        <f>D159*2.1</f>
        <v/>
      </c>
      <c r="AD158" s="49">
        <f>AB159-AC159</f>
        <v/>
      </c>
      <c r="AE158" s="49">
        <f>AD159/AB159*100</f>
        <v/>
      </c>
      <c r="AF158" s="113" t="n">
        <v>1995</v>
      </c>
      <c r="AG158" s="116">
        <f>((AF159-L159)/L159)*100</f>
        <v/>
      </c>
      <c r="AH158" s="54">
        <f>AJ159-AF159</f>
        <v/>
      </c>
      <c r="AI158" s="54">
        <f>AB159</f>
        <v/>
      </c>
      <c r="AJ158" s="65" t="n">
        <v>3390</v>
      </c>
      <c r="AK158" s="55">
        <f>(AJ159-L159)/L159*100</f>
        <v/>
      </c>
      <c r="AL158" s="55" t="n"/>
      <c r="AM158" s="55">
        <f>AH159/AJ159%</f>
        <v/>
      </c>
      <c r="AN158" s="55">
        <f>AK159-AG159</f>
        <v/>
      </c>
      <c r="AO158" s="56">
        <f>AJ159/L159</f>
        <v/>
      </c>
      <c r="AP158" s="55">
        <f>(AJ159-AB159)/100</f>
        <v/>
      </c>
      <c r="AQ158" s="55">
        <f>(AJ159-AC159)/100</f>
        <v/>
      </c>
      <c r="AR158" s="57">
        <f>AI159/94</f>
        <v/>
      </c>
      <c r="AS158" s="57">
        <f>AJ159/94</f>
        <v/>
      </c>
      <c r="AT158" s="58">
        <f>AI159/24</f>
        <v/>
      </c>
      <c r="AU158" s="58">
        <f>AJ159/24</f>
        <v/>
      </c>
      <c r="AV158" s="58">
        <f>AI159/125</f>
        <v/>
      </c>
      <c r="AW158" s="58">
        <f>AJ159/125</f>
        <v/>
      </c>
      <c r="AX158" s="113" t="n"/>
      <c r="AY158" s="113" t="n"/>
    </row>
    <row r="159" ht="15.75" customHeight="1" s="258">
      <c r="A159" s="44" t="n"/>
      <c r="B159" s="44" t="inlineStr">
        <is>
          <t>Navy Blue</t>
        </is>
      </c>
      <c r="C159" s="44" t="inlineStr">
        <is>
          <t>CO-Me-Zf-Zn-C-NB</t>
        </is>
      </c>
      <c r="D159" s="45" t="n">
        <v>1480</v>
      </c>
      <c r="E159" s="113" t="n"/>
      <c r="F159" s="44" t="n">
        <v>125</v>
      </c>
      <c r="G159" s="45" t="n">
        <v>94041000</v>
      </c>
      <c r="H159" s="115" t="n">
        <v>0.18</v>
      </c>
      <c r="I159" s="44">
        <f>D160*H160</f>
        <v/>
      </c>
      <c r="J159" s="113" t="n"/>
      <c r="K159" s="44" t="n">
        <v>250</v>
      </c>
      <c r="L159" s="48">
        <f>K160+J160+I160+F160+E160+D160</f>
        <v/>
      </c>
      <c r="M159" s="44">
        <f>D160*1%</f>
        <v/>
      </c>
      <c r="N159" s="49">
        <f>L160*8%</f>
        <v/>
      </c>
      <c r="O159" s="49">
        <f>L160*10%</f>
        <v/>
      </c>
      <c r="P159" s="49">
        <f>L160*5%</f>
        <v/>
      </c>
      <c r="Q159" s="49">
        <f>L160*2%</f>
        <v/>
      </c>
      <c r="R159" s="49">
        <f>AC160*0.5%</f>
        <v/>
      </c>
      <c r="S159" s="49">
        <f>L160*1%</f>
        <v/>
      </c>
      <c r="T159" s="50">
        <f>S160+Q160+P160+O160+N160+M160</f>
        <v/>
      </c>
      <c r="U159" s="44">
        <f>AC160*1%</f>
        <v/>
      </c>
      <c r="V159" s="44">
        <f>AC160*5%</f>
        <v/>
      </c>
      <c r="W159" s="44">
        <f>AC160*1%</f>
        <v/>
      </c>
      <c r="X159" s="44">
        <f>AC160*8%</f>
        <v/>
      </c>
      <c r="Y159" s="44">
        <f>U160+V160+W160+X160</f>
        <v/>
      </c>
      <c r="Z159" s="50">
        <f>Y160+T160+L160</f>
        <v/>
      </c>
      <c r="AA159" s="51">
        <f>Z160*20%</f>
        <v/>
      </c>
      <c r="AB159" s="49">
        <f>Z160+AA160</f>
        <v/>
      </c>
      <c r="AC159" s="44">
        <f>D160*2.1</f>
        <v/>
      </c>
      <c r="AD159" s="49">
        <f>AB160-AC160</f>
        <v/>
      </c>
      <c r="AE159" s="49">
        <f>AD160/AB160*100</f>
        <v/>
      </c>
      <c r="AF159" s="113" t="n">
        <v>1995</v>
      </c>
      <c r="AG159" s="116">
        <f>((AF160-L160)/L160)*100</f>
        <v/>
      </c>
      <c r="AH159" s="54">
        <f>AJ160-AF160</f>
        <v/>
      </c>
      <c r="AI159" s="54">
        <f>AB160</f>
        <v/>
      </c>
      <c r="AJ159" s="65" t="n">
        <v>3390</v>
      </c>
      <c r="AK159" s="55">
        <f>(AJ160-L160)/L160*100</f>
        <v/>
      </c>
      <c r="AL159" s="55" t="n"/>
      <c r="AM159" s="55">
        <f>AH160/AJ160%</f>
        <v/>
      </c>
      <c r="AN159" s="55">
        <f>AK160-AG160</f>
        <v/>
      </c>
      <c r="AO159" s="56">
        <f>AJ160/L160</f>
        <v/>
      </c>
      <c r="AP159" s="55">
        <f>(AJ160-AB160)/100</f>
        <v/>
      </c>
      <c r="AQ159" s="55">
        <f>(AJ160-AC160)/100</f>
        <v/>
      </c>
      <c r="AR159" s="57">
        <f>AI160/94</f>
        <v/>
      </c>
      <c r="AS159" s="57">
        <f>AJ160/94</f>
        <v/>
      </c>
      <c r="AT159" s="58">
        <f>AI160/24</f>
        <v/>
      </c>
      <c r="AU159" s="58">
        <f>AJ160/24</f>
        <v/>
      </c>
      <c r="AV159" s="58">
        <f>AI160/125</f>
        <v/>
      </c>
      <c r="AW159" s="58">
        <f>AJ160/125</f>
        <v/>
      </c>
      <c r="AX159" s="113" t="n"/>
      <c r="AY159" s="113" t="n"/>
    </row>
    <row r="160" ht="15.75" customHeight="1" s="258">
      <c r="B160" s="2" t="inlineStr">
        <is>
          <t>Lavender</t>
        </is>
      </c>
      <c r="C160" s="2" t="inlineStr">
        <is>
          <t>Co-Me-C-Z-Zn-LR-E-L</t>
        </is>
      </c>
      <c r="D160" s="45" t="n">
        <v>1545</v>
      </c>
      <c r="F160" s="2" t="n">
        <v>125</v>
      </c>
      <c r="G160" s="118" t="n">
        <v>94041000</v>
      </c>
      <c r="H160" s="255" t="n">
        <v>0.18</v>
      </c>
      <c r="I160" s="2">
        <f>D161*H161</f>
        <v/>
      </c>
      <c r="J160" s="2">
        <f>D161*5%</f>
        <v/>
      </c>
      <c r="K160" s="44" t="n">
        <v>250</v>
      </c>
      <c r="L160" s="4">
        <f>K161+J161+I161+F161+E161+D161</f>
        <v/>
      </c>
      <c r="M160" s="2">
        <f>D161*1%</f>
        <v/>
      </c>
      <c r="N160" s="12">
        <f>L161*8%</f>
        <v/>
      </c>
      <c r="O160" s="12">
        <f>L161*10%</f>
        <v/>
      </c>
      <c r="P160" s="12">
        <f>L161*5%</f>
        <v/>
      </c>
      <c r="Q160" s="12">
        <f>L161*2%</f>
        <v/>
      </c>
      <c r="R160" s="12">
        <f>AC161*0.5%</f>
        <v/>
      </c>
      <c r="S160" s="12">
        <f>L161*1%</f>
        <v/>
      </c>
      <c r="T160" s="60">
        <f>S161+Q161+P161+O161+N161+M161</f>
        <v/>
      </c>
      <c r="U160" s="2">
        <f>AC161*1%</f>
        <v/>
      </c>
      <c r="V160" s="44">
        <f>AC161*5%</f>
        <v/>
      </c>
      <c r="W160" s="2">
        <f>AC161*1%</f>
        <v/>
      </c>
      <c r="X160" s="2">
        <f>AC161*8%</f>
        <v/>
      </c>
      <c r="Y160" s="2">
        <f>U161+V161+W161+X161</f>
        <v/>
      </c>
      <c r="Z160" s="60">
        <f>Y161+T161+L161</f>
        <v/>
      </c>
      <c r="AA160" s="11">
        <f>Z161*20%</f>
        <v/>
      </c>
      <c r="AB160" s="12">
        <f>Z161+AA161</f>
        <v/>
      </c>
      <c r="AC160" s="2">
        <f>D161*2.1</f>
        <v/>
      </c>
      <c r="AD160" s="12">
        <f>AB161-AC161</f>
        <v/>
      </c>
      <c r="AE160" s="12">
        <f>AD161/AB161*100</f>
        <v/>
      </c>
      <c r="AF160" s="92" t="n">
        <v>2995</v>
      </c>
      <c r="AG160" s="62">
        <f>((AF161-L161)/L161)*100</f>
        <v/>
      </c>
      <c r="AH160" s="106">
        <f>AJ161-AF161</f>
        <v/>
      </c>
      <c r="AI160" s="65">
        <f>AB161</f>
        <v/>
      </c>
      <c r="AJ160" s="65" t="n">
        <v>3590</v>
      </c>
      <c r="AK160" s="66">
        <f>(AJ161-L161)/L161*100</f>
        <v/>
      </c>
      <c r="AL160" s="66" t="n"/>
      <c r="AM160" s="14">
        <f>AH161/AJ161%</f>
        <v/>
      </c>
      <c r="AN160" s="67">
        <f>AK161-AG161</f>
        <v/>
      </c>
      <c r="AO160" s="68">
        <f>AJ161/L161</f>
        <v/>
      </c>
      <c r="AP160" s="69">
        <f>(AJ161-AB161)/100</f>
        <v/>
      </c>
      <c r="AQ160" s="70">
        <f>(AJ161-AC161)/100</f>
        <v/>
      </c>
      <c r="AR160" s="71">
        <f>AI161/94</f>
        <v/>
      </c>
      <c r="AS160" s="71">
        <f>AJ161/94</f>
        <v/>
      </c>
      <c r="AT160" s="72">
        <f>AI161/24</f>
        <v/>
      </c>
      <c r="AU160" s="72">
        <f>AJ161/24</f>
        <v/>
      </c>
      <c r="AV160" s="73">
        <f>AI161/125</f>
        <v/>
      </c>
      <c r="AW160" s="73">
        <f>AJ161/125</f>
        <v/>
      </c>
    </row>
    <row r="161" ht="15" customHeight="1" s="258">
      <c r="A161" s="2" t="n"/>
      <c r="B161" s="2" t="inlineStr">
        <is>
          <t>Light Grey</t>
        </is>
      </c>
      <c r="C161" s="2" t="inlineStr">
        <is>
          <t>Co-Me-C-Z-Zn-LG-E-L</t>
        </is>
      </c>
      <c r="D161" s="45" t="n">
        <v>1545</v>
      </c>
      <c r="F161" s="2" t="n">
        <v>125</v>
      </c>
      <c r="G161" s="118" t="n">
        <v>94041000</v>
      </c>
      <c r="H161" s="255" t="n">
        <v>0.18</v>
      </c>
      <c r="I161" s="2">
        <f>D162*H162</f>
        <v/>
      </c>
      <c r="J161" s="2">
        <f>D162*5%</f>
        <v/>
      </c>
      <c r="K161" s="2" t="n">
        <v>250</v>
      </c>
      <c r="L161" s="4">
        <f>K162+J162+I162+F162+E162+D162</f>
        <v/>
      </c>
      <c r="M161" s="2">
        <f>D162*1%</f>
        <v/>
      </c>
      <c r="N161" s="12">
        <f>L162*8%</f>
        <v/>
      </c>
      <c r="O161" s="12">
        <f>L162*10%</f>
        <v/>
      </c>
      <c r="P161" s="12">
        <f>L162*5%</f>
        <v/>
      </c>
      <c r="Q161" s="12">
        <f>L162*2%</f>
        <v/>
      </c>
      <c r="R161" s="12">
        <f>AC162*0.5%</f>
        <v/>
      </c>
      <c r="S161" s="12">
        <f>L162*1%</f>
        <v/>
      </c>
      <c r="T161" s="60">
        <f>S162+Q162+P162+O162+N162+M162</f>
        <v/>
      </c>
      <c r="U161" s="2">
        <f>AC162*1%</f>
        <v/>
      </c>
      <c r="V161" s="44">
        <f>AC162*5%</f>
        <v/>
      </c>
      <c r="W161" s="2">
        <f>AC162*1%</f>
        <v/>
      </c>
      <c r="X161" s="2">
        <f>AC162*8%</f>
        <v/>
      </c>
      <c r="Y161" s="2">
        <f>U162+V162+W162+X162</f>
        <v/>
      </c>
      <c r="Z161" s="60">
        <f>Y162+T162+L162</f>
        <v/>
      </c>
      <c r="AA161" s="11">
        <f>Z162*20%</f>
        <v/>
      </c>
      <c r="AB161" s="12">
        <f>Z162+AA162</f>
        <v/>
      </c>
      <c r="AC161" s="2">
        <f>D162*2.1</f>
        <v/>
      </c>
      <c r="AD161" s="12">
        <f>AB162-AC162</f>
        <v/>
      </c>
      <c r="AE161" s="12">
        <f>AD162/AB162*100</f>
        <v/>
      </c>
      <c r="AF161" s="92" t="n">
        <v>2995</v>
      </c>
      <c r="AG161" s="62">
        <f>((AF162-L162)/L162)*100</f>
        <v/>
      </c>
      <c r="AH161" s="106">
        <f>AJ162-AF162</f>
        <v/>
      </c>
      <c r="AI161" s="65">
        <f>AB162</f>
        <v/>
      </c>
      <c r="AJ161" s="65" t="n">
        <v>3590</v>
      </c>
      <c r="AK161" s="66">
        <f>(AJ162-L162)/L162*100</f>
        <v/>
      </c>
      <c r="AL161" s="66" t="n"/>
      <c r="AM161" s="14">
        <f>AH162/AJ162%</f>
        <v/>
      </c>
      <c r="AN161" s="67">
        <f>AK162-AG162</f>
        <v/>
      </c>
      <c r="AO161" s="68">
        <f>AJ162/L162</f>
        <v/>
      </c>
      <c r="AP161" s="69">
        <f>(AJ162-AB162)/100</f>
        <v/>
      </c>
      <c r="AQ161" s="70">
        <f>(AJ162-AC162)/100</f>
        <v/>
      </c>
      <c r="AR161" s="71">
        <f>AI162/94</f>
        <v/>
      </c>
      <c r="AS161" s="71">
        <f>AJ162/94</f>
        <v/>
      </c>
      <c r="AT161" s="72">
        <f>AI162/24</f>
        <v/>
      </c>
      <c r="AU161" s="72">
        <f>AJ162/24</f>
        <v/>
      </c>
      <c r="AV161" s="73">
        <f>AI162/125</f>
        <v/>
      </c>
      <c r="AW161" s="73">
        <f>AJ162/125</f>
        <v/>
      </c>
    </row>
    <row r="162" ht="15.75" customHeight="1" s="258">
      <c r="A162" s="2" t="n"/>
      <c r="B162" s="2" t="inlineStr">
        <is>
          <t>Misty Blue</t>
        </is>
      </c>
      <c r="C162" s="2" t="inlineStr">
        <is>
          <t>Co-Me-C-Z-Zn-MB-E-L</t>
        </is>
      </c>
      <c r="D162" s="45" t="n">
        <v>1545</v>
      </c>
      <c r="F162" s="2" t="n">
        <v>125</v>
      </c>
      <c r="G162" s="118" t="n">
        <v>94041000</v>
      </c>
      <c r="H162" s="255" t="n">
        <v>0.18</v>
      </c>
      <c r="I162" s="2">
        <f>D163*H163</f>
        <v/>
      </c>
      <c r="J162" s="2">
        <f>D163*5%</f>
        <v/>
      </c>
      <c r="K162" s="2" t="n">
        <v>250</v>
      </c>
      <c r="L162" s="4">
        <f>K163+J163+I163+F163+E163+D163</f>
        <v/>
      </c>
      <c r="M162" s="2">
        <f>D163*1%</f>
        <v/>
      </c>
      <c r="N162" s="12">
        <f>L163*8%</f>
        <v/>
      </c>
      <c r="O162" s="12">
        <f>L163*10%</f>
        <v/>
      </c>
      <c r="P162" s="12">
        <f>L163*5%</f>
        <v/>
      </c>
      <c r="Q162" s="12">
        <f>L163*2%</f>
        <v/>
      </c>
      <c r="R162" s="12">
        <f>AC163*0.5%</f>
        <v/>
      </c>
      <c r="S162" s="12">
        <f>L163*1%</f>
        <v/>
      </c>
      <c r="T162" s="60">
        <f>S163+Q163+P163+O163+N163+M163</f>
        <v/>
      </c>
      <c r="U162" s="2">
        <f>AC163*1%</f>
        <v/>
      </c>
      <c r="V162" s="44">
        <f>AC163*5%</f>
        <v/>
      </c>
      <c r="W162" s="2">
        <f>AC163*1%</f>
        <v/>
      </c>
      <c r="X162" s="2">
        <f>AC163*8%</f>
        <v/>
      </c>
      <c r="Y162" s="2">
        <f>U163+V163+W163+X163</f>
        <v/>
      </c>
      <c r="Z162" s="60">
        <f>Y163+T163+L163</f>
        <v/>
      </c>
      <c r="AA162" s="11">
        <f>Z163*20%</f>
        <v/>
      </c>
      <c r="AB162" s="12">
        <f>Z163+AA163</f>
        <v/>
      </c>
      <c r="AC162" s="2">
        <f>D163*2.1</f>
        <v/>
      </c>
      <c r="AD162" s="12">
        <f>AB163-AC163</f>
        <v/>
      </c>
      <c r="AE162" s="12">
        <f>AD163/AB163*100</f>
        <v/>
      </c>
      <c r="AF162" s="92" t="n">
        <v>2995</v>
      </c>
      <c r="AG162" s="62">
        <f>((AF163-L163)/L163)*100</f>
        <v/>
      </c>
      <c r="AH162" s="106">
        <f>AJ163-AF163</f>
        <v/>
      </c>
      <c r="AI162" s="65">
        <f>AB163</f>
        <v/>
      </c>
      <c r="AJ162" s="65" t="n">
        <v>3590</v>
      </c>
      <c r="AK162" s="66">
        <f>(AJ163-L163)/L163*100</f>
        <v/>
      </c>
      <c r="AL162" s="66" t="n"/>
      <c r="AM162" s="14">
        <f>AH163/AJ163%</f>
        <v/>
      </c>
      <c r="AN162" s="67">
        <f>AK163-AG163</f>
        <v/>
      </c>
      <c r="AO162" s="68">
        <f>AJ163/L163</f>
        <v/>
      </c>
      <c r="AP162" s="69">
        <f>(AJ163-AB163)/100</f>
        <v/>
      </c>
      <c r="AQ162" s="70">
        <f>(AJ163-AC163)/100</f>
        <v/>
      </c>
      <c r="AR162" s="71">
        <f>AI163/94</f>
        <v/>
      </c>
      <c r="AS162" s="71">
        <f>AJ163/94</f>
        <v/>
      </c>
      <c r="AT162" s="72">
        <f>AI163/24</f>
        <v/>
      </c>
      <c r="AU162" s="72">
        <f>AJ163/24</f>
        <v/>
      </c>
      <c r="AV162" s="73">
        <f>AI163/125</f>
        <v/>
      </c>
      <c r="AW162" s="73">
        <f>AJ163/125</f>
        <v/>
      </c>
    </row>
    <row r="163" ht="15.75" customHeight="1" s="258">
      <c r="A163" s="2" t="inlineStr">
        <is>
          <t>Zafu Meditation Cushion Lotus - Embroidery Filled with Cotton</t>
        </is>
      </c>
      <c r="B163" s="2" t="inlineStr">
        <is>
          <t>Rose</t>
        </is>
      </c>
      <c r="C163" s="2" t="inlineStr">
        <is>
          <t>Me-C-RZ-R-E-L</t>
        </is>
      </c>
      <c r="D163" s="118" t="n">
        <v>524</v>
      </c>
      <c r="F163" s="2" t="n">
        <v>125</v>
      </c>
      <c r="G163" s="118" t="n">
        <v>94041000</v>
      </c>
      <c r="H163" s="255" t="n">
        <v>0.18</v>
      </c>
      <c r="I163" s="2">
        <f>D164*H164</f>
        <v/>
      </c>
      <c r="J163" s="2">
        <f>D164*5%</f>
        <v/>
      </c>
      <c r="K163" s="2" t="n">
        <v>100</v>
      </c>
      <c r="L163" s="4">
        <f>K164+J164+I164+F164+E164+D164</f>
        <v/>
      </c>
      <c r="M163" s="2">
        <f>D164*1%</f>
        <v/>
      </c>
      <c r="N163" s="12">
        <f>L164*8%</f>
        <v/>
      </c>
      <c r="O163" s="12">
        <f>L164*10%</f>
        <v/>
      </c>
      <c r="P163" s="12">
        <f>L164*5%</f>
        <v/>
      </c>
      <c r="Q163" s="12">
        <f>L164*2%</f>
        <v/>
      </c>
      <c r="R163" s="12">
        <f>AC164*0.5%</f>
        <v/>
      </c>
      <c r="S163" s="12">
        <f>L164*1%</f>
        <v/>
      </c>
      <c r="T163" s="60">
        <f>S164+Q164+P164+O164+N164+M164</f>
        <v/>
      </c>
      <c r="U163" s="2">
        <f>AC164*1%</f>
        <v/>
      </c>
      <c r="V163" s="44">
        <f>AC164*5%</f>
        <v/>
      </c>
      <c r="W163" s="2">
        <f>AC164*1%</f>
        <v/>
      </c>
      <c r="X163" s="2">
        <f>AC164*8%</f>
        <v/>
      </c>
      <c r="Y163" s="2">
        <f>U164+V164+W164+X164</f>
        <v/>
      </c>
      <c r="Z163" s="60">
        <f>Y164+T164+L164</f>
        <v/>
      </c>
      <c r="AA163" s="11">
        <f>Z164*20%</f>
        <v/>
      </c>
      <c r="AB163" s="12">
        <f>Z164+AA164</f>
        <v/>
      </c>
      <c r="AC163" s="2">
        <f>D164*2.1</f>
        <v/>
      </c>
      <c r="AD163" s="12">
        <f>AB164-AC164</f>
        <v/>
      </c>
      <c r="AE163" s="12">
        <f>AD164/AB164*100</f>
        <v/>
      </c>
      <c r="AF163" s="92" t="n">
        <v>1385</v>
      </c>
      <c r="AG163" s="62">
        <f>((AF164-L164)/L164)*100</f>
        <v/>
      </c>
      <c r="AH163" s="106">
        <f>AJ164-AF164</f>
        <v/>
      </c>
      <c r="AI163" s="65">
        <f>AB164</f>
        <v/>
      </c>
      <c r="AJ163" s="65" t="n">
        <v>1590</v>
      </c>
      <c r="AK163" s="66">
        <f>(AJ164-L164)/L164*100</f>
        <v/>
      </c>
      <c r="AL163" s="66" t="n"/>
      <c r="AM163" s="14">
        <f>AH164/AJ164%</f>
        <v/>
      </c>
      <c r="AN163" s="67">
        <f>AK164-AG164</f>
        <v/>
      </c>
      <c r="AO163" s="68">
        <f>AJ164/L164</f>
        <v/>
      </c>
      <c r="AP163" s="69">
        <f>(AJ164-AB164)/100</f>
        <v/>
      </c>
      <c r="AQ163" s="70">
        <f>(AJ164-AC164)/100</f>
        <v/>
      </c>
      <c r="AR163" s="71">
        <f>AI164/94</f>
        <v/>
      </c>
      <c r="AS163" s="71">
        <f>AJ164/94</f>
        <v/>
      </c>
      <c r="AT163" s="72">
        <f>AI164/24</f>
        <v/>
      </c>
      <c r="AU163" s="72">
        <f>AJ164/24</f>
        <v/>
      </c>
      <c r="AV163" s="73">
        <f>AI164/125</f>
        <v/>
      </c>
      <c r="AW163" s="73">
        <f>AJ164/125</f>
        <v/>
      </c>
    </row>
    <row r="164" ht="15" customHeight="1" s="258">
      <c r="A164" s="2" t="n"/>
      <c r="B164" s="2" t="inlineStr">
        <is>
          <t>Light Grey</t>
        </is>
      </c>
      <c r="C164" s="2" t="inlineStr">
        <is>
          <t>Me-C-RZ-LG-E-L</t>
        </is>
      </c>
      <c r="D164" s="118" t="n">
        <v>524</v>
      </c>
      <c r="F164" s="2" t="n">
        <v>125</v>
      </c>
      <c r="G164" s="118" t="n">
        <v>94041000</v>
      </c>
      <c r="H164" s="255" t="n">
        <v>0.18</v>
      </c>
      <c r="I164" s="2">
        <f>D165*H165</f>
        <v/>
      </c>
      <c r="J164" s="2">
        <f>D165*5%</f>
        <v/>
      </c>
      <c r="K164" s="2" t="n">
        <v>100</v>
      </c>
      <c r="L164" s="4">
        <f>K165+J165+I165+F165+E165+D165</f>
        <v/>
      </c>
      <c r="M164" s="2">
        <f>D165*1%</f>
        <v/>
      </c>
      <c r="N164" s="12">
        <f>L165*8%</f>
        <v/>
      </c>
      <c r="O164" s="12">
        <f>L165*10%</f>
        <v/>
      </c>
      <c r="P164" s="12">
        <f>L165*5%</f>
        <v/>
      </c>
      <c r="Q164" s="12">
        <f>L165*2%</f>
        <v/>
      </c>
      <c r="R164" s="12">
        <f>AC165*0.5%</f>
        <v/>
      </c>
      <c r="S164" s="12">
        <f>L165*1%</f>
        <v/>
      </c>
      <c r="T164" s="60">
        <f>S165+Q165+P165+O165+N165+M165</f>
        <v/>
      </c>
      <c r="U164" s="2">
        <f>AC165*1%</f>
        <v/>
      </c>
      <c r="V164" s="44">
        <f>AC165*5%</f>
        <v/>
      </c>
      <c r="W164" s="2">
        <f>AC165*1%</f>
        <v/>
      </c>
      <c r="X164" s="2">
        <f>AC165*8%</f>
        <v/>
      </c>
      <c r="Y164" s="2">
        <f>U165+V165+W165+X165</f>
        <v/>
      </c>
      <c r="Z164" s="60">
        <f>Y165+T165+L165</f>
        <v/>
      </c>
      <c r="AA164" s="11">
        <f>Z165*20%</f>
        <v/>
      </c>
      <c r="AB164" s="12">
        <f>Z165+AA165</f>
        <v/>
      </c>
      <c r="AC164" s="2">
        <f>D165*2.1</f>
        <v/>
      </c>
      <c r="AD164" s="12">
        <f>AB165-AC165</f>
        <v/>
      </c>
      <c r="AE164" s="12">
        <f>AD165/AB165*100</f>
        <v/>
      </c>
      <c r="AF164" s="92" t="n">
        <v>1385</v>
      </c>
      <c r="AG164" s="62">
        <f>((AF165-L165)/L165)*100</f>
        <v/>
      </c>
      <c r="AH164" s="106">
        <f>AJ165-AF165</f>
        <v/>
      </c>
      <c r="AI164" s="65">
        <f>AB165</f>
        <v/>
      </c>
      <c r="AJ164" s="65" t="n">
        <v>1590</v>
      </c>
      <c r="AK164" s="66">
        <f>(AJ165-L165)/L165*100</f>
        <v/>
      </c>
      <c r="AL164" s="66" t="n"/>
      <c r="AM164" s="14">
        <f>AH165/AJ165%</f>
        <v/>
      </c>
      <c r="AN164" s="67">
        <f>AK165-AG165</f>
        <v/>
      </c>
      <c r="AO164" s="68">
        <f>AJ165/L165</f>
        <v/>
      </c>
      <c r="AP164" s="69">
        <f>(AJ165-AB165)/100</f>
        <v/>
      </c>
      <c r="AQ164" s="70">
        <f>(AJ165-AC165)/100</f>
        <v/>
      </c>
      <c r="AR164" s="71">
        <f>AI165/94</f>
        <v/>
      </c>
      <c r="AS164" s="71">
        <f>AJ165/94</f>
        <v/>
      </c>
      <c r="AT164" s="72">
        <f>AI165/24</f>
        <v/>
      </c>
      <c r="AU164" s="72">
        <f>AJ165/24</f>
        <v/>
      </c>
      <c r="AV164" s="73">
        <f>AI165/125</f>
        <v/>
      </c>
      <c r="AW164" s="73">
        <f>AJ165/125</f>
        <v/>
      </c>
    </row>
    <row r="165" ht="15.75" customHeight="1" s="258">
      <c r="A165" s="2" t="n"/>
      <c r="B165" s="2" t="inlineStr">
        <is>
          <t>Lavender</t>
        </is>
      </c>
      <c r="C165" s="2" t="inlineStr">
        <is>
          <t>Me-C-RZ-LR-E-L</t>
        </is>
      </c>
      <c r="D165" s="118" t="n">
        <v>524</v>
      </c>
      <c r="F165" s="2" t="n">
        <v>125</v>
      </c>
      <c r="G165" s="118" t="n">
        <v>94041000</v>
      </c>
      <c r="H165" s="255" t="n">
        <v>0.18</v>
      </c>
      <c r="I165" s="2">
        <f>D166*H166</f>
        <v/>
      </c>
      <c r="J165" s="2">
        <f>D166*5%</f>
        <v/>
      </c>
      <c r="K165" s="2" t="n">
        <v>100</v>
      </c>
      <c r="L165" s="4">
        <f>K166+J166+I166+F166+E166+D166</f>
        <v/>
      </c>
      <c r="M165" s="2">
        <f>D166*1%</f>
        <v/>
      </c>
      <c r="N165" s="12">
        <f>L166*8%</f>
        <v/>
      </c>
      <c r="O165" s="12">
        <f>L166*10%</f>
        <v/>
      </c>
      <c r="P165" s="12">
        <f>L166*5%</f>
        <v/>
      </c>
      <c r="Q165" s="12">
        <f>L166*2%</f>
        <v/>
      </c>
      <c r="R165" s="12">
        <f>AC166*0.5%</f>
        <v/>
      </c>
      <c r="S165" s="12">
        <f>L166*1%</f>
        <v/>
      </c>
      <c r="T165" s="60">
        <f>S166+Q166+P166+O166+N166+M166</f>
        <v/>
      </c>
      <c r="U165" s="2">
        <f>AC166*1%</f>
        <v/>
      </c>
      <c r="V165" s="44">
        <f>AC166*5%</f>
        <v/>
      </c>
      <c r="W165" s="2">
        <f>AC166*1%</f>
        <v/>
      </c>
      <c r="X165" s="2">
        <f>AC166*8%</f>
        <v/>
      </c>
      <c r="Y165" s="2">
        <f>U166+V166+W166+X166</f>
        <v/>
      </c>
      <c r="Z165" s="60">
        <f>Y166+T166+L166</f>
        <v/>
      </c>
      <c r="AA165" s="11">
        <f>Z166*20%</f>
        <v/>
      </c>
      <c r="AB165" s="12">
        <f>Z166+AA166</f>
        <v/>
      </c>
      <c r="AC165" s="2">
        <f>D166*2.1</f>
        <v/>
      </c>
      <c r="AD165" s="12">
        <f>AB166-AC166</f>
        <v/>
      </c>
      <c r="AE165" s="12">
        <f>AD166/AB166*100</f>
        <v/>
      </c>
      <c r="AF165" s="92" t="n">
        <v>1385</v>
      </c>
      <c r="AG165" s="62">
        <f>((AF166-L166)/L166)*100</f>
        <v/>
      </c>
      <c r="AH165" s="106">
        <f>AJ166-AF166</f>
        <v/>
      </c>
      <c r="AI165" s="65">
        <f>AB166</f>
        <v/>
      </c>
      <c r="AJ165" s="65" t="n">
        <v>1590</v>
      </c>
      <c r="AK165" s="66">
        <f>(AJ166-L166)/L166*100</f>
        <v/>
      </c>
      <c r="AL165" s="66" t="n"/>
      <c r="AM165" s="14">
        <f>AH166/AJ166%</f>
        <v/>
      </c>
      <c r="AN165" s="67">
        <f>AK166-AG166</f>
        <v/>
      </c>
      <c r="AO165" s="68">
        <f>AJ166/L166</f>
        <v/>
      </c>
      <c r="AP165" s="69">
        <f>(AJ166-AB166)/100</f>
        <v/>
      </c>
      <c r="AQ165" s="70">
        <f>(AJ166-AC166)/100</f>
        <v/>
      </c>
      <c r="AR165" s="71">
        <f>AI166/94</f>
        <v/>
      </c>
      <c r="AS165" s="71">
        <f>AJ166/94</f>
        <v/>
      </c>
      <c r="AT165" s="72">
        <f>AI166/24</f>
        <v/>
      </c>
      <c r="AU165" s="72">
        <f>AJ166/24</f>
        <v/>
      </c>
      <c r="AV165" s="73">
        <f>AI166/125</f>
        <v/>
      </c>
      <c r="AW165" s="73">
        <f>AJ166/125</f>
        <v/>
      </c>
    </row>
    <row r="166" ht="15.75" customHeight="1" s="258">
      <c r="A166" s="2" t="n"/>
      <c r="B166" s="2" t="inlineStr">
        <is>
          <t>Misty Blue</t>
        </is>
      </c>
      <c r="C166" s="2" t="inlineStr">
        <is>
          <t>Me-C-RZ-MB-E-L</t>
        </is>
      </c>
      <c r="D166" s="118" t="n">
        <v>524</v>
      </c>
      <c r="F166" s="2" t="n">
        <v>125</v>
      </c>
      <c r="G166" s="118" t="n">
        <v>94041000</v>
      </c>
      <c r="H166" s="255" t="n">
        <v>0.18</v>
      </c>
      <c r="I166" s="2">
        <f>D167*H167</f>
        <v/>
      </c>
      <c r="J166" s="2">
        <f>D167*5%</f>
        <v/>
      </c>
      <c r="K166" s="2" t="n">
        <v>100</v>
      </c>
      <c r="L166" s="4">
        <f>K167+J167+I167+F167+E167+D167</f>
        <v/>
      </c>
      <c r="M166" s="2">
        <f>D167*1%</f>
        <v/>
      </c>
      <c r="N166" s="12">
        <f>L167*8%</f>
        <v/>
      </c>
      <c r="O166" s="12">
        <f>L167*10%</f>
        <v/>
      </c>
      <c r="P166" s="12">
        <f>L167*5%</f>
        <v/>
      </c>
      <c r="Q166" s="12">
        <f>L167*2%</f>
        <v/>
      </c>
      <c r="R166" s="12">
        <f>AC167*0.5%</f>
        <v/>
      </c>
      <c r="S166" s="12">
        <f>L167*1%</f>
        <v/>
      </c>
      <c r="T166" s="60">
        <f>S167+Q167+P167+O167+N167+M167</f>
        <v/>
      </c>
      <c r="U166" s="2">
        <f>AC167*1%</f>
        <v/>
      </c>
      <c r="V166" s="44">
        <f>AC167*5%</f>
        <v/>
      </c>
      <c r="W166" s="2">
        <f>AC167*1%</f>
        <v/>
      </c>
      <c r="X166" s="2">
        <f>AC167*8%</f>
        <v/>
      </c>
      <c r="Y166" s="2">
        <f>U167+V167+W167+X167</f>
        <v/>
      </c>
      <c r="Z166" s="60">
        <f>Y167+T167+L167</f>
        <v/>
      </c>
      <c r="AA166" s="11">
        <f>Z167*20%</f>
        <v/>
      </c>
      <c r="AB166" s="12">
        <f>Z167+AA167</f>
        <v/>
      </c>
      <c r="AC166" s="2">
        <f>D167*2.1</f>
        <v/>
      </c>
      <c r="AD166" s="12">
        <f>AB167-AC167</f>
        <v/>
      </c>
      <c r="AE166" s="12">
        <f>AD167/AB167*100</f>
        <v/>
      </c>
      <c r="AF166" s="92" t="n">
        <v>1385</v>
      </c>
      <c r="AG166" s="62">
        <f>((AF167-L167)/L167)*100</f>
        <v/>
      </c>
      <c r="AH166" s="106">
        <f>AJ167-AF167</f>
        <v/>
      </c>
      <c r="AI166" s="65">
        <f>AB167</f>
        <v/>
      </c>
      <c r="AJ166" s="65" t="n">
        <v>1590</v>
      </c>
      <c r="AK166" s="66">
        <f>(AJ167-L167)/L167*100</f>
        <v/>
      </c>
      <c r="AL166" s="66" t="n"/>
      <c r="AM166" s="14">
        <f>AH167/AJ167%</f>
        <v/>
      </c>
      <c r="AN166" s="67">
        <f>AK167-AG167</f>
        <v/>
      </c>
      <c r="AO166" s="68">
        <f>AJ167/L167</f>
        <v/>
      </c>
      <c r="AP166" s="69">
        <f>(AJ167-AB167)/100</f>
        <v/>
      </c>
      <c r="AQ166" s="70">
        <f>(AJ167-AC167)/100</f>
        <v/>
      </c>
      <c r="AR166" s="71">
        <f>AI167/94</f>
        <v/>
      </c>
      <c r="AS166" s="71">
        <f>AJ167/94</f>
        <v/>
      </c>
      <c r="AT166" s="72">
        <f>AI167/24</f>
        <v/>
      </c>
      <c r="AU166" s="72">
        <f>AJ167/24</f>
        <v/>
      </c>
      <c r="AV166" s="73">
        <f>AI167/125</f>
        <v/>
      </c>
      <c r="AW166" s="73">
        <f>AJ167/125</f>
        <v/>
      </c>
    </row>
    <row r="167" ht="15.75" customHeight="1" s="258">
      <c r="A167" s="2" t="n"/>
      <c r="B167" s="2" t="inlineStr">
        <is>
          <t>Sage</t>
        </is>
      </c>
      <c r="C167" s="2" t="inlineStr">
        <is>
          <t>Me-C-RZ-S-E-L</t>
        </is>
      </c>
      <c r="D167" s="118" t="n">
        <v>524</v>
      </c>
      <c r="F167" s="2" t="n">
        <v>125</v>
      </c>
      <c r="G167" s="118" t="n">
        <v>94041000</v>
      </c>
      <c r="H167" s="255" t="n">
        <v>0.18</v>
      </c>
      <c r="I167" s="2">
        <f>D168*H168</f>
        <v/>
      </c>
      <c r="J167" s="2">
        <f>D168*5%</f>
        <v/>
      </c>
      <c r="K167" s="2" t="n">
        <v>100</v>
      </c>
      <c r="L167" s="4">
        <f>K168+J168+I168+F168+E168+D168</f>
        <v/>
      </c>
      <c r="M167" s="2">
        <f>D168*1%</f>
        <v/>
      </c>
      <c r="N167" s="12">
        <f>L168*8%</f>
        <v/>
      </c>
      <c r="O167" s="12">
        <f>L168*10%</f>
        <v/>
      </c>
      <c r="P167" s="12">
        <f>L168*5%</f>
        <v/>
      </c>
      <c r="Q167" s="12">
        <f>L168*2%</f>
        <v/>
      </c>
      <c r="R167" s="12">
        <f>AC168*0.5%</f>
        <v/>
      </c>
      <c r="S167" s="12">
        <f>L168*1%</f>
        <v/>
      </c>
      <c r="T167" s="60">
        <f>S168+Q168+P168+O168+N168+M168</f>
        <v/>
      </c>
      <c r="U167" s="2">
        <f>AC168*1%</f>
        <v/>
      </c>
      <c r="V167" s="44">
        <f>AC168*5%</f>
        <v/>
      </c>
      <c r="W167" s="2">
        <f>AC168*1%</f>
        <v/>
      </c>
      <c r="X167" s="2">
        <f>AC168*8%</f>
        <v/>
      </c>
      <c r="Y167" s="2">
        <f>U168+V168+W168+X168</f>
        <v/>
      </c>
      <c r="Z167" s="60">
        <f>Y168+T168+L168</f>
        <v/>
      </c>
      <c r="AA167" s="11">
        <f>Z168*20%</f>
        <v/>
      </c>
      <c r="AB167" s="12">
        <f>Z168+AA168</f>
        <v/>
      </c>
      <c r="AC167" s="2">
        <f>D168*2.1</f>
        <v/>
      </c>
      <c r="AD167" s="12">
        <f>AB168-AC168</f>
        <v/>
      </c>
      <c r="AE167" s="12">
        <f>AD168/AB168*100</f>
        <v/>
      </c>
      <c r="AF167" s="92" t="n">
        <v>1385</v>
      </c>
      <c r="AG167" s="62">
        <f>((AF168-L168)/L168)*100</f>
        <v/>
      </c>
      <c r="AH167" s="106">
        <f>AJ168-AF168</f>
        <v/>
      </c>
      <c r="AI167" s="65">
        <f>AB168</f>
        <v/>
      </c>
      <c r="AJ167" s="65" t="n">
        <v>1590</v>
      </c>
      <c r="AK167" s="66">
        <f>(AJ168-L168)/L168*100</f>
        <v/>
      </c>
      <c r="AL167" s="66" t="n"/>
      <c r="AM167" s="14">
        <f>AH168/AJ168%</f>
        <v/>
      </c>
      <c r="AN167" s="67">
        <f>AK168-AG168</f>
        <v/>
      </c>
      <c r="AO167" s="68">
        <f>AJ168/L168</f>
        <v/>
      </c>
      <c r="AP167" s="69">
        <f>(AJ168-AB168)/100</f>
        <v/>
      </c>
      <c r="AQ167" s="70">
        <f>(AJ168-AC168)/100</f>
        <v/>
      </c>
      <c r="AR167" s="71">
        <f>AI168/94</f>
        <v/>
      </c>
      <c r="AS167" s="71">
        <f>AJ168/94</f>
        <v/>
      </c>
      <c r="AT167" s="72">
        <f>AI168/24</f>
        <v/>
      </c>
      <c r="AU167" s="72">
        <f>AJ168/24</f>
        <v/>
      </c>
      <c r="AV167" s="73">
        <f>AI168/125</f>
        <v/>
      </c>
      <c r="AW167" s="73">
        <f>AJ168/125</f>
        <v/>
      </c>
    </row>
    <row r="168" ht="15.75" customHeight="1" s="258">
      <c r="A168" s="2" t="inlineStr">
        <is>
          <t>Zafu Meditation Cushion Plain Filled with Cotton</t>
        </is>
      </c>
      <c r="B168" s="2" t="inlineStr">
        <is>
          <t>Dark Grey</t>
        </is>
      </c>
      <c r="C168" s="2" t="inlineStr">
        <is>
          <t>Me-Z-R-C-DG</t>
        </is>
      </c>
      <c r="D168" s="118" t="n">
        <v>465</v>
      </c>
      <c r="F168" s="2" t="n">
        <v>125</v>
      </c>
      <c r="G168" s="118" t="n">
        <v>94041000</v>
      </c>
      <c r="H168" s="255" t="n">
        <v>0.18</v>
      </c>
      <c r="I168" s="2">
        <f>D169*H169</f>
        <v/>
      </c>
      <c r="J168" s="2">
        <f>D169*5%</f>
        <v/>
      </c>
      <c r="K168" s="2" t="n">
        <v>100</v>
      </c>
      <c r="L168" s="4">
        <f>K169+J169+I169+F169+E169+D169</f>
        <v/>
      </c>
      <c r="M168" s="2">
        <f>D169*1%</f>
        <v/>
      </c>
      <c r="N168" s="12">
        <f>L169*8%</f>
        <v/>
      </c>
      <c r="O168" s="12">
        <f>L169*10%</f>
        <v/>
      </c>
      <c r="P168" s="12">
        <f>L169*5%</f>
        <v/>
      </c>
      <c r="Q168" s="12">
        <f>L169*2%</f>
        <v/>
      </c>
      <c r="R168" s="12">
        <f>AC169*0.5%</f>
        <v/>
      </c>
      <c r="S168" s="12">
        <f>L169*1%</f>
        <v/>
      </c>
      <c r="T168" s="60">
        <f>S169+Q169+P169+O169+N169+M169</f>
        <v/>
      </c>
      <c r="U168" s="2">
        <f>AC169*1%</f>
        <v/>
      </c>
      <c r="V168" s="44">
        <f>AC169*5%</f>
        <v/>
      </c>
      <c r="W168" s="2">
        <f>AC169*1%</f>
        <v/>
      </c>
      <c r="X168" s="2">
        <f>AC169*8%</f>
        <v/>
      </c>
      <c r="Y168" s="2">
        <f>U169+V169+W169+X169</f>
        <v/>
      </c>
      <c r="Z168" s="60">
        <f>Y169+T169+L169</f>
        <v/>
      </c>
      <c r="AA168" s="11">
        <f>Z169*20%</f>
        <v/>
      </c>
      <c r="AB168" s="12">
        <f>Z169+AA169</f>
        <v/>
      </c>
      <c r="AC168" s="2">
        <f>D169*2.1</f>
        <v/>
      </c>
      <c r="AD168" s="12">
        <f>AB169-AC169</f>
        <v/>
      </c>
      <c r="AE168" s="12">
        <f>AD169/AB169*100</f>
        <v/>
      </c>
      <c r="AF168" s="92" t="n">
        <v>1185</v>
      </c>
      <c r="AG168" s="62">
        <f>((AF169-L169)/L169)*100</f>
        <v/>
      </c>
      <c r="AH168" s="106">
        <f>AJ169-AF169</f>
        <v/>
      </c>
      <c r="AI168" s="65">
        <f>AB169</f>
        <v/>
      </c>
      <c r="AJ168" s="65" t="n">
        <v>1490</v>
      </c>
      <c r="AK168" s="66">
        <f>(AJ169-L169)/L169*100</f>
        <v/>
      </c>
      <c r="AL168" s="66" t="n"/>
      <c r="AM168" s="14">
        <f>AH169/AJ169%</f>
        <v/>
      </c>
      <c r="AN168" s="67">
        <f>AK169-AG169</f>
        <v/>
      </c>
      <c r="AO168" s="68">
        <f>AJ169/L169</f>
        <v/>
      </c>
      <c r="AP168" s="69">
        <f>(AJ169-AB169)/100</f>
        <v/>
      </c>
      <c r="AQ168" s="70">
        <f>(AJ169-AC169)/100</f>
        <v/>
      </c>
      <c r="AR168" s="71">
        <f>AI169/94</f>
        <v/>
      </c>
      <c r="AS168" s="71">
        <f>AJ169/94</f>
        <v/>
      </c>
      <c r="AT168" s="72">
        <f>AI169/24</f>
        <v/>
      </c>
      <c r="AU168" s="72">
        <f>AJ169/24</f>
        <v/>
      </c>
      <c r="AV168" s="73">
        <f>AI169/125</f>
        <v/>
      </c>
      <c r="AW168" s="73">
        <f>AJ169/125</f>
        <v/>
      </c>
    </row>
    <row r="169" ht="15" customHeight="1" s="258">
      <c r="A169" s="2" t="n"/>
      <c r="B169" s="2" t="inlineStr">
        <is>
          <t>Grey</t>
        </is>
      </c>
      <c r="C169" s="2" t="inlineStr">
        <is>
          <t>Me-Z-R-C-GY</t>
        </is>
      </c>
      <c r="D169" s="118" t="n">
        <v>465</v>
      </c>
      <c r="F169" s="2" t="n">
        <v>125</v>
      </c>
      <c r="G169" s="118" t="n">
        <v>94041000</v>
      </c>
      <c r="H169" s="255" t="n">
        <v>0.18</v>
      </c>
      <c r="I169" s="2">
        <f>D170*H170</f>
        <v/>
      </c>
      <c r="J169" s="2">
        <f>D170*5%</f>
        <v/>
      </c>
      <c r="K169" s="2" t="n">
        <v>100</v>
      </c>
      <c r="L169" s="4">
        <f>K170+J170+I170+F170+E170+D170</f>
        <v/>
      </c>
      <c r="M169" s="2">
        <f>D170*1%</f>
        <v/>
      </c>
      <c r="N169" s="12">
        <f>L170*8%</f>
        <v/>
      </c>
      <c r="O169" s="12">
        <f>L170*10%</f>
        <v/>
      </c>
      <c r="P169" s="12">
        <f>L170*5%</f>
        <v/>
      </c>
      <c r="Q169" s="12">
        <f>L170*2%</f>
        <v/>
      </c>
      <c r="R169" s="12">
        <f>AC170*0.5%</f>
        <v/>
      </c>
      <c r="S169" s="12">
        <f>L170*1%</f>
        <v/>
      </c>
      <c r="T169" s="60">
        <f>S170+Q170+P170+O170+N170+M170</f>
        <v/>
      </c>
      <c r="U169" s="2">
        <f>AC170*1%</f>
        <v/>
      </c>
      <c r="V169" s="44">
        <f>AC170*5%</f>
        <v/>
      </c>
      <c r="W169" s="2">
        <f>AC170*1%</f>
        <v/>
      </c>
      <c r="X169" s="2">
        <f>AC170*8%</f>
        <v/>
      </c>
      <c r="Y169" s="2">
        <f>U170+V170+W170+X170</f>
        <v/>
      </c>
      <c r="Z169" s="60">
        <f>Y170+T170+L170</f>
        <v/>
      </c>
      <c r="AA169" s="11">
        <f>Z170*20%</f>
        <v/>
      </c>
      <c r="AB169" s="12">
        <f>Z170+AA170</f>
        <v/>
      </c>
      <c r="AC169" s="2">
        <f>D170*2.1</f>
        <v/>
      </c>
      <c r="AD169" s="12">
        <f>AB170-AC170</f>
        <v/>
      </c>
      <c r="AE169" s="12">
        <f>AD170/AB170*100</f>
        <v/>
      </c>
      <c r="AF169" s="92" t="n">
        <v>1185</v>
      </c>
      <c r="AG169" s="62">
        <f>((AF170-L170)/L170)*100</f>
        <v/>
      </c>
      <c r="AH169" s="106">
        <f>AJ170-AF170</f>
        <v/>
      </c>
      <c r="AI169" s="65">
        <f>AB170</f>
        <v/>
      </c>
      <c r="AJ169" s="65" t="n">
        <v>1490</v>
      </c>
      <c r="AK169" s="66">
        <f>(AJ170-L170)/L170*100</f>
        <v/>
      </c>
      <c r="AL169" s="66" t="n"/>
      <c r="AM169" s="14">
        <f>AH170/AJ170%</f>
        <v/>
      </c>
      <c r="AN169" s="67">
        <f>AK170-AG170</f>
        <v/>
      </c>
      <c r="AO169" s="68">
        <f>AJ170/L170</f>
        <v/>
      </c>
      <c r="AP169" s="69">
        <f>(AJ170-AB170)/100</f>
        <v/>
      </c>
      <c r="AQ169" s="70">
        <f>(AJ170-AC170)/100</f>
        <v/>
      </c>
      <c r="AR169" s="71">
        <f>AI170/94</f>
        <v/>
      </c>
      <c r="AS169" s="71">
        <f>AJ170/94</f>
        <v/>
      </c>
      <c r="AT169" s="72">
        <f>AI170/24</f>
        <v/>
      </c>
      <c r="AU169" s="72">
        <f>AJ170/24</f>
        <v/>
      </c>
      <c r="AV169" s="73">
        <f>AI170/125</f>
        <v/>
      </c>
      <c r="AW169" s="73">
        <f>AJ170/125</f>
        <v/>
      </c>
    </row>
    <row r="170" ht="15.75" customHeight="1" s="258">
      <c r="A170" s="2" t="n"/>
      <c r="B170" s="2" t="inlineStr">
        <is>
          <t>Navy Blue</t>
        </is>
      </c>
      <c r="C170" s="2" t="inlineStr">
        <is>
          <t>Me-Z-R-C-NB</t>
        </is>
      </c>
      <c r="D170" s="118" t="n">
        <v>465</v>
      </c>
      <c r="F170" s="2" t="n">
        <v>125</v>
      </c>
      <c r="G170" s="118" t="n">
        <v>94041000</v>
      </c>
      <c r="H170" s="255" t="n">
        <v>0.18</v>
      </c>
      <c r="I170" s="2">
        <f>D171*H171</f>
        <v/>
      </c>
      <c r="J170" s="2">
        <f>D171*5%</f>
        <v/>
      </c>
      <c r="K170" s="2" t="n">
        <v>100</v>
      </c>
      <c r="L170" s="4">
        <f>K171+J171+I171+F171+E171+D171</f>
        <v/>
      </c>
      <c r="M170" s="2">
        <f>D171*1%</f>
        <v/>
      </c>
      <c r="N170" s="12">
        <f>L171*8%</f>
        <v/>
      </c>
      <c r="O170" s="12">
        <f>L171*10%</f>
        <v/>
      </c>
      <c r="P170" s="12">
        <f>L171*5%</f>
        <v/>
      </c>
      <c r="Q170" s="12">
        <f>L171*2%</f>
        <v/>
      </c>
      <c r="R170" s="12">
        <f>AC171*0.5%</f>
        <v/>
      </c>
      <c r="S170" s="12">
        <f>L171*1%</f>
        <v/>
      </c>
      <c r="T170" s="60">
        <f>S171+Q171+P171+O171+N171+M171</f>
        <v/>
      </c>
      <c r="U170" s="2">
        <f>AC171*1%</f>
        <v/>
      </c>
      <c r="V170" s="44">
        <f>AC171*5%</f>
        <v/>
      </c>
      <c r="W170" s="2">
        <f>AC171*1%</f>
        <v/>
      </c>
      <c r="X170" s="2">
        <f>AC171*8%</f>
        <v/>
      </c>
      <c r="Y170" s="2">
        <f>U171+V171+W171+X171</f>
        <v/>
      </c>
      <c r="Z170" s="60">
        <f>Y171+T171+L171</f>
        <v/>
      </c>
      <c r="AA170" s="11">
        <f>Z171*20%</f>
        <v/>
      </c>
      <c r="AB170" s="12">
        <f>Z171+AA171</f>
        <v/>
      </c>
      <c r="AC170" s="2">
        <f>D171*2.1</f>
        <v/>
      </c>
      <c r="AD170" s="12">
        <f>AB171-AC171</f>
        <v/>
      </c>
      <c r="AE170" s="12">
        <f>AD171/AB171*100</f>
        <v/>
      </c>
      <c r="AF170" s="92" t="n">
        <v>1185</v>
      </c>
      <c r="AG170" s="62">
        <f>((AF171-L171)/L171)*100</f>
        <v/>
      </c>
      <c r="AH170" s="106">
        <f>AJ171-AF171</f>
        <v/>
      </c>
      <c r="AI170" s="65">
        <f>AB171</f>
        <v/>
      </c>
      <c r="AJ170" s="65" t="n">
        <v>1490</v>
      </c>
      <c r="AK170" s="66">
        <f>(AJ171-L171)/L171*100</f>
        <v/>
      </c>
      <c r="AL170" s="66" t="n"/>
      <c r="AM170" s="14">
        <f>AH171/AJ171%</f>
        <v/>
      </c>
      <c r="AN170" s="67">
        <f>AK171-AG171</f>
        <v/>
      </c>
      <c r="AO170" s="68">
        <f>AJ171/L171</f>
        <v/>
      </c>
      <c r="AP170" s="69">
        <f>(AJ171-AB171)/100</f>
        <v/>
      </c>
      <c r="AQ170" s="70">
        <f>(AJ171-AC171)/100</f>
        <v/>
      </c>
      <c r="AR170" s="71">
        <f>AI171/94</f>
        <v/>
      </c>
      <c r="AS170" s="71">
        <f>AJ171/94</f>
        <v/>
      </c>
      <c r="AT170" s="72">
        <f>AI171/24</f>
        <v/>
      </c>
      <c r="AU170" s="72">
        <f>AJ171/24</f>
        <v/>
      </c>
      <c r="AV170" s="73">
        <f>AI171/125</f>
        <v/>
      </c>
      <c r="AW170" s="73">
        <f>AJ171/125</f>
        <v/>
      </c>
    </row>
    <row r="171" ht="15.75" customHeight="1" s="258">
      <c r="A171" s="2" t="n"/>
      <c r="B171" s="2" t="inlineStr">
        <is>
          <t>Orange</t>
        </is>
      </c>
      <c r="C171" s="2" t="inlineStr">
        <is>
          <t>Me-Z-R-C-O</t>
        </is>
      </c>
      <c r="D171" s="118" t="n">
        <v>465</v>
      </c>
      <c r="F171" s="2" t="n">
        <v>125</v>
      </c>
      <c r="G171" s="118" t="n">
        <v>94041000</v>
      </c>
      <c r="H171" s="255" t="n">
        <v>0.18</v>
      </c>
      <c r="I171" s="2">
        <f>D172*H172</f>
        <v/>
      </c>
      <c r="J171" s="2">
        <f>D172*5%</f>
        <v/>
      </c>
      <c r="K171" s="2" t="n">
        <v>100</v>
      </c>
      <c r="L171" s="4">
        <f>K172+J172+I172+F172+E172+D172</f>
        <v/>
      </c>
      <c r="M171" s="2">
        <f>D172*1%</f>
        <v/>
      </c>
      <c r="N171" s="12">
        <f>L172*8%</f>
        <v/>
      </c>
      <c r="O171" s="12">
        <f>L172*10%</f>
        <v/>
      </c>
      <c r="P171" s="12">
        <f>L172*5%</f>
        <v/>
      </c>
      <c r="Q171" s="12">
        <f>L172*2%</f>
        <v/>
      </c>
      <c r="R171" s="12">
        <f>AC172*0.5%</f>
        <v/>
      </c>
      <c r="S171" s="12">
        <f>L172*1%</f>
        <v/>
      </c>
      <c r="T171" s="60">
        <f>S172+Q172+P172+O172+N172+M172</f>
        <v/>
      </c>
      <c r="U171" s="2">
        <f>AC172*1%</f>
        <v/>
      </c>
      <c r="V171" s="44">
        <f>AC172*5%</f>
        <v/>
      </c>
      <c r="W171" s="2">
        <f>AC172*1%</f>
        <v/>
      </c>
      <c r="X171" s="2">
        <f>AC172*8%</f>
        <v/>
      </c>
      <c r="Y171" s="2">
        <f>U172+V172+W172+X172</f>
        <v/>
      </c>
      <c r="Z171" s="60">
        <f>Y172+T172+L172</f>
        <v/>
      </c>
      <c r="AA171" s="11">
        <f>Z172*20%</f>
        <v/>
      </c>
      <c r="AB171" s="12">
        <f>Z172+AA172</f>
        <v/>
      </c>
      <c r="AC171" s="2">
        <f>D172*2.1</f>
        <v/>
      </c>
      <c r="AD171" s="12">
        <f>AB172-AC172</f>
        <v/>
      </c>
      <c r="AE171" s="12">
        <f>AD172/AB172*100</f>
        <v/>
      </c>
      <c r="AF171" s="92" t="n">
        <v>1185</v>
      </c>
      <c r="AG171" s="62">
        <f>((AF172-L172)/L172)*100</f>
        <v/>
      </c>
      <c r="AH171" s="106">
        <f>AJ172-AF172</f>
        <v/>
      </c>
      <c r="AI171" s="65">
        <f>AB172</f>
        <v/>
      </c>
      <c r="AJ171" s="65" t="n">
        <v>1490</v>
      </c>
      <c r="AK171" s="66">
        <f>(AJ172-L172)/L172*100</f>
        <v/>
      </c>
      <c r="AL171" s="66" t="n"/>
      <c r="AM171" s="14">
        <f>AH172/AJ172%</f>
        <v/>
      </c>
      <c r="AN171" s="67">
        <f>AK172-AG172</f>
        <v/>
      </c>
      <c r="AO171" s="68">
        <f>AJ172/L172</f>
        <v/>
      </c>
      <c r="AP171" s="69">
        <f>(AJ172-AB172)/100</f>
        <v/>
      </c>
      <c r="AQ171" s="70">
        <f>(AJ172-AC172)/100</f>
        <v/>
      </c>
      <c r="AR171" s="71">
        <f>AI172/94</f>
        <v/>
      </c>
      <c r="AS171" s="71">
        <f>AJ172/94</f>
        <v/>
      </c>
      <c r="AT171" s="72">
        <f>AI172/24</f>
        <v/>
      </c>
      <c r="AU171" s="72">
        <f>AJ172/24</f>
        <v/>
      </c>
      <c r="AV171" s="73">
        <f>AI172/125</f>
        <v/>
      </c>
      <c r="AW171" s="73">
        <f>AJ172/125</f>
        <v/>
      </c>
    </row>
    <row r="172" ht="15.75" customHeight="1" s="258">
      <c r="A172" s="2" t="n"/>
      <c r="B172" s="2" t="inlineStr">
        <is>
          <t>Rose</t>
        </is>
      </c>
      <c r="C172" s="2" t="inlineStr">
        <is>
          <t>Me-Z-R-C-RE</t>
        </is>
      </c>
      <c r="D172" s="118" t="n">
        <v>465</v>
      </c>
      <c r="F172" s="2" t="n">
        <v>125</v>
      </c>
      <c r="G172" s="118" t="n">
        <v>94041000</v>
      </c>
      <c r="H172" s="255" t="n">
        <v>0.18</v>
      </c>
      <c r="I172" s="2">
        <f>D173*H173</f>
        <v/>
      </c>
      <c r="J172" s="2">
        <f>D173*5%</f>
        <v/>
      </c>
      <c r="K172" s="2" t="n">
        <v>100</v>
      </c>
      <c r="L172" s="4">
        <f>K173+J173+I173+F173+E173+D173</f>
        <v/>
      </c>
      <c r="M172" s="2">
        <f>D173*1%</f>
        <v/>
      </c>
      <c r="N172" s="12">
        <f>L173*8%</f>
        <v/>
      </c>
      <c r="O172" s="12">
        <f>L173*10%</f>
        <v/>
      </c>
      <c r="P172" s="12">
        <f>L173*5%</f>
        <v/>
      </c>
      <c r="Q172" s="12">
        <f>L173*2%</f>
        <v/>
      </c>
      <c r="R172" s="12">
        <f>AC173*0.5%</f>
        <v/>
      </c>
      <c r="S172" s="12">
        <f>L173*1%</f>
        <v/>
      </c>
      <c r="T172" s="60">
        <f>S173+Q173+P173+O173+N173+M173</f>
        <v/>
      </c>
      <c r="U172" s="2">
        <f>AC173*1%</f>
        <v/>
      </c>
      <c r="V172" s="44">
        <f>AC173*5%</f>
        <v/>
      </c>
      <c r="W172" s="2">
        <f>AC173*1%</f>
        <v/>
      </c>
      <c r="X172" s="2">
        <f>AC173*8%</f>
        <v/>
      </c>
      <c r="Y172" s="2">
        <f>U173+V173+W173+X173</f>
        <v/>
      </c>
      <c r="Z172" s="60">
        <f>Y173+T173+L173</f>
        <v/>
      </c>
      <c r="AA172" s="11">
        <f>Z173*20%</f>
        <v/>
      </c>
      <c r="AB172" s="12">
        <f>Z173+AA173</f>
        <v/>
      </c>
      <c r="AC172" s="2">
        <f>D173*2.1</f>
        <v/>
      </c>
      <c r="AD172" s="12">
        <f>AB173-AC173</f>
        <v/>
      </c>
      <c r="AE172" s="12">
        <f>AD173/AB173*100</f>
        <v/>
      </c>
      <c r="AF172" s="92" t="n">
        <v>1185</v>
      </c>
      <c r="AG172" s="62">
        <f>((AF173-L173)/L173)*100</f>
        <v/>
      </c>
      <c r="AH172" s="106">
        <f>AJ173-AF173</f>
        <v/>
      </c>
      <c r="AI172" s="65">
        <f>AB173</f>
        <v/>
      </c>
      <c r="AJ172" s="65" t="n">
        <v>1490</v>
      </c>
      <c r="AK172" s="66">
        <f>(AJ173-L173)/L173*100</f>
        <v/>
      </c>
      <c r="AL172" s="66" t="n"/>
      <c r="AM172" s="14">
        <f>AH173/AJ173%</f>
        <v/>
      </c>
      <c r="AN172" s="67">
        <f>AK173-AG173</f>
        <v/>
      </c>
      <c r="AO172" s="68">
        <f>AJ173/L173</f>
        <v/>
      </c>
      <c r="AP172" s="69">
        <f>(AJ173-AB173)/100</f>
        <v/>
      </c>
      <c r="AQ172" s="70">
        <f>(AJ173-AC173)/100</f>
        <v/>
      </c>
      <c r="AR172" s="71">
        <f>AI173/94</f>
        <v/>
      </c>
      <c r="AS172" s="71">
        <f>AJ173/94</f>
        <v/>
      </c>
      <c r="AT172" s="72">
        <f>AI173/24</f>
        <v/>
      </c>
      <c r="AU172" s="72">
        <f>AJ173/24</f>
        <v/>
      </c>
      <c r="AV172" s="73">
        <f>AI173/125</f>
        <v/>
      </c>
      <c r="AW172" s="73">
        <f>AJ173/125</f>
        <v/>
      </c>
    </row>
    <row r="173" ht="15.75" customHeight="1" s="258">
      <c r="A173" s="2" t="n"/>
      <c r="B173" s="2" t="inlineStr">
        <is>
          <t>Sage</t>
        </is>
      </c>
      <c r="C173" s="2" t="inlineStr">
        <is>
          <t>Me-Z-R-C-SE</t>
        </is>
      </c>
      <c r="D173" s="118" t="n">
        <v>465</v>
      </c>
      <c r="F173" s="2" t="n">
        <v>125</v>
      </c>
      <c r="G173" s="118" t="n">
        <v>94041000</v>
      </c>
      <c r="H173" s="255" t="n">
        <v>0.18</v>
      </c>
      <c r="I173" s="2">
        <f>D174*H174</f>
        <v/>
      </c>
      <c r="J173" s="2">
        <f>D174*5%</f>
        <v/>
      </c>
      <c r="K173" s="2" t="n">
        <v>100</v>
      </c>
      <c r="L173" s="4">
        <f>K174+J174+I174+F174+E174+D174</f>
        <v/>
      </c>
      <c r="M173" s="2">
        <f>D174*1%</f>
        <v/>
      </c>
      <c r="N173" s="12">
        <f>L174*8%</f>
        <v/>
      </c>
      <c r="O173" s="12">
        <f>L174*10%</f>
        <v/>
      </c>
      <c r="P173" s="12">
        <f>L174*5%</f>
        <v/>
      </c>
      <c r="Q173" s="12">
        <f>L174*2%</f>
        <v/>
      </c>
      <c r="R173" s="12">
        <f>AC174*0.5%</f>
        <v/>
      </c>
      <c r="S173" s="12">
        <f>L174*1%</f>
        <v/>
      </c>
      <c r="T173" s="60">
        <f>S174+Q174+P174+O174+N174+M174</f>
        <v/>
      </c>
      <c r="U173" s="2">
        <f>AC174*1%</f>
        <v/>
      </c>
      <c r="V173" s="44">
        <f>AC174*5%</f>
        <v/>
      </c>
      <c r="W173" s="2">
        <f>AC174*1%</f>
        <v/>
      </c>
      <c r="X173" s="2">
        <f>AC174*8%</f>
        <v/>
      </c>
      <c r="Y173" s="2">
        <f>U174+V174+W174+X174</f>
        <v/>
      </c>
      <c r="Z173" s="60">
        <f>Y174+T174+L174</f>
        <v/>
      </c>
      <c r="AA173" s="11">
        <f>Z174*20%</f>
        <v/>
      </c>
      <c r="AB173" s="12">
        <f>Z174+AA174</f>
        <v/>
      </c>
      <c r="AC173" s="2">
        <f>D174*2.1</f>
        <v/>
      </c>
      <c r="AD173" s="12">
        <f>AB174-AC174</f>
        <v/>
      </c>
      <c r="AE173" s="12">
        <f>AD174/AB174*100</f>
        <v/>
      </c>
      <c r="AF173" s="92" t="n">
        <v>1185</v>
      </c>
      <c r="AG173" s="62">
        <f>((AF174-L174)/L174)*100</f>
        <v/>
      </c>
      <c r="AH173" s="106">
        <f>AJ174-AF174</f>
        <v/>
      </c>
      <c r="AI173" s="65">
        <f>AB174</f>
        <v/>
      </c>
      <c r="AJ173" s="65" t="n">
        <v>1490</v>
      </c>
      <c r="AK173" s="66">
        <f>(AJ174-L174)/L174*100</f>
        <v/>
      </c>
      <c r="AL173" s="66" t="n"/>
      <c r="AM173" s="14">
        <f>AH174/AJ174%</f>
        <v/>
      </c>
      <c r="AN173" s="67">
        <f>AK174-AG174</f>
        <v/>
      </c>
      <c r="AO173" s="68">
        <f>AJ174/L174</f>
        <v/>
      </c>
      <c r="AP173" s="69">
        <f>(AJ174-AB174)/100</f>
        <v/>
      </c>
      <c r="AQ173" s="70">
        <f>(AJ174-AC174)/100</f>
        <v/>
      </c>
      <c r="AR173" s="71">
        <f>AI174/94</f>
        <v/>
      </c>
      <c r="AS173" s="71">
        <f>AJ174/94</f>
        <v/>
      </c>
      <c r="AT173" s="72">
        <f>AI174/24</f>
        <v/>
      </c>
      <c r="AU173" s="72">
        <f>AJ174/24</f>
        <v/>
      </c>
      <c r="AV173" s="73">
        <f>AI174/125</f>
        <v/>
      </c>
      <c r="AW173" s="73">
        <f>AJ174/125</f>
        <v/>
      </c>
    </row>
    <row r="174" ht="15.75" customHeight="1" s="258">
      <c r="A174" s="2" t="n"/>
      <c r="B174" s="2" t="inlineStr">
        <is>
          <t>Light Grey</t>
        </is>
      </c>
      <c r="C174" s="2" t="inlineStr">
        <is>
          <t>Me-Z-R-LG</t>
        </is>
      </c>
      <c r="D174" s="118" t="n">
        <v>465</v>
      </c>
      <c r="F174" s="2" t="n">
        <v>125</v>
      </c>
      <c r="G174" s="118" t="n">
        <v>94041000</v>
      </c>
      <c r="H174" s="255" t="n">
        <v>0.18</v>
      </c>
      <c r="I174" s="2">
        <f>D175*H175</f>
        <v/>
      </c>
      <c r="J174" s="2">
        <f>D175*5%</f>
        <v/>
      </c>
      <c r="K174" s="2" t="n">
        <v>100</v>
      </c>
      <c r="L174" s="4">
        <f>K175+J175+I175+F175+E175+D175</f>
        <v/>
      </c>
      <c r="M174" s="2">
        <f>D175*1%</f>
        <v/>
      </c>
      <c r="N174" s="12">
        <f>L175*8%</f>
        <v/>
      </c>
      <c r="O174" s="12">
        <f>L175*10%</f>
        <v/>
      </c>
      <c r="P174" s="12">
        <f>L175*5%</f>
        <v/>
      </c>
      <c r="Q174" s="12">
        <f>L175*2%</f>
        <v/>
      </c>
      <c r="R174" s="12">
        <f>AC175*0.5%</f>
        <v/>
      </c>
      <c r="S174" s="12">
        <f>L175*1%</f>
        <v/>
      </c>
      <c r="T174" s="60">
        <f>S175+Q175+P175+O175+N175+M175</f>
        <v/>
      </c>
      <c r="U174" s="2">
        <f>AC175*1%</f>
        <v/>
      </c>
      <c r="V174" s="44">
        <f>AC175*5%</f>
        <v/>
      </c>
      <c r="W174" s="2">
        <f>AC175*1%</f>
        <v/>
      </c>
      <c r="X174" s="2">
        <f>AC175*8%</f>
        <v/>
      </c>
      <c r="Y174" s="2">
        <f>U175+V175+W175+X175</f>
        <v/>
      </c>
      <c r="Z174" s="60">
        <f>Y175+T175+L175</f>
        <v/>
      </c>
      <c r="AA174" s="11">
        <f>Z175*20%</f>
        <v/>
      </c>
      <c r="AB174" s="12">
        <f>Z175+AA175</f>
        <v/>
      </c>
      <c r="AC174" s="2">
        <f>D175*2.1</f>
        <v/>
      </c>
      <c r="AD174" s="12">
        <f>AB175-AC175</f>
        <v/>
      </c>
      <c r="AE174" s="12">
        <f>AD175/AB175*100</f>
        <v/>
      </c>
      <c r="AF174" s="92" t="n">
        <v>1185</v>
      </c>
      <c r="AG174" s="62">
        <f>((AF175-L175)/L175)*100</f>
        <v/>
      </c>
      <c r="AH174" s="106">
        <f>AJ175-AF175</f>
        <v/>
      </c>
      <c r="AI174" s="65">
        <f>AB175</f>
        <v/>
      </c>
      <c r="AJ174" s="65" t="n">
        <v>1490</v>
      </c>
      <c r="AK174" s="66">
        <f>(AJ175-L175)/L175*100</f>
        <v/>
      </c>
      <c r="AL174" s="66" t="n"/>
      <c r="AM174" s="14">
        <f>AH175/AJ175%</f>
        <v/>
      </c>
      <c r="AN174" s="67">
        <f>AK175-AG175</f>
        <v/>
      </c>
      <c r="AO174" s="68">
        <f>AJ175/L175</f>
        <v/>
      </c>
      <c r="AP174" s="69">
        <f>(AJ175-AB175)/100</f>
        <v/>
      </c>
      <c r="AQ174" s="70">
        <f>(AJ175-AC175)/100</f>
        <v/>
      </c>
      <c r="AR174" s="71">
        <f>AI175/94</f>
        <v/>
      </c>
      <c r="AS174" s="71">
        <f>AJ175/94</f>
        <v/>
      </c>
      <c r="AT174" s="72">
        <f>AI175/24</f>
        <v/>
      </c>
      <c r="AU174" s="72">
        <f>AJ175/24</f>
        <v/>
      </c>
      <c r="AV174" s="73">
        <f>AI175/125</f>
        <v/>
      </c>
      <c r="AW174" s="73">
        <f>AJ175/125</f>
        <v/>
      </c>
    </row>
    <row r="175" ht="15.75" customHeight="1" s="258">
      <c r="A175" s="2" t="n"/>
      <c r="B175" s="2" t="inlineStr">
        <is>
          <t>Lavender</t>
        </is>
      </c>
      <c r="C175" s="2" t="inlineStr">
        <is>
          <t>Me-Z-R-LR</t>
        </is>
      </c>
      <c r="D175" s="118" t="n">
        <v>465</v>
      </c>
      <c r="F175" s="2" t="n">
        <v>125</v>
      </c>
      <c r="G175" s="118" t="n">
        <v>94041000</v>
      </c>
      <c r="H175" s="255" t="n">
        <v>0.18</v>
      </c>
      <c r="I175" s="2">
        <f>D176*H176</f>
        <v/>
      </c>
      <c r="J175" s="2">
        <f>D176*5%</f>
        <v/>
      </c>
      <c r="K175" s="2" t="n">
        <v>100</v>
      </c>
      <c r="L175" s="4">
        <f>K176+J176+I176+F176+E176+D176</f>
        <v/>
      </c>
      <c r="M175" s="2">
        <f>D176*1%</f>
        <v/>
      </c>
      <c r="N175" s="12">
        <f>L176*8%</f>
        <v/>
      </c>
      <c r="O175" s="12">
        <f>L176*10%</f>
        <v/>
      </c>
      <c r="P175" s="12">
        <f>L176*5%</f>
        <v/>
      </c>
      <c r="Q175" s="12">
        <f>L176*2%</f>
        <v/>
      </c>
      <c r="R175" s="12">
        <f>AC176*0.5%</f>
        <v/>
      </c>
      <c r="S175" s="12">
        <f>L176*1%</f>
        <v/>
      </c>
      <c r="T175" s="60">
        <f>S176+Q176+P176+O176+N176+M176</f>
        <v/>
      </c>
      <c r="U175" s="2">
        <f>AC176*1%</f>
        <v/>
      </c>
      <c r="V175" s="44">
        <f>AC176*5%</f>
        <v/>
      </c>
      <c r="W175" s="2">
        <f>AC176*1%</f>
        <v/>
      </c>
      <c r="X175" s="2">
        <f>AC176*8%</f>
        <v/>
      </c>
      <c r="Y175" s="2">
        <f>U176+V176+W176+X176</f>
        <v/>
      </c>
      <c r="Z175" s="60">
        <f>Y176+T176+L176</f>
        <v/>
      </c>
      <c r="AA175" s="11">
        <f>Z176*20%</f>
        <v/>
      </c>
      <c r="AB175" s="12">
        <f>Z176+AA176</f>
        <v/>
      </c>
      <c r="AC175" s="2">
        <f>D176*2.1</f>
        <v/>
      </c>
      <c r="AD175" s="12">
        <f>AB176-AC176</f>
        <v/>
      </c>
      <c r="AE175" s="12">
        <f>AD176/AB176*100</f>
        <v/>
      </c>
      <c r="AF175" s="92" t="n">
        <v>1185</v>
      </c>
      <c r="AG175" s="62">
        <f>((AF176-L176)/L176)*100</f>
        <v/>
      </c>
      <c r="AH175" s="106">
        <f>AJ176-AF176</f>
        <v/>
      </c>
      <c r="AI175" s="65">
        <f>AB176</f>
        <v/>
      </c>
      <c r="AJ175" s="65" t="n">
        <v>1490</v>
      </c>
      <c r="AK175" s="66">
        <f>(AJ176-L176)/L176*100</f>
        <v/>
      </c>
      <c r="AL175" s="66" t="n"/>
      <c r="AM175" s="14">
        <f>AH176/AJ176%</f>
        <v/>
      </c>
      <c r="AN175" s="67">
        <f>AK176-AG176</f>
        <v/>
      </c>
      <c r="AO175" s="68">
        <f>AJ176/L176</f>
        <v/>
      </c>
      <c r="AP175" s="69">
        <f>(AJ176-AB176)/100</f>
        <v/>
      </c>
      <c r="AQ175" s="70">
        <f>(AJ176-AC176)/100</f>
        <v/>
      </c>
      <c r="AR175" s="71">
        <f>AI176/94</f>
        <v/>
      </c>
      <c r="AS175" s="71">
        <f>AJ176/94</f>
        <v/>
      </c>
      <c r="AT175" s="72">
        <f>AI176/24</f>
        <v/>
      </c>
      <c r="AU175" s="72">
        <f>AJ176/24</f>
        <v/>
      </c>
      <c r="AV175" s="73">
        <f>AI176/125</f>
        <v/>
      </c>
      <c r="AW175" s="73">
        <f>AJ176/125</f>
        <v/>
      </c>
    </row>
    <row r="176" ht="15.75" customHeight="1" s="258">
      <c r="A176" s="2" t="n"/>
      <c r="B176" s="2" t="inlineStr">
        <is>
          <t>Misty Blue</t>
        </is>
      </c>
      <c r="C176" s="2" t="inlineStr">
        <is>
          <t>Me-Z-R-MB</t>
        </is>
      </c>
      <c r="D176" s="118" t="n">
        <v>465</v>
      </c>
      <c r="F176" s="2" t="n">
        <v>125</v>
      </c>
      <c r="G176" s="118" t="n">
        <v>94041000</v>
      </c>
      <c r="H176" s="255" t="n">
        <v>0.18</v>
      </c>
      <c r="I176" s="2">
        <f>D177*H177</f>
        <v/>
      </c>
      <c r="J176" s="2">
        <f>D177*5%</f>
        <v/>
      </c>
      <c r="K176" s="2" t="n">
        <v>100</v>
      </c>
      <c r="L176" s="4">
        <f>K177+J177+I177+F177+E177+D177</f>
        <v/>
      </c>
      <c r="M176" s="2">
        <f>D177*1%</f>
        <v/>
      </c>
      <c r="N176" s="12">
        <f>L177*8%</f>
        <v/>
      </c>
      <c r="O176" s="12">
        <f>L177*10%</f>
        <v/>
      </c>
      <c r="P176" s="12">
        <f>L177*5%</f>
        <v/>
      </c>
      <c r="Q176" s="12">
        <f>L177*2%</f>
        <v/>
      </c>
      <c r="R176" s="12">
        <f>AC177*0.5%</f>
        <v/>
      </c>
      <c r="S176" s="12">
        <f>L177*1%</f>
        <v/>
      </c>
      <c r="T176" s="60">
        <f>S177+Q177+P177+O177+N177+M177</f>
        <v/>
      </c>
      <c r="U176" s="2">
        <f>AC177*1%</f>
        <v/>
      </c>
      <c r="V176" s="44">
        <f>AC177*5%</f>
        <v/>
      </c>
      <c r="W176" s="2">
        <f>AC177*1%</f>
        <v/>
      </c>
      <c r="X176" s="2">
        <f>AC177*8%</f>
        <v/>
      </c>
      <c r="Y176" s="2">
        <f>U177+V177+W177+X177</f>
        <v/>
      </c>
      <c r="Z176" s="60">
        <f>Y177+T177+L177</f>
        <v/>
      </c>
      <c r="AA176" s="11">
        <f>Z177*20%</f>
        <v/>
      </c>
      <c r="AB176" s="12">
        <f>Z177+AA177</f>
        <v/>
      </c>
      <c r="AC176" s="2">
        <f>D177*2.1</f>
        <v/>
      </c>
      <c r="AD176" s="12">
        <f>AB177-AC177</f>
        <v/>
      </c>
      <c r="AE176" s="12">
        <f>AD177/AB177*100</f>
        <v/>
      </c>
      <c r="AF176" s="92" t="n">
        <v>1185</v>
      </c>
      <c r="AG176" s="62">
        <f>((AF177-L177)/L177)*100</f>
        <v/>
      </c>
      <c r="AH176" s="106">
        <f>AJ177-AF177</f>
        <v/>
      </c>
      <c r="AI176" s="65">
        <f>AB177</f>
        <v/>
      </c>
      <c r="AJ176" s="65" t="n">
        <v>1490</v>
      </c>
      <c r="AK176" s="66">
        <f>(AJ177-L177)/L177*100</f>
        <v/>
      </c>
      <c r="AL176" s="66" t="n"/>
      <c r="AM176" s="14">
        <f>AH177/AJ177%</f>
        <v/>
      </c>
      <c r="AN176" s="67">
        <f>AK177-AG177</f>
        <v/>
      </c>
      <c r="AO176" s="68">
        <f>AJ177/L177</f>
        <v/>
      </c>
      <c r="AP176" s="69">
        <f>(AJ177-AB177)/100</f>
        <v/>
      </c>
      <c r="AQ176" s="70">
        <f>(AJ177-AC177)/100</f>
        <v/>
      </c>
      <c r="AR176" s="71">
        <f>AI177/94</f>
        <v/>
      </c>
      <c r="AS176" s="71">
        <f>AJ177/94</f>
        <v/>
      </c>
      <c r="AT176" s="72">
        <f>AI177/24</f>
        <v/>
      </c>
      <c r="AU176" s="72">
        <f>AJ177/24</f>
        <v/>
      </c>
      <c r="AV176" s="73">
        <f>AI177/125</f>
        <v/>
      </c>
      <c r="AW176" s="73">
        <f>AJ177/125</f>
        <v/>
      </c>
    </row>
    <row r="177" ht="15.75" customHeight="1" s="258">
      <c r="A177" s="2" t="n"/>
      <c r="B177" s="2" t="inlineStr">
        <is>
          <t>Magenta</t>
        </is>
      </c>
      <c r="C177" s="2" t="inlineStr">
        <is>
          <t>Me-Z-R-MG</t>
        </is>
      </c>
      <c r="D177" s="118" t="n">
        <v>465</v>
      </c>
      <c r="F177" s="2" t="n">
        <v>125</v>
      </c>
      <c r="G177" s="118" t="n">
        <v>94041000</v>
      </c>
      <c r="H177" s="255" t="n">
        <v>0.18</v>
      </c>
      <c r="I177" s="2">
        <f>D178*H178</f>
        <v/>
      </c>
      <c r="J177" s="2">
        <f>D178*5%</f>
        <v/>
      </c>
      <c r="K177" s="2" t="n">
        <v>100</v>
      </c>
      <c r="L177" s="4">
        <f>K178+J178+I178+F178+E178+D178</f>
        <v/>
      </c>
      <c r="M177" s="2">
        <f>D178*1%</f>
        <v/>
      </c>
      <c r="N177" s="12">
        <f>L178*8%</f>
        <v/>
      </c>
      <c r="O177" s="12">
        <f>L178*10%</f>
        <v/>
      </c>
      <c r="P177" s="12">
        <f>L178*5%</f>
        <v/>
      </c>
      <c r="Q177" s="12">
        <f>L178*2%</f>
        <v/>
      </c>
      <c r="R177" s="12">
        <f>AC178*0.5%</f>
        <v/>
      </c>
      <c r="S177" s="12">
        <f>L178*1%</f>
        <v/>
      </c>
      <c r="T177" s="60">
        <f>S178+Q178+P178+O178+N178+M178</f>
        <v/>
      </c>
      <c r="U177" s="2">
        <f>AC178*1%</f>
        <v/>
      </c>
      <c r="V177" s="44">
        <f>AC178*5%</f>
        <v/>
      </c>
      <c r="W177" s="2">
        <f>AC178*1%</f>
        <v/>
      </c>
      <c r="X177" s="2">
        <f>AC178*8%</f>
        <v/>
      </c>
      <c r="Y177" s="2">
        <f>U178+V178+W178+X178</f>
        <v/>
      </c>
      <c r="Z177" s="60">
        <f>Y178+T178+L178</f>
        <v/>
      </c>
      <c r="AA177" s="11">
        <f>Z178*20%</f>
        <v/>
      </c>
      <c r="AB177" s="12">
        <f>Z178+AA178</f>
        <v/>
      </c>
      <c r="AC177" s="2">
        <f>D178*2.1</f>
        <v/>
      </c>
      <c r="AD177" s="12">
        <f>AB178-AC178</f>
        <v/>
      </c>
      <c r="AE177" s="12">
        <f>AD178/AB178*100</f>
        <v/>
      </c>
      <c r="AF177" s="92" t="n">
        <v>1185</v>
      </c>
      <c r="AG177" s="62">
        <f>((AF178-L178)/L178)*100</f>
        <v/>
      </c>
      <c r="AH177" s="106">
        <f>AJ178-AF178</f>
        <v/>
      </c>
      <c r="AI177" s="65">
        <f>AB178</f>
        <v/>
      </c>
      <c r="AJ177" s="65" t="n">
        <v>1490</v>
      </c>
      <c r="AK177" s="66">
        <f>(AJ178-L178)/L178*100</f>
        <v/>
      </c>
      <c r="AL177" s="66" t="n"/>
      <c r="AM177" s="14">
        <f>AH178/AJ178%</f>
        <v/>
      </c>
      <c r="AN177" s="67">
        <f>AK178-AG178</f>
        <v/>
      </c>
      <c r="AO177" s="68">
        <f>AJ178/L178</f>
        <v/>
      </c>
      <c r="AP177" s="69">
        <f>(AJ178-AB178)/100</f>
        <v/>
      </c>
      <c r="AQ177" s="70">
        <f>(AJ178-AC178)/100</f>
        <v/>
      </c>
      <c r="AR177" s="71">
        <f>AI178/94</f>
        <v/>
      </c>
      <c r="AS177" s="71">
        <f>AJ178/94</f>
        <v/>
      </c>
      <c r="AT177" s="72">
        <f>AI178/24</f>
        <v/>
      </c>
      <c r="AU177" s="72">
        <f>AJ178/24</f>
        <v/>
      </c>
      <c r="AV177" s="73">
        <f>AI178/125</f>
        <v/>
      </c>
      <c r="AW177" s="73">
        <f>AJ178/125</f>
        <v/>
      </c>
    </row>
    <row r="178" ht="15.75" customHeight="1" s="258">
      <c r="A178" s="44" t="inlineStr">
        <is>
          <t>Zen Meditation Bench</t>
        </is>
      </c>
      <c r="B178" s="44" t="inlineStr">
        <is>
          <t>Small</t>
        </is>
      </c>
      <c r="C178" s="111" t="inlineStr">
        <is>
          <t>ME-ZMB-S</t>
        </is>
      </c>
      <c r="D178" s="114" t="n">
        <v>2000</v>
      </c>
      <c r="E178" s="113" t="n">
        <v>300</v>
      </c>
      <c r="F178" s="44" t="n">
        <v>145</v>
      </c>
      <c r="G178" s="45" t="n">
        <v>9403</v>
      </c>
      <c r="H178" s="115" t="n">
        <v>0.18</v>
      </c>
      <c r="I178" s="44">
        <f>D179*H179</f>
        <v/>
      </c>
      <c r="J178" s="113" t="n"/>
      <c r="K178" s="44" t="n">
        <v>100</v>
      </c>
      <c r="L178" s="48">
        <f>K179+J179+I179+F179+E179+D179</f>
        <v/>
      </c>
      <c r="M178" s="44">
        <f>D179*1%</f>
        <v/>
      </c>
      <c r="N178" s="49">
        <f>L179*8%</f>
        <v/>
      </c>
      <c r="O178" s="49">
        <f>L179*10%</f>
        <v/>
      </c>
      <c r="P178" s="49">
        <f>L179*5%</f>
        <v/>
      </c>
      <c r="Q178" s="49">
        <f>L179*2%</f>
        <v/>
      </c>
      <c r="R178" s="49">
        <f>AC179*0.5%</f>
        <v/>
      </c>
      <c r="S178" s="49">
        <f>L179*1%</f>
        <v/>
      </c>
      <c r="T178" s="50">
        <f>S179+Q179+P179+O179+N179+M179</f>
        <v/>
      </c>
      <c r="U178" s="44">
        <f>AC179*1%</f>
        <v/>
      </c>
      <c r="V178" s="44">
        <f>AC179*5%</f>
        <v/>
      </c>
      <c r="W178" s="44">
        <f>AC179*1%</f>
        <v/>
      </c>
      <c r="X178" s="44">
        <f>AC179*8%</f>
        <v/>
      </c>
      <c r="Y178" s="44">
        <f>U179+V179+W179+X179</f>
        <v/>
      </c>
      <c r="Z178" s="50">
        <f>Y179+T179+L179</f>
        <v/>
      </c>
      <c r="AA178" s="51">
        <f>Z179*20%</f>
        <v/>
      </c>
      <c r="AB178" s="49">
        <f>Z179+AA179</f>
        <v/>
      </c>
      <c r="AC178" s="44">
        <f>D179*2.1</f>
        <v/>
      </c>
      <c r="AD178" s="49">
        <f>AB179-AC179</f>
        <v/>
      </c>
      <c r="AE178" s="49">
        <f>AD179/AB179*100</f>
        <v/>
      </c>
      <c r="AF178" s="113" t="n">
        <v>3250</v>
      </c>
      <c r="AG178" s="116">
        <f>((AF179-L179)/L179)*100</f>
        <v/>
      </c>
      <c r="AH178" s="54">
        <f>AJ179-AF179</f>
        <v/>
      </c>
      <c r="AI178" s="54">
        <f>AB179</f>
        <v/>
      </c>
      <c r="AJ178" s="54" t="n">
        <v>5090</v>
      </c>
      <c r="AK178" s="55">
        <f>(AJ179-L179)/L179*100</f>
        <v/>
      </c>
      <c r="AL178" s="55" t="n"/>
      <c r="AM178" s="55">
        <f>AH179/AJ179%</f>
        <v/>
      </c>
      <c r="AN178" s="55">
        <f>AK179-AG179</f>
        <v/>
      </c>
      <c r="AO178" s="56">
        <f>AJ179/L179</f>
        <v/>
      </c>
      <c r="AP178" s="55">
        <f>(AJ179-AB179)/100</f>
        <v/>
      </c>
      <c r="AQ178" s="55">
        <f>(AJ179-AC179)/100</f>
        <v/>
      </c>
      <c r="AR178" s="57">
        <f>AI179/94</f>
        <v/>
      </c>
      <c r="AS178" s="57">
        <f>AJ179/94</f>
        <v/>
      </c>
      <c r="AT178" s="58">
        <f>AI179/24</f>
        <v/>
      </c>
      <c r="AU178" s="58">
        <f>AJ179/24</f>
        <v/>
      </c>
      <c r="AV178" s="58">
        <f>AI179/125</f>
        <v/>
      </c>
      <c r="AW178" s="58">
        <f>AJ179/125</f>
        <v/>
      </c>
      <c r="AX178" s="113" t="n"/>
      <c r="AY178" s="113" t="n"/>
    </row>
    <row r="179" ht="15" customHeight="1" s="258">
      <c r="A179" s="44" t="n"/>
      <c r="B179" s="44" t="inlineStr">
        <is>
          <t>Medium</t>
        </is>
      </c>
      <c r="C179" s="111" t="inlineStr">
        <is>
          <t>ME-ZMB-M</t>
        </is>
      </c>
      <c r="D179" s="114" t="n">
        <v>2100</v>
      </c>
      <c r="E179" s="113" t="n">
        <v>300</v>
      </c>
      <c r="F179" s="44" t="n">
        <v>145</v>
      </c>
      <c r="G179" s="45" t="n">
        <v>9403</v>
      </c>
      <c r="H179" s="115" t="n">
        <v>0.18</v>
      </c>
      <c r="I179" s="44">
        <f>D180*H180</f>
        <v/>
      </c>
      <c r="J179" s="113" t="n"/>
      <c r="K179" s="44" t="n">
        <v>100</v>
      </c>
      <c r="L179" s="48">
        <f>K180+J180+I180+F180+E180+D180</f>
        <v/>
      </c>
      <c r="M179" s="44">
        <f>D180*1%</f>
        <v/>
      </c>
      <c r="N179" s="49">
        <f>L180*8%</f>
        <v/>
      </c>
      <c r="O179" s="49">
        <f>L180*10%</f>
        <v/>
      </c>
      <c r="P179" s="49">
        <f>L180*5%</f>
        <v/>
      </c>
      <c r="Q179" s="49">
        <f>L180*2%</f>
        <v/>
      </c>
      <c r="R179" s="49">
        <f>AC180*0.5%</f>
        <v/>
      </c>
      <c r="S179" s="49">
        <f>L180*1%</f>
        <v/>
      </c>
      <c r="T179" s="50">
        <f>S180+Q180+P180+O180+N180+M180</f>
        <v/>
      </c>
      <c r="U179" s="44">
        <f>AC180*1%</f>
        <v/>
      </c>
      <c r="V179" s="44">
        <f>AC180*5%</f>
        <v/>
      </c>
      <c r="W179" s="44">
        <f>AC180*1%</f>
        <v/>
      </c>
      <c r="X179" s="44">
        <f>AC180*8%</f>
        <v/>
      </c>
      <c r="Y179" s="44">
        <f>U180+V180+W180+X180</f>
        <v/>
      </c>
      <c r="Z179" s="50">
        <f>Y180+T180+L180</f>
        <v/>
      </c>
      <c r="AA179" s="51">
        <f>Z180*20%</f>
        <v/>
      </c>
      <c r="AB179" s="49">
        <f>Z180+AA180</f>
        <v/>
      </c>
      <c r="AC179" s="44">
        <f>D180*2.1</f>
        <v/>
      </c>
      <c r="AD179" s="49">
        <f>AB180-AC180</f>
        <v/>
      </c>
      <c r="AE179" s="49">
        <f>AD180/AB180*100</f>
        <v/>
      </c>
      <c r="AF179" s="113" t="n">
        <v>3450</v>
      </c>
      <c r="AG179" s="116">
        <f>((AF180-L180)/L180)*100</f>
        <v/>
      </c>
      <c r="AH179" s="54">
        <f>AJ180-AF180</f>
        <v/>
      </c>
      <c r="AI179" s="54">
        <f>AB180</f>
        <v/>
      </c>
      <c r="AJ179" s="54" t="n">
        <v>5290</v>
      </c>
      <c r="AK179" s="55">
        <f>(AJ180-L180)/L180*100</f>
        <v/>
      </c>
      <c r="AL179" s="55" t="n"/>
      <c r="AM179" s="55">
        <f>AH180/AJ180%</f>
        <v/>
      </c>
      <c r="AN179" s="55">
        <f>AK180-AG180</f>
        <v/>
      </c>
      <c r="AO179" s="56">
        <f>AJ180/L180</f>
        <v/>
      </c>
      <c r="AP179" s="55">
        <f>(AJ180-AB180)/100</f>
        <v/>
      </c>
      <c r="AQ179" s="55">
        <f>(AJ180-AC180)/100</f>
        <v/>
      </c>
      <c r="AR179" s="57">
        <f>AI180/94</f>
        <v/>
      </c>
      <c r="AS179" s="57">
        <f>AJ180/94</f>
        <v/>
      </c>
      <c r="AT179" s="58">
        <f>AI180/24</f>
        <v/>
      </c>
      <c r="AU179" s="58">
        <f>AJ180/24</f>
        <v/>
      </c>
      <c r="AV179" s="58">
        <f>AI180/125</f>
        <v/>
      </c>
      <c r="AW179" s="58">
        <f>AJ180/125</f>
        <v/>
      </c>
      <c r="AX179" s="113" t="n"/>
      <c r="AY179" s="113" t="n"/>
    </row>
    <row r="180" ht="15.75" customHeight="1" s="258">
      <c r="A180" s="44" t="n"/>
      <c r="B180" s="44" t="inlineStr">
        <is>
          <t>Large</t>
        </is>
      </c>
      <c r="C180" s="111" t="inlineStr">
        <is>
          <t>ME-ZMB-L</t>
        </is>
      </c>
      <c r="D180" s="114" t="n">
        <v>2200</v>
      </c>
      <c r="E180" s="113" t="n">
        <v>300</v>
      </c>
      <c r="F180" s="44" t="n">
        <v>145</v>
      </c>
      <c r="G180" s="45" t="n">
        <v>9403</v>
      </c>
      <c r="H180" s="115" t="n">
        <v>0.18</v>
      </c>
      <c r="I180" s="44">
        <f>D181*H181</f>
        <v/>
      </c>
      <c r="J180" s="113" t="n"/>
      <c r="K180" s="44" t="n">
        <v>100</v>
      </c>
      <c r="L180" s="48">
        <f>K181+J181+I181+F181+E181+D181</f>
        <v/>
      </c>
      <c r="M180" s="44">
        <f>D181*1%</f>
        <v/>
      </c>
      <c r="N180" s="49">
        <f>L181*8%</f>
        <v/>
      </c>
      <c r="O180" s="49">
        <f>L181*10%</f>
        <v/>
      </c>
      <c r="P180" s="49">
        <f>L181*5%</f>
        <v/>
      </c>
      <c r="Q180" s="49">
        <f>L181*2%</f>
        <v/>
      </c>
      <c r="R180" s="49">
        <f>AC181*0.5%</f>
        <v/>
      </c>
      <c r="S180" s="49">
        <f>L181*1%</f>
        <v/>
      </c>
      <c r="T180" s="50">
        <f>S181+Q181+P181+O181+N181+M181</f>
        <v/>
      </c>
      <c r="U180" s="44">
        <f>AC181*1%</f>
        <v/>
      </c>
      <c r="V180" s="44">
        <f>AC181*5%</f>
        <v/>
      </c>
      <c r="W180" s="44">
        <f>AC181*1%</f>
        <v/>
      </c>
      <c r="X180" s="44">
        <f>AC181*8%</f>
        <v/>
      </c>
      <c r="Y180" s="44">
        <f>U181+V181+W181+X181</f>
        <v/>
      </c>
      <c r="Z180" s="50">
        <f>Y181+T181+L181</f>
        <v/>
      </c>
      <c r="AA180" s="51">
        <f>Z181*20%</f>
        <v/>
      </c>
      <c r="AB180" s="49">
        <f>Z181+AA181</f>
        <v/>
      </c>
      <c r="AC180" s="44">
        <f>D181*2.1</f>
        <v/>
      </c>
      <c r="AD180" s="49">
        <f>AB181-AC181</f>
        <v/>
      </c>
      <c r="AE180" s="49">
        <f>AD181/AB181*100</f>
        <v/>
      </c>
      <c r="AF180" s="113" t="n">
        <v>3650</v>
      </c>
      <c r="AG180" s="116">
        <f>((AF181-L181)/L181)*100</f>
        <v/>
      </c>
      <c r="AH180" s="54">
        <f>AJ181-AF181</f>
        <v/>
      </c>
      <c r="AI180" s="54">
        <f>AB181</f>
        <v/>
      </c>
      <c r="AJ180" s="54" t="n">
        <v>5490</v>
      </c>
      <c r="AK180" s="55">
        <f>(AJ181-L181)/L181*100</f>
        <v/>
      </c>
      <c r="AL180" s="55" t="n"/>
      <c r="AM180" s="55">
        <f>AH181/AJ181%</f>
        <v/>
      </c>
      <c r="AN180" s="55">
        <f>AK181-AG181</f>
        <v/>
      </c>
      <c r="AO180" s="56">
        <f>AJ181/L181</f>
        <v/>
      </c>
      <c r="AP180" s="55">
        <f>(AJ181-AB181)/100</f>
        <v/>
      </c>
      <c r="AQ180" s="55">
        <f>(AJ181-AC181)/100</f>
        <v/>
      </c>
      <c r="AR180" s="57">
        <f>AI181/94</f>
        <v/>
      </c>
      <c r="AS180" s="57">
        <f>AJ181/94</f>
        <v/>
      </c>
      <c r="AT180" s="58">
        <f>AI181/24</f>
        <v/>
      </c>
      <c r="AU180" s="58">
        <f>AJ181/24</f>
        <v/>
      </c>
      <c r="AV180" s="58">
        <f>AI181/125</f>
        <v/>
      </c>
      <c r="AW180" s="58">
        <f>AJ181/125</f>
        <v/>
      </c>
      <c r="AX180" s="113" t="n"/>
      <c r="AY180" s="113" t="n"/>
    </row>
    <row r="181" ht="15.75" customHeight="1" s="258">
      <c r="A181" s="2" t="inlineStr">
        <is>
          <t>Crescent Zafu Cushion - Wide</t>
        </is>
      </c>
      <c r="B181" s="2" t="inlineStr">
        <is>
          <t>Large / Rouge Pink</t>
        </is>
      </c>
      <c r="C181" s="2" t="inlineStr">
        <is>
          <t>Me-CZ-W-RP</t>
        </is>
      </c>
      <c r="D181" s="118" t="n">
        <v>445</v>
      </c>
      <c r="F181" s="2" t="n">
        <v>140</v>
      </c>
      <c r="G181" s="118" t="n">
        <v>94041000</v>
      </c>
      <c r="H181" s="255" t="n">
        <v>0.18</v>
      </c>
      <c r="I181" s="2">
        <f>D182*H182</f>
        <v/>
      </c>
      <c r="K181" s="152" t="n">
        <v>100</v>
      </c>
      <c r="L181" s="4">
        <f>K182+J182+I182+F182+E182+D182</f>
        <v/>
      </c>
      <c r="M181" s="2">
        <f>D182*1%</f>
        <v/>
      </c>
      <c r="N181" s="12">
        <f>L182*8%</f>
        <v/>
      </c>
      <c r="O181" s="12">
        <f>L182*10%</f>
        <v/>
      </c>
      <c r="P181" s="12">
        <f>L182*5%</f>
        <v/>
      </c>
      <c r="Q181" s="12">
        <f>L182*2%</f>
        <v/>
      </c>
      <c r="R181" s="12">
        <f>AC182*0.5%</f>
        <v/>
      </c>
      <c r="S181" s="12">
        <f>L182*1%</f>
        <v/>
      </c>
      <c r="T181" s="60">
        <f>S182+Q182+P182+O182+N182+M182</f>
        <v/>
      </c>
      <c r="U181" s="2">
        <f>AC182*1%</f>
        <v/>
      </c>
      <c r="V181" s="44">
        <f>AC182*5%</f>
        <v/>
      </c>
      <c r="W181" s="2">
        <f>AC182*1%</f>
        <v/>
      </c>
      <c r="X181" s="2">
        <f>AC182*8%</f>
        <v/>
      </c>
      <c r="Y181" s="2">
        <f>U182+V182+W182+X182</f>
        <v/>
      </c>
      <c r="Z181" s="60">
        <f>Y182+T182+L182</f>
        <v/>
      </c>
      <c r="AA181" s="11">
        <f>Z182*20%</f>
        <v/>
      </c>
      <c r="AB181" s="12">
        <f>Z182+AA182</f>
        <v/>
      </c>
      <c r="AC181" s="2">
        <f>D182*2.1</f>
        <v/>
      </c>
      <c r="AD181" s="12">
        <f>AB182-AC182</f>
        <v/>
      </c>
      <c r="AE181" s="12">
        <f>AD182/AB182*100</f>
        <v/>
      </c>
      <c r="AF181" s="92" t="n">
        <v>1145</v>
      </c>
      <c r="AG181" s="62">
        <f>((AF182-L182)/L182)*100</f>
        <v/>
      </c>
      <c r="AH181" s="106">
        <f>AJ182-AF182</f>
        <v/>
      </c>
      <c r="AI181" s="65" t="n">
        <v>1290</v>
      </c>
      <c r="AJ181" s="65" t="n">
        <v>1295</v>
      </c>
      <c r="AK181" s="66">
        <f>(AJ182-L182)/L182*100</f>
        <v/>
      </c>
      <c r="AL181" s="66" t="n"/>
      <c r="AM181" s="14">
        <f>AH182/AJ182%</f>
        <v/>
      </c>
      <c r="AN181" s="67">
        <f>AK182-AG182</f>
        <v/>
      </c>
      <c r="AO181" s="68">
        <f>AJ182/L182</f>
        <v/>
      </c>
      <c r="AP181" s="69">
        <f>(AJ182-AB182)/100</f>
        <v/>
      </c>
      <c r="AQ181" s="70">
        <f>(AJ182-AC182)/100</f>
        <v/>
      </c>
      <c r="AR181" s="71">
        <f>AI182/94</f>
        <v/>
      </c>
      <c r="AS181" s="71">
        <f>AJ182/94</f>
        <v/>
      </c>
      <c r="AT181" s="72">
        <f>AI182/24</f>
        <v/>
      </c>
      <c r="AU181" s="72">
        <f>AJ182/24</f>
        <v/>
      </c>
      <c r="AV181" s="73">
        <f>AI182/125</f>
        <v/>
      </c>
      <c r="AW181" s="73">
        <f>AJ182/125</f>
        <v/>
      </c>
    </row>
    <row r="182" ht="15" customHeight="1" s="258">
      <c r="A182" s="2" t="n"/>
      <c r="B182" s="2" t="inlineStr">
        <is>
          <t>Lavender / Large</t>
        </is>
      </c>
      <c r="C182" s="2" t="inlineStr">
        <is>
          <t>Me-CZ-W-L</t>
        </is>
      </c>
      <c r="D182" s="118" t="n">
        <v>445</v>
      </c>
      <c r="F182" s="2" t="n">
        <v>140</v>
      </c>
      <c r="G182" s="118" t="n">
        <v>94041000</v>
      </c>
      <c r="H182" s="255" t="n">
        <v>0.18</v>
      </c>
      <c r="I182" s="2">
        <f>D183*H183</f>
        <v/>
      </c>
      <c r="K182" s="152" t="n">
        <v>100</v>
      </c>
      <c r="L182" s="4">
        <f>K183+J183+I183+F183+E183+D183</f>
        <v/>
      </c>
      <c r="M182" s="2">
        <f>D183*1%</f>
        <v/>
      </c>
      <c r="N182" s="12">
        <f>L183*8%</f>
        <v/>
      </c>
      <c r="O182" s="12">
        <f>L183*10%</f>
        <v/>
      </c>
      <c r="P182" s="12">
        <f>L183*5%</f>
        <v/>
      </c>
      <c r="Q182" s="12">
        <f>L183*2%</f>
        <v/>
      </c>
      <c r="R182" s="12">
        <f>AC183*0.5%</f>
        <v/>
      </c>
      <c r="S182" s="12">
        <f>L183*1%</f>
        <v/>
      </c>
      <c r="T182" s="60">
        <f>S183+Q183+P183+O183+N183+M183</f>
        <v/>
      </c>
      <c r="U182" s="2">
        <f>AC183*1%</f>
        <v/>
      </c>
      <c r="V182" s="44">
        <f>AC183*5%</f>
        <v/>
      </c>
      <c r="W182" s="2">
        <f>AC183*1%</f>
        <v/>
      </c>
      <c r="X182" s="2">
        <f>AC183*8%</f>
        <v/>
      </c>
      <c r="Y182" s="2">
        <f>U183+V183+W183+X183</f>
        <v/>
      </c>
      <c r="Z182" s="60">
        <f>Y183+T183+L183</f>
        <v/>
      </c>
      <c r="AA182" s="11">
        <f>Z183*20%</f>
        <v/>
      </c>
      <c r="AB182" s="12">
        <f>Z183+AA183</f>
        <v/>
      </c>
      <c r="AC182" s="2">
        <f>D183*2.1</f>
        <v/>
      </c>
      <c r="AD182" s="12">
        <f>AB183-AC183</f>
        <v/>
      </c>
      <c r="AE182" s="12">
        <f>AD183/AB183*100</f>
        <v/>
      </c>
      <c r="AF182" s="92" t="n">
        <v>1145</v>
      </c>
      <c r="AG182" s="62">
        <f>((AF183-L183)/L183)*100</f>
        <v/>
      </c>
      <c r="AH182" s="106">
        <f>AJ183-AF183</f>
        <v/>
      </c>
      <c r="AI182" s="65" t="n">
        <v>1290</v>
      </c>
      <c r="AJ182" s="65" t="n">
        <v>1295</v>
      </c>
      <c r="AK182" s="66">
        <f>(AJ183-L183)/L183*100</f>
        <v/>
      </c>
      <c r="AL182" s="66" t="n"/>
      <c r="AM182" s="14">
        <f>AH183/AJ183%</f>
        <v/>
      </c>
      <c r="AN182" s="67">
        <f>AK183-AG183</f>
        <v/>
      </c>
      <c r="AO182" s="68">
        <f>AJ183/L183</f>
        <v/>
      </c>
      <c r="AP182" s="69">
        <f>(AJ183-AB183)/100</f>
        <v/>
      </c>
      <c r="AQ182" s="70">
        <f>(AJ183-AC183)/100</f>
        <v/>
      </c>
      <c r="AR182" s="71">
        <f>AI183/94</f>
        <v/>
      </c>
      <c r="AS182" s="71">
        <f>AJ183/94</f>
        <v/>
      </c>
      <c r="AT182" s="72">
        <f>AI183/24</f>
        <v/>
      </c>
      <c r="AU182" s="72">
        <f>AJ183/24</f>
        <v/>
      </c>
      <c r="AV182" s="73">
        <f>AI183/125</f>
        <v/>
      </c>
      <c r="AW182" s="73">
        <f>AJ183/125</f>
        <v/>
      </c>
    </row>
    <row r="183" ht="15.75" customHeight="1" s="258">
      <c r="A183" s="2" t="n"/>
      <c r="B183" s="2" t="inlineStr">
        <is>
          <t>Large / Misty Blue</t>
        </is>
      </c>
      <c r="C183" s="2" t="inlineStr">
        <is>
          <t>Me-CZ-W-MB</t>
        </is>
      </c>
      <c r="D183" s="118" t="n">
        <v>445</v>
      </c>
      <c r="F183" s="2" t="n">
        <v>140</v>
      </c>
      <c r="G183" s="118" t="n">
        <v>94041000</v>
      </c>
      <c r="H183" s="255" t="n">
        <v>0.18</v>
      </c>
      <c r="I183" s="2">
        <f>D184*H184</f>
        <v/>
      </c>
      <c r="K183" s="152" t="n">
        <v>100</v>
      </c>
      <c r="L183" s="4">
        <f>K184+J184+I184+F184+E184+D184</f>
        <v/>
      </c>
      <c r="M183" s="2">
        <f>D184*1%</f>
        <v/>
      </c>
      <c r="N183" s="12">
        <f>L184*8%</f>
        <v/>
      </c>
      <c r="O183" s="12">
        <f>L184*10%</f>
        <v/>
      </c>
      <c r="P183" s="12">
        <f>L184*5%</f>
        <v/>
      </c>
      <c r="Q183" s="12">
        <f>L184*2%</f>
        <v/>
      </c>
      <c r="R183" s="12">
        <f>AC184*0.5%</f>
        <v/>
      </c>
      <c r="S183" s="12">
        <f>L184*1%</f>
        <v/>
      </c>
      <c r="T183" s="60">
        <f>S184+Q184+P184+O184+N184+M184</f>
        <v/>
      </c>
      <c r="U183" s="2">
        <f>AC184*1%</f>
        <v/>
      </c>
      <c r="V183" s="44">
        <f>AC184*5%</f>
        <v/>
      </c>
      <c r="W183" s="2">
        <f>AC184*1%</f>
        <v/>
      </c>
      <c r="X183" s="2">
        <f>AC184*8%</f>
        <v/>
      </c>
      <c r="Y183" s="2">
        <f>U184+V184+W184+X184</f>
        <v/>
      </c>
      <c r="Z183" s="60">
        <f>Y184+T184+L184</f>
        <v/>
      </c>
      <c r="AA183" s="11">
        <f>Z184*20%</f>
        <v/>
      </c>
      <c r="AB183" s="12">
        <f>Z184+AA184</f>
        <v/>
      </c>
      <c r="AC183" s="2">
        <f>D184*2.1</f>
        <v/>
      </c>
      <c r="AD183" s="12">
        <f>AB184-AC184</f>
        <v/>
      </c>
      <c r="AE183" s="12">
        <f>AD184/AB184*100</f>
        <v/>
      </c>
      <c r="AF183" s="92" t="n">
        <v>1145</v>
      </c>
      <c r="AG183" s="62">
        <f>((AF184-L184)/L184)*100</f>
        <v/>
      </c>
      <c r="AH183" s="106">
        <f>AJ184-AF184</f>
        <v/>
      </c>
      <c r="AI183" s="65" t="n">
        <v>1290</v>
      </c>
      <c r="AJ183" s="65" t="n">
        <v>1295</v>
      </c>
      <c r="AK183" s="66">
        <f>(AJ184-L184)/L184*100</f>
        <v/>
      </c>
      <c r="AL183" s="66" t="n"/>
      <c r="AM183" s="14">
        <f>AH184/AJ184%</f>
        <v/>
      </c>
      <c r="AN183" s="67">
        <f>AK184-AG184</f>
        <v/>
      </c>
      <c r="AO183" s="68">
        <f>AJ184/L184</f>
        <v/>
      </c>
      <c r="AP183" s="69">
        <f>(AJ184-AB184)/100</f>
        <v/>
      </c>
      <c r="AQ183" s="70">
        <f>(AJ184-AC184)/100</f>
        <v/>
      </c>
      <c r="AR183" s="71">
        <f>AI184/94</f>
        <v/>
      </c>
      <c r="AS183" s="71">
        <f>AJ184/94</f>
        <v/>
      </c>
      <c r="AT183" s="72">
        <f>AI184/24</f>
        <v/>
      </c>
      <c r="AU183" s="72">
        <f>AJ184/24</f>
        <v/>
      </c>
      <c r="AV183" s="73">
        <f>AI184/125</f>
        <v/>
      </c>
      <c r="AW183" s="73">
        <f>AJ184/125</f>
        <v/>
      </c>
    </row>
    <row r="184" ht="15.75" customHeight="1" s="258">
      <c r="A184" s="2" t="inlineStr">
        <is>
          <t>Hi-Zafu Meditation Cushion - Embroidered with Lotus</t>
        </is>
      </c>
      <c r="B184" s="2" t="inlineStr">
        <is>
          <t>Sage</t>
        </is>
      </c>
      <c r="C184" s="2" t="inlineStr">
        <is>
          <t>Me-C-HZ-S-E-L</t>
        </is>
      </c>
      <c r="D184" s="118" t="n">
        <v>490</v>
      </c>
      <c r="F184" s="2" t="n">
        <v>145</v>
      </c>
      <c r="G184" s="118" t="n">
        <v>94041000</v>
      </c>
      <c r="H184" s="255" t="n">
        <v>0.18</v>
      </c>
      <c r="I184" s="2">
        <f>D185*H185</f>
        <v/>
      </c>
      <c r="K184" s="2" t="n">
        <v>150</v>
      </c>
      <c r="L184" s="4">
        <f>K185+J185+I185+F185+E185+D185</f>
        <v/>
      </c>
      <c r="M184" s="2">
        <f>D185*1%</f>
        <v/>
      </c>
      <c r="N184" s="12">
        <f>L185*8%</f>
        <v/>
      </c>
      <c r="O184" s="12">
        <f>L185*10%</f>
        <v/>
      </c>
      <c r="P184" s="12">
        <f>L185*5%</f>
        <v/>
      </c>
      <c r="Q184" s="12">
        <f>L185*2%</f>
        <v/>
      </c>
      <c r="R184" s="12">
        <f>AC185*0.5%</f>
        <v/>
      </c>
      <c r="S184" s="12">
        <f>L185*1%</f>
        <v/>
      </c>
      <c r="T184" s="60">
        <f>S185+Q185+P185+O185+N185+M185</f>
        <v/>
      </c>
      <c r="U184" s="2">
        <f>AC185*1%</f>
        <v/>
      </c>
      <c r="V184" s="44">
        <f>AC185*5%</f>
        <v/>
      </c>
      <c r="W184" s="2">
        <f>AC185*1%</f>
        <v/>
      </c>
      <c r="X184" s="2">
        <f>AC185*8%</f>
        <v/>
      </c>
      <c r="Y184" s="2">
        <f>U185+V185+W185+X185</f>
        <v/>
      </c>
      <c r="Z184" s="60">
        <f>Y185+T185+L185</f>
        <v/>
      </c>
      <c r="AA184" s="11">
        <f>Z185*20%</f>
        <v/>
      </c>
      <c r="AB184" s="12">
        <f>Z185+AA185</f>
        <v/>
      </c>
      <c r="AC184" s="2">
        <f>D185*2.1</f>
        <v/>
      </c>
      <c r="AD184" s="12">
        <f>AB185-AC185</f>
        <v/>
      </c>
      <c r="AE184" s="12">
        <f>AD185/AB185*100</f>
        <v/>
      </c>
      <c r="AF184" s="92" t="n">
        <v>1485</v>
      </c>
      <c r="AG184" s="62">
        <f>((AF185-L185)/L185)*100</f>
        <v/>
      </c>
      <c r="AH184" s="106">
        <f>AJ185-AF185</f>
        <v/>
      </c>
      <c r="AI184" s="65" t="n">
        <v>1790</v>
      </c>
      <c r="AJ184" s="65" t="n">
        <v>1495</v>
      </c>
      <c r="AK184" s="66">
        <f>(AJ185-L185)/L185*100</f>
        <v/>
      </c>
      <c r="AL184" s="66" t="n"/>
      <c r="AM184" s="14">
        <f>AH185/AJ185%</f>
        <v/>
      </c>
      <c r="AN184" s="67">
        <f>AK185-AG185</f>
        <v/>
      </c>
      <c r="AO184" s="68">
        <f>AJ185/L185</f>
        <v/>
      </c>
      <c r="AP184" s="69">
        <f>(AJ185-AB185)/100</f>
        <v/>
      </c>
      <c r="AQ184" s="70">
        <f>(AJ185-AC185)/100</f>
        <v/>
      </c>
      <c r="AR184" s="71">
        <f>AI185/94</f>
        <v/>
      </c>
      <c r="AS184" s="71">
        <f>AJ185/94</f>
        <v/>
      </c>
      <c r="AT184" s="72">
        <f>AI185/24</f>
        <v/>
      </c>
      <c r="AU184" s="72">
        <f>AJ185/24</f>
        <v/>
      </c>
      <c r="AV184" s="73">
        <f>AI185/125</f>
        <v/>
      </c>
      <c r="AW184" s="73">
        <f>AJ185/125</f>
        <v/>
      </c>
    </row>
    <row r="185" ht="15" customHeight="1" s="258">
      <c r="A185" s="2" t="n"/>
      <c r="B185" s="2" t="inlineStr">
        <is>
          <t>Lavender</t>
        </is>
      </c>
      <c r="C185" s="2" t="inlineStr">
        <is>
          <t>Me-C-HZ-L-E-L</t>
        </is>
      </c>
      <c r="D185" s="118" t="n">
        <v>490</v>
      </c>
      <c r="F185" s="2" t="n">
        <v>145</v>
      </c>
      <c r="G185" s="118" t="n">
        <v>94041000</v>
      </c>
      <c r="H185" s="255" t="n">
        <v>0.18</v>
      </c>
      <c r="I185" s="2">
        <f>D186*H186</f>
        <v/>
      </c>
      <c r="K185" s="2" t="n">
        <v>150</v>
      </c>
      <c r="L185" s="4">
        <f>K186+J186+I186+F186+E186+D186</f>
        <v/>
      </c>
      <c r="M185" s="2">
        <f>D186*1%</f>
        <v/>
      </c>
      <c r="N185" s="12">
        <f>L186*8%</f>
        <v/>
      </c>
      <c r="O185" s="12">
        <f>L186*10%</f>
        <v/>
      </c>
      <c r="P185" s="12">
        <f>L186*5%</f>
        <v/>
      </c>
      <c r="Q185" s="12">
        <f>L186*2%</f>
        <v/>
      </c>
      <c r="R185" s="12">
        <f>AC186*0.5%</f>
        <v/>
      </c>
      <c r="S185" s="12">
        <f>L186*1%</f>
        <v/>
      </c>
      <c r="T185" s="60">
        <f>S186+Q186+P186+O186+N186+M186</f>
        <v/>
      </c>
      <c r="U185" s="2">
        <f>AC186*1%</f>
        <v/>
      </c>
      <c r="V185" s="44">
        <f>AC186*5%</f>
        <v/>
      </c>
      <c r="W185" s="2">
        <f>AC186*1%</f>
        <v/>
      </c>
      <c r="X185" s="2">
        <f>AC186*8%</f>
        <v/>
      </c>
      <c r="Y185" s="2">
        <f>U186+V186+W186+X186</f>
        <v/>
      </c>
      <c r="Z185" s="60">
        <f>Y186+T186+L186</f>
        <v/>
      </c>
      <c r="AA185" s="11">
        <f>Z186*20%</f>
        <v/>
      </c>
      <c r="AB185" s="12">
        <f>Z186+AA186</f>
        <v/>
      </c>
      <c r="AC185" s="2">
        <f>D186*2.1</f>
        <v/>
      </c>
      <c r="AD185" s="12">
        <f>AB186-AC186</f>
        <v/>
      </c>
      <c r="AE185" s="12">
        <f>AD186/AB186*100</f>
        <v/>
      </c>
      <c r="AF185" s="92" t="n">
        <v>1485</v>
      </c>
      <c r="AG185" s="62">
        <f>((AF186-L186)/L186)*100</f>
        <v/>
      </c>
      <c r="AH185" s="106">
        <f>AJ186-AF186</f>
        <v/>
      </c>
      <c r="AI185" s="65" t="n">
        <v>1790</v>
      </c>
      <c r="AJ185" s="65" t="n">
        <v>1495</v>
      </c>
      <c r="AK185" s="66">
        <f>(AJ186-L186)/L186*100</f>
        <v/>
      </c>
      <c r="AL185" s="66" t="n"/>
      <c r="AM185" s="14">
        <f>AH186/AJ186%</f>
        <v/>
      </c>
      <c r="AN185" s="67">
        <f>AK186-AG186</f>
        <v/>
      </c>
      <c r="AO185" s="68">
        <f>AJ186/L186</f>
        <v/>
      </c>
      <c r="AP185" s="69">
        <f>(AJ186-AB186)/100</f>
        <v/>
      </c>
      <c r="AQ185" s="70">
        <f>(AJ186-AC186)/100</f>
        <v/>
      </c>
      <c r="AR185" s="71">
        <f>AI186/94</f>
        <v/>
      </c>
      <c r="AS185" s="71">
        <f>AJ186/94</f>
        <v/>
      </c>
      <c r="AT185" s="72">
        <f>AI186/24</f>
        <v/>
      </c>
      <c r="AU185" s="72">
        <f>AJ186/24</f>
        <v/>
      </c>
      <c r="AV185" s="73">
        <f>AI186/125</f>
        <v/>
      </c>
      <c r="AW185" s="73">
        <f>AJ186/125</f>
        <v/>
      </c>
    </row>
    <row r="186" ht="15.75" customHeight="1" s="258">
      <c r="A186" s="2" t="n"/>
      <c r="B186" s="2" t="inlineStr">
        <is>
          <t>Light Grey</t>
        </is>
      </c>
      <c r="C186" s="2" t="inlineStr">
        <is>
          <t>Me-C-HZ-LG-E-L</t>
        </is>
      </c>
      <c r="D186" s="118" t="n">
        <v>490</v>
      </c>
      <c r="F186" s="2" t="n">
        <v>145</v>
      </c>
      <c r="G186" s="118" t="n">
        <v>94041000</v>
      </c>
      <c r="H186" s="255" t="n">
        <v>0.18</v>
      </c>
      <c r="I186" s="2">
        <f>D187*H187</f>
        <v/>
      </c>
      <c r="K186" s="2" t="n">
        <v>150</v>
      </c>
      <c r="L186" s="4">
        <f>K187+J187+I187+F187+E187+D187</f>
        <v/>
      </c>
      <c r="M186" s="2">
        <f>D187*1%</f>
        <v/>
      </c>
      <c r="N186" s="12">
        <f>L187*8%</f>
        <v/>
      </c>
      <c r="O186" s="12">
        <f>L187*10%</f>
        <v/>
      </c>
      <c r="P186" s="12">
        <f>L187*5%</f>
        <v/>
      </c>
      <c r="Q186" s="12">
        <f>L187*2%</f>
        <v/>
      </c>
      <c r="R186" s="12">
        <f>AC187*0.5%</f>
        <v/>
      </c>
      <c r="S186" s="12">
        <f>L187*1%</f>
        <v/>
      </c>
      <c r="T186" s="60">
        <f>S187+Q187+P187+O187+N187+M187</f>
        <v/>
      </c>
      <c r="U186" s="2">
        <f>AC187*1%</f>
        <v/>
      </c>
      <c r="V186" s="44">
        <f>AC187*5%</f>
        <v/>
      </c>
      <c r="W186" s="2">
        <f>AC187*1%</f>
        <v/>
      </c>
      <c r="X186" s="2">
        <f>AC187*8%</f>
        <v/>
      </c>
      <c r="Y186" s="2">
        <f>U187+V187+W187+X187</f>
        <v/>
      </c>
      <c r="Z186" s="60">
        <f>Y187+T187+L187</f>
        <v/>
      </c>
      <c r="AA186" s="11">
        <f>Z187*20%</f>
        <v/>
      </c>
      <c r="AB186" s="12">
        <f>Z187+AA187</f>
        <v/>
      </c>
      <c r="AC186" s="2">
        <f>D187*2.1</f>
        <v/>
      </c>
      <c r="AD186" s="12">
        <f>AB187-AC187</f>
        <v/>
      </c>
      <c r="AE186" s="12">
        <f>AD187/AB187*100</f>
        <v/>
      </c>
      <c r="AF186" s="92" t="n">
        <v>1485</v>
      </c>
      <c r="AG186" s="62">
        <f>((AF187-L187)/L187)*100</f>
        <v/>
      </c>
      <c r="AH186" s="106">
        <f>AJ187-AF187</f>
        <v/>
      </c>
      <c r="AI186" s="65" t="n">
        <v>1790</v>
      </c>
      <c r="AJ186" s="65" t="n">
        <v>1495</v>
      </c>
      <c r="AK186" s="66">
        <f>(AJ187-L187)/L187*100</f>
        <v/>
      </c>
      <c r="AL186" s="66" t="n"/>
      <c r="AM186" s="14">
        <f>AH187/AJ187%</f>
        <v/>
      </c>
      <c r="AN186" s="67">
        <f>AK187-AG187</f>
        <v/>
      </c>
      <c r="AO186" s="68">
        <f>AJ187/L187</f>
        <v/>
      </c>
      <c r="AP186" s="69">
        <f>(AJ187-AB187)/100</f>
        <v/>
      </c>
      <c r="AQ186" s="70">
        <f>(AJ187-AC187)/100</f>
        <v/>
      </c>
      <c r="AR186" s="71">
        <f>AI187/94</f>
        <v/>
      </c>
      <c r="AS186" s="71">
        <f>AJ187/94</f>
        <v/>
      </c>
      <c r="AT186" s="72">
        <f>AI187/24</f>
        <v/>
      </c>
      <c r="AU186" s="72">
        <f>AJ187/24</f>
        <v/>
      </c>
      <c r="AV186" s="73">
        <f>AI187/125</f>
        <v/>
      </c>
      <c r="AW186" s="73">
        <f>AJ187/125</f>
        <v/>
      </c>
    </row>
    <row r="187" ht="15.75" customHeight="1" s="258">
      <c r="A187" s="2" t="n"/>
      <c r="B187" s="2" t="inlineStr">
        <is>
          <t>Misty Blue</t>
        </is>
      </c>
      <c r="C187" s="2" t="inlineStr">
        <is>
          <t>Me-C-HZ-MB-E-L</t>
        </is>
      </c>
      <c r="D187" s="118" t="n">
        <v>490</v>
      </c>
      <c r="F187" s="2" t="n">
        <v>145</v>
      </c>
      <c r="G187" s="118" t="n">
        <v>94041000</v>
      </c>
      <c r="H187" s="255" t="n">
        <v>0.18</v>
      </c>
      <c r="I187" s="2">
        <f>D188*H188</f>
        <v/>
      </c>
      <c r="K187" s="2" t="n">
        <v>150</v>
      </c>
      <c r="L187" s="4">
        <f>K188+J188+I188+F188+E188+D188</f>
        <v/>
      </c>
      <c r="M187" s="2">
        <f>D188*1%</f>
        <v/>
      </c>
      <c r="N187" s="12">
        <f>L188*8%</f>
        <v/>
      </c>
      <c r="O187" s="12">
        <f>L188*10%</f>
        <v/>
      </c>
      <c r="P187" s="12">
        <f>L188*5%</f>
        <v/>
      </c>
      <c r="Q187" s="12">
        <f>L188*2%</f>
        <v/>
      </c>
      <c r="R187" s="12">
        <f>AC188*0.5%</f>
        <v/>
      </c>
      <c r="S187" s="12">
        <f>L188*1%</f>
        <v/>
      </c>
      <c r="T187" s="60">
        <f>S188+Q188+P188+O188+N188+M188</f>
        <v/>
      </c>
      <c r="U187" s="2">
        <f>AC188*1%</f>
        <v/>
      </c>
      <c r="V187" s="44">
        <f>AC188*5%</f>
        <v/>
      </c>
      <c r="W187" s="2">
        <f>AC188*1%</f>
        <v/>
      </c>
      <c r="X187" s="2">
        <f>AC188*8%</f>
        <v/>
      </c>
      <c r="Y187" s="2">
        <f>U188+V188+W188+X188</f>
        <v/>
      </c>
      <c r="Z187" s="60">
        <f>Y188+T188+L188</f>
        <v/>
      </c>
      <c r="AA187" s="11">
        <f>Z188*20%</f>
        <v/>
      </c>
      <c r="AB187" s="12">
        <f>Z188+AA188</f>
        <v/>
      </c>
      <c r="AC187" s="2">
        <f>D188*2.1</f>
        <v/>
      </c>
      <c r="AD187" s="12">
        <f>AB188-AC188</f>
        <v/>
      </c>
      <c r="AE187" s="12">
        <f>AD188/AB188*100</f>
        <v/>
      </c>
      <c r="AF187" s="92" t="n">
        <v>1485</v>
      </c>
      <c r="AG187" s="62">
        <f>((AF188-L188)/L188)*100</f>
        <v/>
      </c>
      <c r="AH187" s="106">
        <f>AJ188-AF188</f>
        <v/>
      </c>
      <c r="AI187" s="65" t="n">
        <v>1790</v>
      </c>
      <c r="AJ187" s="65" t="n">
        <v>1495</v>
      </c>
      <c r="AK187" s="66">
        <f>(AJ188-L188)/L188*100</f>
        <v/>
      </c>
      <c r="AL187" s="66" t="n"/>
      <c r="AM187" s="14">
        <f>AH188/AJ188%</f>
        <v/>
      </c>
      <c r="AN187" s="67">
        <f>AK188-AG188</f>
        <v/>
      </c>
      <c r="AO187" s="68">
        <f>AJ188/L188</f>
        <v/>
      </c>
      <c r="AP187" s="69">
        <f>(AJ188-AB188)/100</f>
        <v/>
      </c>
      <c r="AQ187" s="70">
        <f>(AJ188-AC188)/100</f>
        <v/>
      </c>
      <c r="AR187" s="71">
        <f>AI188/94</f>
        <v/>
      </c>
      <c r="AS187" s="71">
        <f>AJ188/94</f>
        <v/>
      </c>
      <c r="AT187" s="72">
        <f>AI188/24</f>
        <v/>
      </c>
      <c r="AU187" s="72">
        <f>AJ188/24</f>
        <v/>
      </c>
      <c r="AV187" s="73">
        <f>AI188/125</f>
        <v/>
      </c>
      <c r="AW187" s="73">
        <f>AJ188/125</f>
        <v/>
      </c>
    </row>
    <row r="188" ht="15.75" customHeight="1" s="258">
      <c r="A188" s="2" t="n"/>
      <c r="B188" s="2" t="inlineStr">
        <is>
          <t>Rose</t>
        </is>
      </c>
      <c r="C188" s="2" t="inlineStr">
        <is>
          <t>Me-C-HZ-R-E-L</t>
        </is>
      </c>
      <c r="D188" s="118" t="n">
        <v>490</v>
      </c>
      <c r="F188" s="2" t="n">
        <v>145</v>
      </c>
      <c r="G188" s="118" t="n">
        <v>94041000</v>
      </c>
      <c r="H188" s="255" t="n">
        <v>0.18</v>
      </c>
      <c r="I188" s="2">
        <f>D189*H189</f>
        <v/>
      </c>
      <c r="K188" s="2" t="n">
        <v>150</v>
      </c>
      <c r="L188" s="4">
        <f>K189+J189+I189+F189+E189+D189</f>
        <v/>
      </c>
      <c r="M188" s="2">
        <f>D189*1%</f>
        <v/>
      </c>
      <c r="N188" s="12">
        <f>L189*8%</f>
        <v/>
      </c>
      <c r="O188" s="12">
        <f>L189*10%</f>
        <v/>
      </c>
      <c r="P188" s="12">
        <f>L189*5%</f>
        <v/>
      </c>
      <c r="Q188" s="12">
        <f>L189*2%</f>
        <v/>
      </c>
      <c r="R188" s="12">
        <f>AC189*0.5%</f>
        <v/>
      </c>
      <c r="S188" s="12">
        <f>L189*1%</f>
        <v/>
      </c>
      <c r="T188" s="60">
        <f>S189+Q189+P189+O189+N189+M189</f>
        <v/>
      </c>
      <c r="U188" s="2">
        <f>AC189*1%</f>
        <v/>
      </c>
      <c r="V188" s="44">
        <f>AC189*5%</f>
        <v/>
      </c>
      <c r="W188" s="2">
        <f>AC189*1%</f>
        <v/>
      </c>
      <c r="X188" s="2">
        <f>AC189*8%</f>
        <v/>
      </c>
      <c r="Y188" s="2">
        <f>U189+V189+W189+X189</f>
        <v/>
      </c>
      <c r="Z188" s="60">
        <f>Y189+T189+L189</f>
        <v/>
      </c>
      <c r="AA188" s="11">
        <f>Z189*20%</f>
        <v/>
      </c>
      <c r="AB188" s="12">
        <f>Z189+AA189</f>
        <v/>
      </c>
      <c r="AC188" s="2">
        <f>D189*2.1</f>
        <v/>
      </c>
      <c r="AD188" s="12">
        <f>AB189-AC189</f>
        <v/>
      </c>
      <c r="AE188" s="12">
        <f>AD189/AB189*100</f>
        <v/>
      </c>
      <c r="AF188" s="92" t="n">
        <v>1485</v>
      </c>
      <c r="AG188" s="62">
        <f>((AF189-L189)/L189)*100</f>
        <v/>
      </c>
      <c r="AH188" s="106">
        <f>AJ189-AF189</f>
        <v/>
      </c>
      <c r="AI188" s="65" t="n">
        <v>1790</v>
      </c>
      <c r="AJ188" s="65" t="n">
        <v>1495</v>
      </c>
      <c r="AK188" s="66">
        <f>(AJ189-L189)/L189*100</f>
        <v/>
      </c>
      <c r="AL188" s="66" t="n"/>
      <c r="AM188" s="14">
        <f>AH189/AJ189%</f>
        <v/>
      </c>
      <c r="AN188" s="67">
        <f>AK189-AG189</f>
        <v/>
      </c>
      <c r="AO188" s="68">
        <f>AJ189/L189</f>
        <v/>
      </c>
      <c r="AP188" s="69">
        <f>(AJ189-AB189)/100</f>
        <v/>
      </c>
      <c r="AQ188" s="70">
        <f>(AJ189-AC189)/100</f>
        <v/>
      </c>
      <c r="AR188" s="71">
        <f>AI189/94</f>
        <v/>
      </c>
      <c r="AS188" s="71">
        <f>AJ189/94</f>
        <v/>
      </c>
      <c r="AT188" s="72">
        <f>AI189/24</f>
        <v/>
      </c>
      <c r="AU188" s="72">
        <f>AJ189/24</f>
        <v/>
      </c>
      <c r="AV188" s="73">
        <f>AI189/125</f>
        <v/>
      </c>
      <c r="AW188" s="73">
        <f>AJ189/125</f>
        <v/>
      </c>
    </row>
    <row r="189" ht="15.75" customHeight="1" s="258">
      <c r="A189" s="2" t="inlineStr">
        <is>
          <t>Hi-Zafu Meditation Cushion - Filled with Buckwheat</t>
        </is>
      </c>
      <c r="B189" s="2" t="inlineStr">
        <is>
          <t>Royal Blue</t>
        </is>
      </c>
      <c r="C189" s="2" t="inlineStr">
        <is>
          <t>Me-C-HZ-RB</t>
        </is>
      </c>
      <c r="D189" s="118" t="n">
        <v>445</v>
      </c>
      <c r="F189" s="2" t="n">
        <v>145</v>
      </c>
      <c r="G189" s="118" t="n">
        <v>94041000</v>
      </c>
      <c r="H189" s="255" t="n">
        <v>0.18</v>
      </c>
      <c r="I189" s="2">
        <f>D190*H190</f>
        <v/>
      </c>
      <c r="K189" s="2" t="n">
        <v>150</v>
      </c>
      <c r="L189" s="4">
        <f>K190+J190+I190+F190+E190+D190</f>
        <v/>
      </c>
      <c r="M189" s="2">
        <f>D190*1%</f>
        <v/>
      </c>
      <c r="N189" s="12">
        <f>L190*8%</f>
        <v/>
      </c>
      <c r="O189" s="12">
        <f>L190*10%</f>
        <v/>
      </c>
      <c r="P189" s="12">
        <f>L190*5%</f>
        <v/>
      </c>
      <c r="Q189" s="12">
        <f>L190*2%</f>
        <v/>
      </c>
      <c r="R189" s="12">
        <f>AC190*0.5%</f>
        <v/>
      </c>
      <c r="S189" s="12">
        <f>L190*1%</f>
        <v/>
      </c>
      <c r="T189" s="60">
        <f>S190+Q190+P190+O190+N190+M190</f>
        <v/>
      </c>
      <c r="U189" s="2">
        <f>AC190*1%</f>
        <v/>
      </c>
      <c r="V189" s="44">
        <f>AC190*5%</f>
        <v/>
      </c>
      <c r="W189" s="2">
        <f>AC190*1%</f>
        <v/>
      </c>
      <c r="X189" s="2">
        <f>AC190*8%</f>
        <v/>
      </c>
      <c r="Y189" s="2">
        <f>U190+V190+W190+X190</f>
        <v/>
      </c>
      <c r="Z189" s="60">
        <f>Y190+T190+L190</f>
        <v/>
      </c>
      <c r="AA189" s="11">
        <f>Z190*20%</f>
        <v/>
      </c>
      <c r="AB189" s="12">
        <f>Z190+AA190</f>
        <v/>
      </c>
      <c r="AC189" s="2">
        <f>D190*2.1</f>
        <v/>
      </c>
      <c r="AD189" s="12">
        <f>AB190-AC190</f>
        <v/>
      </c>
      <c r="AE189" s="12">
        <f>AD190/AB190*100</f>
        <v/>
      </c>
      <c r="AF189" s="92" t="n">
        <v>1285</v>
      </c>
      <c r="AG189" s="62">
        <f>((AF190-L190)/L190)*100</f>
        <v/>
      </c>
      <c r="AH189" s="106">
        <f>AJ190-AF190</f>
        <v/>
      </c>
      <c r="AI189" s="65">
        <f>AB190</f>
        <v/>
      </c>
      <c r="AJ189" s="65" t="n">
        <v>1395</v>
      </c>
      <c r="AK189" s="66">
        <f>(AJ190-L190)/L190*100</f>
        <v/>
      </c>
      <c r="AL189" s="66" t="n"/>
      <c r="AM189" s="14">
        <f>AH190/AJ190%</f>
        <v/>
      </c>
      <c r="AN189" s="67">
        <f>AK190-AG190</f>
        <v/>
      </c>
      <c r="AO189" s="68">
        <f>AJ190/L190</f>
        <v/>
      </c>
      <c r="AP189" s="69">
        <f>(AJ190-AB190)/100</f>
        <v/>
      </c>
      <c r="AQ189" s="70">
        <f>(AJ190-AC190)/100</f>
        <v/>
      </c>
      <c r="AR189" s="71">
        <f>AI190/94</f>
        <v/>
      </c>
      <c r="AS189" s="71">
        <f>AJ190/94</f>
        <v/>
      </c>
      <c r="AT189" s="72">
        <f>AI190/24</f>
        <v/>
      </c>
      <c r="AU189" s="72">
        <f>AJ190/24</f>
        <v/>
      </c>
      <c r="AV189" s="73">
        <f>AI190/125</f>
        <v/>
      </c>
      <c r="AW189" s="73">
        <f>AJ190/125</f>
        <v/>
      </c>
    </row>
    <row r="190" ht="15" customHeight="1" s="258">
      <c r="A190" s="2" t="n"/>
      <c r="B190" s="2" t="inlineStr">
        <is>
          <t>Dark Grey</t>
        </is>
      </c>
      <c r="C190" s="2" t="inlineStr">
        <is>
          <t>Me-C-HZ-DG</t>
        </is>
      </c>
      <c r="D190" s="118" t="n">
        <v>445</v>
      </c>
      <c r="F190" s="2" t="n">
        <v>145</v>
      </c>
      <c r="G190" s="118" t="n">
        <v>94041000</v>
      </c>
      <c r="H190" s="255" t="n">
        <v>0.18</v>
      </c>
      <c r="I190" s="2">
        <f>D191*H191</f>
        <v/>
      </c>
      <c r="K190" s="2" t="n">
        <v>150</v>
      </c>
      <c r="L190" s="4">
        <f>K191+J191+I191+F191+E191+D191</f>
        <v/>
      </c>
      <c r="M190" s="2">
        <f>D191*1%</f>
        <v/>
      </c>
      <c r="N190" s="12">
        <f>L191*8%</f>
        <v/>
      </c>
      <c r="O190" s="12">
        <f>L191*10%</f>
        <v/>
      </c>
      <c r="P190" s="12">
        <f>L191*5%</f>
        <v/>
      </c>
      <c r="Q190" s="12">
        <f>L191*2%</f>
        <v/>
      </c>
      <c r="R190" s="12">
        <f>AC191*0.5%</f>
        <v/>
      </c>
      <c r="S190" s="12">
        <f>L191*1%</f>
        <v/>
      </c>
      <c r="T190" s="60">
        <f>S191+Q191+P191+O191+N191+M191</f>
        <v/>
      </c>
      <c r="U190" s="2">
        <f>AC191*1%</f>
        <v/>
      </c>
      <c r="V190" s="44">
        <f>AC191*5%</f>
        <v/>
      </c>
      <c r="W190" s="2">
        <f>AC191*1%</f>
        <v/>
      </c>
      <c r="X190" s="2">
        <f>AC191*8%</f>
        <v/>
      </c>
      <c r="Y190" s="2">
        <f>U191+V191+W191+X191</f>
        <v/>
      </c>
      <c r="Z190" s="60">
        <f>Y191+T191+L191</f>
        <v/>
      </c>
      <c r="AA190" s="11">
        <f>Z191*20%</f>
        <v/>
      </c>
      <c r="AB190" s="12">
        <f>Z191+AA191</f>
        <v/>
      </c>
      <c r="AC190" s="2">
        <f>D191*2.1</f>
        <v/>
      </c>
      <c r="AD190" s="12">
        <f>AB191-AC191</f>
        <v/>
      </c>
      <c r="AE190" s="12">
        <f>AD191/AB191*100</f>
        <v/>
      </c>
      <c r="AF190" s="92" t="n">
        <v>1285</v>
      </c>
      <c r="AG190" s="62">
        <f>((AF191-L191)/L191)*100</f>
        <v/>
      </c>
      <c r="AH190" s="106">
        <f>AJ191-AF191</f>
        <v/>
      </c>
      <c r="AI190" s="65">
        <f>AB191</f>
        <v/>
      </c>
      <c r="AJ190" s="65" t="n">
        <v>1395</v>
      </c>
      <c r="AK190" s="66">
        <f>(AJ191-L191)/L191*100</f>
        <v/>
      </c>
      <c r="AL190" s="66" t="n"/>
      <c r="AM190" s="14">
        <f>AH191/AJ191%</f>
        <v/>
      </c>
      <c r="AN190" s="67">
        <f>AK191-AG191</f>
        <v/>
      </c>
      <c r="AO190" s="68">
        <f>AJ191/L191</f>
        <v/>
      </c>
      <c r="AP190" s="69">
        <f>(AJ191-AB191)/100</f>
        <v/>
      </c>
      <c r="AQ190" s="70">
        <f>(AJ191-AC191)/100</f>
        <v/>
      </c>
      <c r="AR190" s="71">
        <f>AI191/94</f>
        <v/>
      </c>
      <c r="AS190" s="71">
        <f>AJ191/94</f>
        <v/>
      </c>
      <c r="AT190" s="72">
        <f>AI191/24</f>
        <v/>
      </c>
      <c r="AU190" s="72">
        <f>AJ191/24</f>
        <v/>
      </c>
      <c r="AV190" s="73">
        <f>AI191/125</f>
        <v/>
      </c>
      <c r="AW190" s="73">
        <f>AJ191/125</f>
        <v/>
      </c>
    </row>
    <row r="191" ht="15.75" customHeight="1" s="258">
      <c r="A191" s="2" t="n"/>
      <c r="B191" s="2" t="inlineStr">
        <is>
          <t>Grey</t>
        </is>
      </c>
      <c r="C191" s="2" t="inlineStr">
        <is>
          <t>Me-C-HZ-GY</t>
        </is>
      </c>
      <c r="D191" s="118" t="n">
        <v>445</v>
      </c>
      <c r="F191" s="2" t="n">
        <v>145</v>
      </c>
      <c r="G191" s="118" t="n">
        <v>94041000</v>
      </c>
      <c r="H191" s="255" t="n">
        <v>0.18</v>
      </c>
      <c r="I191" s="2">
        <f>D192*H192</f>
        <v/>
      </c>
      <c r="K191" s="2" t="n">
        <v>150</v>
      </c>
      <c r="L191" s="4">
        <f>K192+J192+I192+F192+E192+D192</f>
        <v/>
      </c>
      <c r="M191" s="2">
        <f>D192*1%</f>
        <v/>
      </c>
      <c r="N191" s="12">
        <f>L192*8%</f>
        <v/>
      </c>
      <c r="O191" s="12">
        <f>L192*10%</f>
        <v/>
      </c>
      <c r="P191" s="12">
        <f>L192*5%</f>
        <v/>
      </c>
      <c r="Q191" s="12">
        <f>L192*2%</f>
        <v/>
      </c>
      <c r="R191" s="12">
        <f>AC192*0.5%</f>
        <v/>
      </c>
      <c r="S191" s="12">
        <f>L192*1%</f>
        <v/>
      </c>
      <c r="T191" s="60">
        <f>S192+Q192+P192+O192+N192+M192</f>
        <v/>
      </c>
      <c r="U191" s="2">
        <f>AC192*1%</f>
        <v/>
      </c>
      <c r="V191" s="44">
        <f>AC192*5%</f>
        <v/>
      </c>
      <c r="W191" s="2">
        <f>AC192*1%</f>
        <v/>
      </c>
      <c r="X191" s="2">
        <f>AC192*8%</f>
        <v/>
      </c>
      <c r="Y191" s="2">
        <f>U192+V192+W192+X192</f>
        <v/>
      </c>
      <c r="Z191" s="60">
        <f>Y192+T192+L192</f>
        <v/>
      </c>
      <c r="AA191" s="11">
        <f>Z192*20%</f>
        <v/>
      </c>
      <c r="AB191" s="12">
        <f>Z192+AA192</f>
        <v/>
      </c>
      <c r="AC191" s="2">
        <f>D192*2.1</f>
        <v/>
      </c>
      <c r="AD191" s="12">
        <f>AB192-AC192</f>
        <v/>
      </c>
      <c r="AE191" s="12">
        <f>AD192/AB192*100</f>
        <v/>
      </c>
      <c r="AF191" s="92" t="n">
        <v>1285</v>
      </c>
      <c r="AG191" s="62">
        <f>((AF192-L192)/L192)*100</f>
        <v/>
      </c>
      <c r="AH191" s="106">
        <f>AJ192-AF192</f>
        <v/>
      </c>
      <c r="AI191" s="65">
        <f>AB192</f>
        <v/>
      </c>
      <c r="AJ191" s="65" t="n">
        <v>1395</v>
      </c>
      <c r="AK191" s="66">
        <f>(AJ192-L192)/L192*100</f>
        <v/>
      </c>
      <c r="AL191" s="66" t="n"/>
      <c r="AM191" s="14">
        <f>AH192/AJ192%</f>
        <v/>
      </c>
      <c r="AN191" s="67">
        <f>AK192-AG192</f>
        <v/>
      </c>
      <c r="AO191" s="68">
        <f>AJ192/L192</f>
        <v/>
      </c>
      <c r="AP191" s="69">
        <f>(AJ192-AB192)/100</f>
        <v/>
      </c>
      <c r="AQ191" s="70">
        <f>(AJ192-AC192)/100</f>
        <v/>
      </c>
      <c r="AR191" s="71">
        <f>AI192/94</f>
        <v/>
      </c>
      <c r="AS191" s="71">
        <f>AJ192/94</f>
        <v/>
      </c>
      <c r="AT191" s="72">
        <f>AI192/24</f>
        <v/>
      </c>
      <c r="AU191" s="72">
        <f>AJ192/24</f>
        <v/>
      </c>
      <c r="AV191" s="73">
        <f>AI192/125</f>
        <v/>
      </c>
      <c r="AW191" s="73">
        <f>AJ192/125</f>
        <v/>
      </c>
    </row>
    <row r="192" ht="15.75" customHeight="1" s="258">
      <c r="A192" s="2" t="n"/>
      <c r="B192" s="2" t="inlineStr">
        <is>
          <t>Ivory</t>
        </is>
      </c>
      <c r="C192" s="2" t="inlineStr">
        <is>
          <t>Me-C-HZ-I</t>
        </is>
      </c>
      <c r="D192" s="118" t="n">
        <v>445</v>
      </c>
      <c r="F192" s="2" t="n">
        <v>145</v>
      </c>
      <c r="G192" s="118" t="n">
        <v>94041000</v>
      </c>
      <c r="H192" s="255" t="n">
        <v>0.18</v>
      </c>
      <c r="I192" s="2">
        <f>D193*H193</f>
        <v/>
      </c>
      <c r="K192" s="2" t="n">
        <v>150</v>
      </c>
      <c r="L192" s="4">
        <f>K193+J193+I193+F193+E193+D193</f>
        <v/>
      </c>
      <c r="M192" s="2">
        <f>D193*1%</f>
        <v/>
      </c>
      <c r="N192" s="12">
        <f>L193*8%</f>
        <v/>
      </c>
      <c r="O192" s="12">
        <f>L193*10%</f>
        <v/>
      </c>
      <c r="P192" s="12">
        <f>L193*5%</f>
        <v/>
      </c>
      <c r="Q192" s="12">
        <f>L193*2%</f>
        <v/>
      </c>
      <c r="R192" s="12">
        <f>AC193*0.5%</f>
        <v/>
      </c>
      <c r="S192" s="12">
        <f>L193*1%</f>
        <v/>
      </c>
      <c r="T192" s="60">
        <f>S193+Q193+P193+O193+N193+M193</f>
        <v/>
      </c>
      <c r="U192" s="2">
        <f>AC193*1%</f>
        <v/>
      </c>
      <c r="V192" s="44">
        <f>AC193*5%</f>
        <v/>
      </c>
      <c r="W192" s="2">
        <f>AC193*1%</f>
        <v/>
      </c>
      <c r="X192" s="2">
        <f>AC193*8%</f>
        <v/>
      </c>
      <c r="Y192" s="2">
        <f>U193+V193+W193+X193</f>
        <v/>
      </c>
      <c r="Z192" s="60">
        <f>Y193+T193+L193</f>
        <v/>
      </c>
      <c r="AA192" s="11">
        <f>Z193*20%</f>
        <v/>
      </c>
      <c r="AB192" s="12">
        <f>Z193+AA193</f>
        <v/>
      </c>
      <c r="AC192" s="2">
        <f>D193*2.1</f>
        <v/>
      </c>
      <c r="AD192" s="12">
        <f>AB193-AC193</f>
        <v/>
      </c>
      <c r="AE192" s="12">
        <f>AD193/AB193*100</f>
        <v/>
      </c>
      <c r="AF192" s="92" t="n">
        <v>1285</v>
      </c>
      <c r="AG192" s="62">
        <f>((AF193-L193)/L193)*100</f>
        <v/>
      </c>
      <c r="AH192" s="106">
        <f>AJ193-AF193</f>
        <v/>
      </c>
      <c r="AI192" s="65">
        <f>AB193</f>
        <v/>
      </c>
      <c r="AJ192" s="65" t="n">
        <v>1395</v>
      </c>
      <c r="AK192" s="66">
        <f>(AJ193-L193)/L193*100</f>
        <v/>
      </c>
      <c r="AL192" s="66" t="n"/>
      <c r="AM192" s="14">
        <f>AH193/AJ193%</f>
        <v/>
      </c>
      <c r="AN192" s="67">
        <f>AK193-AG193</f>
        <v/>
      </c>
      <c r="AO192" s="68">
        <f>AJ193/L193</f>
        <v/>
      </c>
      <c r="AP192" s="69">
        <f>(AJ193-AB193)/100</f>
        <v/>
      </c>
      <c r="AQ192" s="70">
        <f>(AJ193-AC193)/100</f>
        <v/>
      </c>
      <c r="AR192" s="71">
        <f>AI193/94</f>
        <v/>
      </c>
      <c r="AS192" s="71">
        <f>AJ193/94</f>
        <v/>
      </c>
      <c r="AT192" s="72">
        <f>AI193/24</f>
        <v/>
      </c>
      <c r="AU192" s="72">
        <f>AJ193/24</f>
        <v/>
      </c>
      <c r="AV192" s="73">
        <f>AI193/125</f>
        <v/>
      </c>
      <c r="AW192" s="73">
        <f>AJ193/125</f>
        <v/>
      </c>
    </row>
    <row r="193" ht="15.75" customHeight="1" s="258">
      <c r="A193" s="2" t="n"/>
      <c r="B193" s="2" t="inlineStr">
        <is>
          <t>Light Grey</t>
        </is>
      </c>
      <c r="C193" s="2" t="inlineStr">
        <is>
          <t>Me-C-HZ-LG</t>
        </is>
      </c>
      <c r="D193" s="118" t="n">
        <v>445</v>
      </c>
      <c r="F193" s="2" t="n">
        <v>145</v>
      </c>
      <c r="G193" s="118" t="n">
        <v>94041000</v>
      </c>
      <c r="H193" s="255" t="n">
        <v>0.18</v>
      </c>
      <c r="I193" s="2">
        <f>D194*H194</f>
        <v/>
      </c>
      <c r="K193" s="2" t="n">
        <v>150</v>
      </c>
      <c r="L193" s="4">
        <f>K194+J194+I194+F194+E194+D194</f>
        <v/>
      </c>
      <c r="M193" s="2">
        <f>D194*1%</f>
        <v/>
      </c>
      <c r="N193" s="12">
        <f>L194*8%</f>
        <v/>
      </c>
      <c r="O193" s="12">
        <f>L194*10%</f>
        <v/>
      </c>
      <c r="P193" s="12">
        <f>L194*5%</f>
        <v/>
      </c>
      <c r="Q193" s="12">
        <f>L194*2%</f>
        <v/>
      </c>
      <c r="R193" s="12">
        <f>AC194*0.5%</f>
        <v/>
      </c>
      <c r="S193" s="12">
        <f>L194*1%</f>
        <v/>
      </c>
      <c r="T193" s="60">
        <f>S194+Q194+P194+O194+N194+M194</f>
        <v/>
      </c>
      <c r="U193" s="2">
        <f>AC194*1%</f>
        <v/>
      </c>
      <c r="V193" s="44">
        <f>AC194*5%</f>
        <v/>
      </c>
      <c r="W193" s="2">
        <f>AC194*1%</f>
        <v/>
      </c>
      <c r="X193" s="2">
        <f>AC194*8%</f>
        <v/>
      </c>
      <c r="Y193" s="2">
        <f>U194+V194+W194+X194</f>
        <v/>
      </c>
      <c r="Z193" s="60">
        <f>Y194+T194+L194</f>
        <v/>
      </c>
      <c r="AA193" s="11">
        <f>Z194*20%</f>
        <v/>
      </c>
      <c r="AB193" s="12">
        <f>Z194+AA194</f>
        <v/>
      </c>
      <c r="AC193" s="2">
        <f>D194*2.1</f>
        <v/>
      </c>
      <c r="AD193" s="12">
        <f>AB194-AC194</f>
        <v/>
      </c>
      <c r="AE193" s="12">
        <f>AD194/AB194*100</f>
        <v/>
      </c>
      <c r="AF193" s="92" t="n">
        <v>1285</v>
      </c>
      <c r="AG193" s="62">
        <f>((AF194-L194)/L194)*100</f>
        <v/>
      </c>
      <c r="AH193" s="106">
        <f>AJ194-AF194</f>
        <v/>
      </c>
      <c r="AI193" s="65">
        <f>AB194</f>
        <v/>
      </c>
      <c r="AJ193" s="65" t="n">
        <v>1395</v>
      </c>
      <c r="AK193" s="66">
        <f>(AJ194-L194)/L194*100</f>
        <v/>
      </c>
      <c r="AL193" s="66" t="n"/>
      <c r="AM193" s="14">
        <f>AH194/AJ194%</f>
        <v/>
      </c>
      <c r="AN193" s="67">
        <f>AK194-AG194</f>
        <v/>
      </c>
      <c r="AO193" s="68">
        <f>AJ194/L194</f>
        <v/>
      </c>
      <c r="AP193" s="69">
        <f>(AJ194-AB194)/100</f>
        <v/>
      </c>
      <c r="AQ193" s="70">
        <f>(AJ194-AC194)/100</f>
        <v/>
      </c>
      <c r="AR193" s="71">
        <f>AI194/94</f>
        <v/>
      </c>
      <c r="AS193" s="71">
        <f>AJ194/94</f>
        <v/>
      </c>
      <c r="AT193" s="72">
        <f>AI194/24</f>
        <v/>
      </c>
      <c r="AU193" s="72">
        <f>AJ194/24</f>
        <v/>
      </c>
      <c r="AV193" s="73">
        <f>AI194/125</f>
        <v/>
      </c>
      <c r="AW193" s="73">
        <f>AJ194/125</f>
        <v/>
      </c>
    </row>
    <row r="194" ht="15.75" customHeight="1" s="258">
      <c r="A194" s="2" t="n"/>
      <c r="B194" s="2" t="inlineStr">
        <is>
          <t>Lavender</t>
        </is>
      </c>
      <c r="C194" s="2" t="inlineStr">
        <is>
          <t>Me-C-HZ-LR</t>
        </is>
      </c>
      <c r="D194" s="118" t="n">
        <v>445</v>
      </c>
      <c r="F194" s="2" t="n">
        <v>145</v>
      </c>
      <c r="G194" s="118" t="n">
        <v>94041000</v>
      </c>
      <c r="H194" s="255" t="n">
        <v>0.18</v>
      </c>
      <c r="I194" s="2">
        <f>D195*H195</f>
        <v/>
      </c>
      <c r="K194" s="2" t="n">
        <v>150</v>
      </c>
      <c r="L194" s="4">
        <f>K195+J195+I195+F195+E195+D195</f>
        <v/>
      </c>
      <c r="M194" s="2">
        <f>D195*1%</f>
        <v/>
      </c>
      <c r="N194" s="12">
        <f>L195*8%</f>
        <v/>
      </c>
      <c r="O194" s="12">
        <f>L195*10%</f>
        <v/>
      </c>
      <c r="P194" s="12">
        <f>L195*5%</f>
        <v/>
      </c>
      <c r="Q194" s="12">
        <f>L195*2%</f>
        <v/>
      </c>
      <c r="R194" s="12">
        <f>AC195*0.5%</f>
        <v/>
      </c>
      <c r="S194" s="12">
        <f>L195*1%</f>
        <v/>
      </c>
      <c r="T194" s="60">
        <f>S195+Q195+P195+O195+N195+M195</f>
        <v/>
      </c>
      <c r="U194" s="2">
        <f>AC195*1%</f>
        <v/>
      </c>
      <c r="V194" s="44">
        <f>AC195*5%</f>
        <v/>
      </c>
      <c r="W194" s="2">
        <f>AC195*1%</f>
        <v/>
      </c>
      <c r="X194" s="2">
        <f>AC195*8%</f>
        <v/>
      </c>
      <c r="Y194" s="2">
        <f>U195+V195+W195+X195</f>
        <v/>
      </c>
      <c r="Z194" s="60">
        <f>Y195+T195+L195</f>
        <v/>
      </c>
      <c r="AA194" s="11">
        <f>Z195*20%</f>
        <v/>
      </c>
      <c r="AB194" s="12">
        <f>Z195+AA195</f>
        <v/>
      </c>
      <c r="AC194" s="2">
        <f>D195*2.1</f>
        <v/>
      </c>
      <c r="AD194" s="12">
        <f>AB195-AC195</f>
        <v/>
      </c>
      <c r="AE194" s="12">
        <f>AD195/AB195*100</f>
        <v/>
      </c>
      <c r="AF194" s="92" t="n">
        <v>1285</v>
      </c>
      <c r="AG194" s="62">
        <f>((AF195-L195)/L195)*100</f>
        <v/>
      </c>
      <c r="AH194" s="106">
        <f>AJ195-AF195</f>
        <v/>
      </c>
      <c r="AI194" s="65">
        <f>AB195</f>
        <v/>
      </c>
      <c r="AJ194" s="65" t="n">
        <v>1395</v>
      </c>
      <c r="AK194" s="66">
        <f>(AJ195-L195)/L195*100</f>
        <v/>
      </c>
      <c r="AL194" s="66" t="n"/>
      <c r="AM194" s="14">
        <f>AH195/AJ195%</f>
        <v/>
      </c>
      <c r="AN194" s="67">
        <f>AK195-AG195</f>
        <v/>
      </c>
      <c r="AO194" s="68">
        <f>AJ195/L195</f>
        <v/>
      </c>
      <c r="AP194" s="69">
        <f>(AJ195-AB195)/100</f>
        <v/>
      </c>
      <c r="AQ194" s="70">
        <f>(AJ195-AC195)/100</f>
        <v/>
      </c>
      <c r="AR194" s="71">
        <f>AI195/94</f>
        <v/>
      </c>
      <c r="AS194" s="71">
        <f>AJ195/94</f>
        <v/>
      </c>
      <c r="AT194" s="72">
        <f>AI195/24</f>
        <v/>
      </c>
      <c r="AU194" s="72">
        <f>AJ195/24</f>
        <v/>
      </c>
      <c r="AV194" s="73">
        <f>AI195/125</f>
        <v/>
      </c>
      <c r="AW194" s="73">
        <f>AJ195/125</f>
        <v/>
      </c>
    </row>
    <row r="195" ht="15.75" customHeight="1" s="258">
      <c r="A195" s="2" t="n"/>
      <c r="B195" s="2" t="inlineStr">
        <is>
          <t>Maroon</t>
        </is>
      </c>
      <c r="C195" s="2" t="inlineStr">
        <is>
          <t>Me-C-HZ-M</t>
        </is>
      </c>
      <c r="D195" s="118" t="n">
        <v>445</v>
      </c>
      <c r="F195" s="2" t="n">
        <v>145</v>
      </c>
      <c r="G195" s="118" t="n">
        <v>94041000</v>
      </c>
      <c r="H195" s="255" t="n">
        <v>0.18</v>
      </c>
      <c r="I195" s="2">
        <f>D196*H196</f>
        <v/>
      </c>
      <c r="K195" s="2" t="n">
        <v>150</v>
      </c>
      <c r="L195" s="4">
        <f>K196+J196+I196+F196+E196+D196</f>
        <v/>
      </c>
      <c r="M195" s="2">
        <f>D196*1%</f>
        <v/>
      </c>
      <c r="N195" s="12">
        <f>L196*8%</f>
        <v/>
      </c>
      <c r="O195" s="12">
        <f>L196*10%</f>
        <v/>
      </c>
      <c r="P195" s="12">
        <f>L196*5%</f>
        <v/>
      </c>
      <c r="Q195" s="12">
        <f>L196*2%</f>
        <v/>
      </c>
      <c r="R195" s="12">
        <f>AC196*0.5%</f>
        <v/>
      </c>
      <c r="S195" s="12">
        <f>L196*1%</f>
        <v/>
      </c>
      <c r="T195" s="60">
        <f>S196+Q196+P196+O196+N196+M196</f>
        <v/>
      </c>
      <c r="U195" s="2">
        <f>AC196*1%</f>
        <v/>
      </c>
      <c r="V195" s="44">
        <f>AC196*5%</f>
        <v/>
      </c>
      <c r="W195" s="2">
        <f>AC196*1%</f>
        <v/>
      </c>
      <c r="X195" s="2">
        <f>AC196*8%</f>
        <v/>
      </c>
      <c r="Y195" s="2">
        <f>U196+V196+W196+X196</f>
        <v/>
      </c>
      <c r="Z195" s="60">
        <f>Y196+T196+L196</f>
        <v/>
      </c>
      <c r="AA195" s="11">
        <f>Z196*20%</f>
        <v/>
      </c>
      <c r="AB195" s="12">
        <f>Z196+AA196</f>
        <v/>
      </c>
      <c r="AC195" s="2">
        <f>D196*2.1</f>
        <v/>
      </c>
      <c r="AD195" s="12">
        <f>AB196-AC196</f>
        <v/>
      </c>
      <c r="AE195" s="12">
        <f>AD196/AB196*100</f>
        <v/>
      </c>
      <c r="AF195" s="92" t="n">
        <v>1285</v>
      </c>
      <c r="AG195" s="62">
        <f>((AF196-L196)/L196)*100</f>
        <v/>
      </c>
      <c r="AH195" s="106">
        <f>AJ196-AF196</f>
        <v/>
      </c>
      <c r="AI195" s="65">
        <f>AB196</f>
        <v/>
      </c>
      <c r="AJ195" s="65" t="n">
        <v>1395</v>
      </c>
      <c r="AK195" s="66">
        <f>(AJ196-L196)/L196*100</f>
        <v/>
      </c>
      <c r="AL195" s="66" t="n"/>
      <c r="AM195" s="14">
        <f>AH196/AJ196%</f>
        <v/>
      </c>
      <c r="AN195" s="67">
        <f>AK196-AG196</f>
        <v/>
      </c>
      <c r="AO195" s="68">
        <f>AJ196/L196</f>
        <v/>
      </c>
      <c r="AP195" s="69">
        <f>(AJ196-AB196)/100</f>
        <v/>
      </c>
      <c r="AQ195" s="70">
        <f>(AJ196-AC196)/100</f>
        <v/>
      </c>
      <c r="AR195" s="71">
        <f>AI196/94</f>
        <v/>
      </c>
      <c r="AS195" s="71">
        <f>AJ196/94</f>
        <v/>
      </c>
      <c r="AT195" s="72">
        <f>AI196/24</f>
        <v/>
      </c>
      <c r="AU195" s="72">
        <f>AJ196/24</f>
        <v/>
      </c>
      <c r="AV195" s="73">
        <f>AI196/125</f>
        <v/>
      </c>
      <c r="AW195" s="73">
        <f>AJ196/125</f>
        <v/>
      </c>
    </row>
    <row r="196" ht="15.75" customHeight="1" s="258">
      <c r="A196" s="2" t="n"/>
      <c r="B196" s="2" t="inlineStr">
        <is>
          <t>Misty Blue</t>
        </is>
      </c>
      <c r="C196" s="2" t="inlineStr">
        <is>
          <t>Me-C-HZ-MB</t>
        </is>
      </c>
      <c r="D196" s="118" t="n">
        <v>445</v>
      </c>
      <c r="F196" s="2" t="n">
        <v>145</v>
      </c>
      <c r="G196" s="118" t="n">
        <v>94041000</v>
      </c>
      <c r="H196" s="255" t="n">
        <v>0.18</v>
      </c>
      <c r="I196" s="2">
        <f>D197*H197</f>
        <v/>
      </c>
      <c r="K196" s="2" t="n">
        <v>150</v>
      </c>
      <c r="L196" s="4">
        <f>K197+J197+I197+F197+E197+D197</f>
        <v/>
      </c>
      <c r="M196" s="2">
        <f>D197*1%</f>
        <v/>
      </c>
      <c r="N196" s="12">
        <f>L197*8%</f>
        <v/>
      </c>
      <c r="O196" s="12">
        <f>L197*10%</f>
        <v/>
      </c>
      <c r="P196" s="12">
        <f>L197*5%</f>
        <v/>
      </c>
      <c r="Q196" s="12">
        <f>L197*2%</f>
        <v/>
      </c>
      <c r="R196" s="12">
        <f>AC197*0.5%</f>
        <v/>
      </c>
      <c r="S196" s="12">
        <f>L197*1%</f>
        <v/>
      </c>
      <c r="T196" s="60">
        <f>S197+Q197+P197+O197+N197+M197</f>
        <v/>
      </c>
      <c r="U196" s="2">
        <f>AC197*1%</f>
        <v/>
      </c>
      <c r="V196" s="44">
        <f>AC197*5%</f>
        <v/>
      </c>
      <c r="W196" s="2">
        <f>AC197*1%</f>
        <v/>
      </c>
      <c r="X196" s="2">
        <f>AC197*8%</f>
        <v/>
      </c>
      <c r="Y196" s="2">
        <f>U197+V197+W197+X197</f>
        <v/>
      </c>
      <c r="Z196" s="60">
        <f>Y197+T197+L197</f>
        <v/>
      </c>
      <c r="AA196" s="11">
        <f>Z197*20%</f>
        <v/>
      </c>
      <c r="AB196" s="12">
        <f>Z197+AA197</f>
        <v/>
      </c>
      <c r="AC196" s="2">
        <f>D197*2.1</f>
        <v/>
      </c>
      <c r="AD196" s="12">
        <f>AB197-AC197</f>
        <v/>
      </c>
      <c r="AE196" s="12">
        <f>AD197/AB197*100</f>
        <v/>
      </c>
      <c r="AF196" s="92" t="n">
        <v>1285</v>
      </c>
      <c r="AG196" s="62">
        <f>((AF197-L197)/L197)*100</f>
        <v/>
      </c>
      <c r="AH196" s="106">
        <f>AJ197-AF197</f>
        <v/>
      </c>
      <c r="AI196" s="65">
        <f>AB197</f>
        <v/>
      </c>
      <c r="AJ196" s="65" t="n">
        <v>1395</v>
      </c>
      <c r="AK196" s="66">
        <f>(AJ197-L197)/L197*100</f>
        <v/>
      </c>
      <c r="AL196" s="66" t="n"/>
      <c r="AM196" s="14">
        <f>AH197/AJ197%</f>
        <v/>
      </c>
      <c r="AN196" s="67">
        <f>AK197-AG197</f>
        <v/>
      </c>
      <c r="AO196" s="68">
        <f>AJ197/L197</f>
        <v/>
      </c>
      <c r="AP196" s="69">
        <f>(AJ197-AB197)/100</f>
        <v/>
      </c>
      <c r="AQ196" s="70">
        <f>(AJ197-AC197)/100</f>
        <v/>
      </c>
      <c r="AR196" s="71">
        <f>AI197/94</f>
        <v/>
      </c>
      <c r="AS196" s="71">
        <f>AJ197/94</f>
        <v/>
      </c>
      <c r="AT196" s="72">
        <f>AI197/24</f>
        <v/>
      </c>
      <c r="AU196" s="72">
        <f>AJ197/24</f>
        <v/>
      </c>
      <c r="AV196" s="73">
        <f>AI197/125</f>
        <v/>
      </c>
      <c r="AW196" s="73">
        <f>AJ197/125</f>
        <v/>
      </c>
    </row>
    <row r="197" ht="15.75" customHeight="1" s="258">
      <c r="A197" s="2" t="n"/>
      <c r="B197" s="2" t="inlineStr">
        <is>
          <t>Navy Blue</t>
        </is>
      </c>
      <c r="C197" s="2" t="inlineStr">
        <is>
          <t>Me-C-HZ-NB</t>
        </is>
      </c>
      <c r="D197" s="118" t="n">
        <v>445</v>
      </c>
      <c r="F197" s="2" t="n">
        <v>145</v>
      </c>
      <c r="G197" s="118" t="n">
        <v>94041000</v>
      </c>
      <c r="H197" s="255" t="n">
        <v>0.18</v>
      </c>
      <c r="I197" s="2">
        <f>D198*H198</f>
        <v/>
      </c>
      <c r="K197" s="2" t="n">
        <v>150</v>
      </c>
      <c r="L197" s="4">
        <f>K198+J198+I198+F198+E198+D198</f>
        <v/>
      </c>
      <c r="M197" s="2">
        <f>D198*1%</f>
        <v/>
      </c>
      <c r="N197" s="12">
        <f>L198*8%</f>
        <v/>
      </c>
      <c r="O197" s="12">
        <f>L198*10%</f>
        <v/>
      </c>
      <c r="P197" s="12">
        <f>L198*5%</f>
        <v/>
      </c>
      <c r="Q197" s="12">
        <f>L198*2%</f>
        <v/>
      </c>
      <c r="R197" s="12">
        <f>AC198*0.5%</f>
        <v/>
      </c>
      <c r="S197" s="12">
        <f>L198*1%</f>
        <v/>
      </c>
      <c r="T197" s="60">
        <f>S198+Q198+P198+O198+N198+M198</f>
        <v/>
      </c>
      <c r="U197" s="2">
        <f>AC198*1%</f>
        <v/>
      </c>
      <c r="V197" s="44">
        <f>AC198*5%</f>
        <v/>
      </c>
      <c r="W197" s="2">
        <f>AC198*1%</f>
        <v/>
      </c>
      <c r="X197" s="2">
        <f>AC198*8%</f>
        <v/>
      </c>
      <c r="Y197" s="2">
        <f>U198+V198+W198+X198</f>
        <v/>
      </c>
      <c r="Z197" s="60">
        <f>Y198+T198+L198</f>
        <v/>
      </c>
      <c r="AA197" s="11">
        <f>Z198*20%</f>
        <v/>
      </c>
      <c r="AB197" s="12">
        <f>Z198+AA198</f>
        <v/>
      </c>
      <c r="AC197" s="2">
        <f>D198*2.1</f>
        <v/>
      </c>
      <c r="AD197" s="12">
        <f>AB198-AC198</f>
        <v/>
      </c>
      <c r="AE197" s="12">
        <f>AD198/AB198*100</f>
        <v/>
      </c>
      <c r="AF197" s="92" t="n">
        <v>1285</v>
      </c>
      <c r="AG197" s="62">
        <f>((AF198-L198)/L198)*100</f>
        <v/>
      </c>
      <c r="AH197" s="106">
        <f>AJ198-AF198</f>
        <v/>
      </c>
      <c r="AI197" s="65">
        <f>AB198</f>
        <v/>
      </c>
      <c r="AJ197" s="65" t="n">
        <v>1395</v>
      </c>
      <c r="AK197" s="66">
        <f>(AJ198-L198)/L198*100</f>
        <v/>
      </c>
      <c r="AL197" s="66" t="n"/>
      <c r="AM197" s="14">
        <f>AH198/AJ198%</f>
        <v/>
      </c>
      <c r="AN197" s="67">
        <f>AK198-AG198</f>
        <v/>
      </c>
      <c r="AO197" s="68">
        <f>AJ198/L198</f>
        <v/>
      </c>
      <c r="AP197" s="69">
        <f>(AJ198-AB198)/100</f>
        <v/>
      </c>
      <c r="AQ197" s="70">
        <f>(AJ198-AC198)/100</f>
        <v/>
      </c>
      <c r="AR197" s="71">
        <f>AI198/94</f>
        <v/>
      </c>
      <c r="AS197" s="71">
        <f>AJ198/94</f>
        <v/>
      </c>
      <c r="AT197" s="72">
        <f>AI198/24</f>
        <v/>
      </c>
      <c r="AU197" s="72">
        <f>AJ198/24</f>
        <v/>
      </c>
      <c r="AV197" s="73">
        <f>AI198/125</f>
        <v/>
      </c>
      <c r="AW197" s="73">
        <f>AJ198/125</f>
        <v/>
      </c>
    </row>
    <row r="198" ht="15.75" customHeight="1" s="258">
      <c r="A198" s="2" t="n"/>
      <c r="B198" s="2" t="inlineStr">
        <is>
          <t>Rose</t>
        </is>
      </c>
      <c r="C198" s="2" t="inlineStr">
        <is>
          <t>Me-C-HZ-R</t>
        </is>
      </c>
      <c r="D198" s="118" t="n">
        <v>445</v>
      </c>
      <c r="F198" s="2" t="n">
        <v>145</v>
      </c>
      <c r="G198" s="118" t="n">
        <v>94041000</v>
      </c>
      <c r="H198" s="255" t="n">
        <v>0.18</v>
      </c>
      <c r="I198" s="2">
        <f>D199*H199</f>
        <v/>
      </c>
      <c r="K198" s="2" t="n">
        <v>150</v>
      </c>
      <c r="L198" s="4">
        <f>K199+J199+I199+F199+E199+D199</f>
        <v/>
      </c>
      <c r="M198" s="2">
        <f>D199*1%</f>
        <v/>
      </c>
      <c r="N198" s="12">
        <f>L199*8%</f>
        <v/>
      </c>
      <c r="O198" s="12">
        <f>L199*10%</f>
        <v/>
      </c>
      <c r="P198" s="12">
        <f>L199*5%</f>
        <v/>
      </c>
      <c r="Q198" s="12">
        <f>L199*2%</f>
        <v/>
      </c>
      <c r="R198" s="12">
        <f>AC199*0.5%</f>
        <v/>
      </c>
      <c r="S198" s="12">
        <f>L199*1%</f>
        <v/>
      </c>
      <c r="T198" s="60">
        <f>S199+Q199+P199+O199+N199+M199</f>
        <v/>
      </c>
      <c r="U198" s="2">
        <f>AC199*1%</f>
        <v/>
      </c>
      <c r="V198" s="44">
        <f>AC199*5%</f>
        <v/>
      </c>
      <c r="W198" s="2">
        <f>AC199*1%</f>
        <v/>
      </c>
      <c r="X198" s="2">
        <f>AC199*8%</f>
        <v/>
      </c>
      <c r="Y198" s="2">
        <f>U199+V199+W199+X199</f>
        <v/>
      </c>
      <c r="Z198" s="60">
        <f>Y199+T199+L199</f>
        <v/>
      </c>
      <c r="AA198" s="11">
        <f>Z199*20%</f>
        <v/>
      </c>
      <c r="AB198" s="12">
        <f>Z199+AA199</f>
        <v/>
      </c>
      <c r="AC198" s="2">
        <f>D199*2.1</f>
        <v/>
      </c>
      <c r="AD198" s="12">
        <f>AB199-AC199</f>
        <v/>
      </c>
      <c r="AE198" s="12">
        <f>AD199/AB199*100</f>
        <v/>
      </c>
      <c r="AF198" s="92" t="n">
        <v>1285</v>
      </c>
      <c r="AG198" s="62">
        <f>((AF199-L199)/L199)*100</f>
        <v/>
      </c>
      <c r="AH198" s="106">
        <f>AJ199-AF199</f>
        <v/>
      </c>
      <c r="AI198" s="65">
        <f>AB199</f>
        <v/>
      </c>
      <c r="AJ198" s="65" t="n">
        <v>1395</v>
      </c>
      <c r="AK198" s="66">
        <f>(AJ199-L199)/L199*100</f>
        <v/>
      </c>
      <c r="AL198" s="66" t="n"/>
      <c r="AM198" s="14">
        <f>AH199/AJ199%</f>
        <v/>
      </c>
      <c r="AN198" s="67">
        <f>AK199-AG199</f>
        <v/>
      </c>
      <c r="AO198" s="68">
        <f>AJ199/L199</f>
        <v/>
      </c>
      <c r="AP198" s="69">
        <f>(AJ199-AB199)/100</f>
        <v/>
      </c>
      <c r="AQ198" s="70">
        <f>(AJ199-AC199)/100</f>
        <v/>
      </c>
      <c r="AR198" s="71">
        <f>AI199/94</f>
        <v/>
      </c>
      <c r="AS198" s="71">
        <f>AJ199/94</f>
        <v/>
      </c>
      <c r="AT198" s="72">
        <f>AI199/24</f>
        <v/>
      </c>
      <c r="AU198" s="72">
        <f>AJ199/24</f>
        <v/>
      </c>
      <c r="AV198" s="73">
        <f>AI199/125</f>
        <v/>
      </c>
      <c r="AW198" s="73">
        <f>AJ199/125</f>
        <v/>
      </c>
    </row>
    <row r="199" ht="15.75" customHeight="1" s="258">
      <c r="A199" s="2" t="n"/>
      <c r="B199" s="2" t="inlineStr">
        <is>
          <t>Red</t>
        </is>
      </c>
      <c r="C199" s="2" t="inlineStr">
        <is>
          <t>Me-C-HZ-RD</t>
        </is>
      </c>
      <c r="D199" s="118" t="n">
        <v>445</v>
      </c>
      <c r="F199" s="2" t="n">
        <v>145</v>
      </c>
      <c r="G199" s="118" t="n">
        <v>94041000</v>
      </c>
      <c r="H199" s="255" t="n">
        <v>0.18</v>
      </c>
      <c r="I199" s="2">
        <f>D200*H200</f>
        <v/>
      </c>
      <c r="K199" s="2" t="n">
        <v>150</v>
      </c>
      <c r="L199" s="4">
        <f>K200+J200+I200+F200+E200+D200</f>
        <v/>
      </c>
      <c r="M199" s="2">
        <f>D200*1%</f>
        <v/>
      </c>
      <c r="N199" s="12">
        <f>L200*8%</f>
        <v/>
      </c>
      <c r="O199" s="12">
        <f>L200*10%</f>
        <v/>
      </c>
      <c r="P199" s="12">
        <f>L200*5%</f>
        <v/>
      </c>
      <c r="Q199" s="12">
        <f>L200*2%</f>
        <v/>
      </c>
      <c r="R199" s="12">
        <f>AC200*0.5%</f>
        <v/>
      </c>
      <c r="S199" s="12">
        <f>L200*1%</f>
        <v/>
      </c>
      <c r="T199" s="60">
        <f>S200+Q200+P200+O200+N200+M200</f>
        <v/>
      </c>
      <c r="U199" s="2">
        <f>AC200*1%</f>
        <v/>
      </c>
      <c r="V199" s="44">
        <f>AC200*5%</f>
        <v/>
      </c>
      <c r="W199" s="2">
        <f>AC200*1%</f>
        <v/>
      </c>
      <c r="X199" s="2">
        <f>AC200*8%</f>
        <v/>
      </c>
      <c r="Y199" s="2">
        <f>U200+V200+W200+X200</f>
        <v/>
      </c>
      <c r="Z199" s="60">
        <f>Y200+T200+L200</f>
        <v/>
      </c>
      <c r="AA199" s="11">
        <f>Z200*20%</f>
        <v/>
      </c>
      <c r="AB199" s="12">
        <f>Z200+AA200</f>
        <v/>
      </c>
      <c r="AC199" s="2">
        <f>D200*2.1</f>
        <v/>
      </c>
      <c r="AD199" s="12">
        <f>AB200-AC200</f>
        <v/>
      </c>
      <c r="AE199" s="12">
        <f>AD200/AB200*100</f>
        <v/>
      </c>
      <c r="AF199" s="92" t="n">
        <v>1285</v>
      </c>
      <c r="AG199" s="62">
        <f>((AF200-L200)/L200)*100</f>
        <v/>
      </c>
      <c r="AH199" s="106">
        <f>AJ200-AF200</f>
        <v/>
      </c>
      <c r="AI199" s="65">
        <f>AB200</f>
        <v/>
      </c>
      <c r="AJ199" s="65" t="n">
        <v>1395</v>
      </c>
      <c r="AK199" s="66">
        <f>(AJ200-L200)/L200*100</f>
        <v/>
      </c>
      <c r="AL199" s="66" t="n"/>
      <c r="AM199" s="14">
        <f>AH200/AJ200%</f>
        <v/>
      </c>
      <c r="AN199" s="67">
        <f>AK200-AG200</f>
        <v/>
      </c>
      <c r="AO199" s="68">
        <f>AJ200/L200</f>
        <v/>
      </c>
      <c r="AP199" s="69">
        <f>(AJ200-AB200)/100</f>
        <v/>
      </c>
      <c r="AQ199" s="70">
        <f>(AJ200-AC200)/100</f>
        <v/>
      </c>
      <c r="AR199" s="71">
        <f>AI200/94</f>
        <v/>
      </c>
      <c r="AS199" s="71">
        <f>AJ200/94</f>
        <v/>
      </c>
      <c r="AT199" s="72">
        <f>AI200/24</f>
        <v/>
      </c>
      <c r="AU199" s="72">
        <f>AJ200/24</f>
        <v/>
      </c>
      <c r="AV199" s="73">
        <f>AI200/125</f>
        <v/>
      </c>
      <c r="AW199" s="73">
        <f>AJ200/125</f>
        <v/>
      </c>
    </row>
    <row r="200" ht="15.75" customHeight="1" s="258">
      <c r="A200" s="2" t="n"/>
      <c r="B200" s="2" t="inlineStr">
        <is>
          <t>Sage</t>
        </is>
      </c>
      <c r="C200" s="2" t="inlineStr">
        <is>
          <t>Me-C-HZ-SE</t>
        </is>
      </c>
      <c r="D200" s="118" t="n">
        <v>445</v>
      </c>
      <c r="F200" s="2" t="n">
        <v>145</v>
      </c>
      <c r="G200" s="118" t="n">
        <v>94041000</v>
      </c>
      <c r="H200" s="255" t="n">
        <v>0.18</v>
      </c>
      <c r="I200" s="2">
        <f>D201*H201</f>
        <v/>
      </c>
      <c r="K200" s="2" t="n">
        <v>150</v>
      </c>
      <c r="L200" s="4">
        <f>K201+J201+I201+F201+E201+D201</f>
        <v/>
      </c>
      <c r="M200" s="2">
        <f>D201*1%</f>
        <v/>
      </c>
      <c r="N200" s="12">
        <f>L201*8%</f>
        <v/>
      </c>
      <c r="O200" s="12">
        <f>L201*10%</f>
        <v/>
      </c>
      <c r="P200" s="12">
        <f>L201*5%</f>
        <v/>
      </c>
      <c r="Q200" s="12">
        <f>L201*2%</f>
        <v/>
      </c>
      <c r="R200" s="12">
        <f>AC201*0.5%</f>
        <v/>
      </c>
      <c r="S200" s="12">
        <f>L201*1%</f>
        <v/>
      </c>
      <c r="T200" s="60">
        <f>S201+Q201+P201+O201+N201+M201</f>
        <v/>
      </c>
      <c r="U200" s="2">
        <f>AC201*1%</f>
        <v/>
      </c>
      <c r="V200" s="44">
        <f>AC201*5%</f>
        <v/>
      </c>
      <c r="W200" s="2">
        <f>AC201*1%</f>
        <v/>
      </c>
      <c r="X200" s="2">
        <f>AC201*8%</f>
        <v/>
      </c>
      <c r="Y200" s="2">
        <f>U201+V201+W201+X201</f>
        <v/>
      </c>
      <c r="Z200" s="60">
        <f>Y201+T201+L201</f>
        <v/>
      </c>
      <c r="AA200" s="11">
        <f>Z201*20%</f>
        <v/>
      </c>
      <c r="AB200" s="12">
        <f>Z201+AA201</f>
        <v/>
      </c>
      <c r="AC200" s="2">
        <f>D201*2.1</f>
        <v/>
      </c>
      <c r="AD200" s="12">
        <f>AB201-AC201</f>
        <v/>
      </c>
      <c r="AE200" s="12">
        <f>AD201/AB201*100</f>
        <v/>
      </c>
      <c r="AF200" s="92" t="n">
        <v>1285</v>
      </c>
      <c r="AG200" s="62">
        <f>((AF201-L201)/L201)*100</f>
        <v/>
      </c>
      <c r="AH200" s="106">
        <f>AJ201-AF201</f>
        <v/>
      </c>
      <c r="AI200" s="65">
        <f>AB201</f>
        <v/>
      </c>
      <c r="AJ200" s="65" t="n">
        <v>1395</v>
      </c>
      <c r="AK200" s="66">
        <f>(AJ201-L201)/L201*100</f>
        <v/>
      </c>
      <c r="AL200" s="66" t="n"/>
      <c r="AM200" s="14">
        <f>AH201/AJ201%</f>
        <v/>
      </c>
      <c r="AN200" s="67">
        <f>AK201-AG201</f>
        <v/>
      </c>
      <c r="AO200" s="68">
        <f>AJ201/L201</f>
        <v/>
      </c>
      <c r="AP200" s="69">
        <f>(AJ201-AB201)/100</f>
        <v/>
      </c>
      <c r="AQ200" s="70">
        <f>(AJ201-AC201)/100</f>
        <v/>
      </c>
      <c r="AR200" s="71">
        <f>AI201/94</f>
        <v/>
      </c>
      <c r="AS200" s="71">
        <f>AJ201/94</f>
        <v/>
      </c>
      <c r="AT200" s="72">
        <f>AI201/24</f>
        <v/>
      </c>
      <c r="AU200" s="72">
        <f>AJ201/24</f>
        <v/>
      </c>
      <c r="AV200" s="73">
        <f>AI201/125</f>
        <v/>
      </c>
      <c r="AW200" s="73">
        <f>AJ201/125</f>
        <v/>
      </c>
    </row>
    <row r="201" ht="15.75" customHeight="1" s="258">
      <c r="A201" s="2" t="inlineStr">
        <is>
          <t>7-Key Kalimba Made from Coconut Shell - Painted &amp; Plain</t>
        </is>
      </c>
      <c r="B201" s="2" t="inlineStr">
        <is>
          <t>Plain Etched</t>
        </is>
      </c>
      <c r="C201" s="2" t="inlineStr">
        <is>
          <t>MI-KCS-PE</t>
        </is>
      </c>
      <c r="D201" s="118" t="n">
        <v>300</v>
      </c>
      <c r="F201" s="2" t="n">
        <v>50</v>
      </c>
      <c r="G201" s="118" t="n">
        <v>46029000</v>
      </c>
      <c r="H201" s="255" t="n">
        <v>0.05</v>
      </c>
      <c r="I201" s="2">
        <f>D202*H202</f>
        <v/>
      </c>
      <c r="K201" s="2" t="n">
        <v>300</v>
      </c>
      <c r="L201" s="4">
        <f>K202+J202+I202+F202+E202+D202</f>
        <v/>
      </c>
      <c r="M201" s="2">
        <f>D202*1%</f>
        <v/>
      </c>
      <c r="N201" s="12">
        <f>L202*8%</f>
        <v/>
      </c>
      <c r="O201" s="12">
        <f>L202*10%</f>
        <v/>
      </c>
      <c r="P201" s="12">
        <f>L202*5%</f>
        <v/>
      </c>
      <c r="Q201" s="12">
        <f>L202*2%</f>
        <v/>
      </c>
      <c r="R201" s="12">
        <f>AC202*0.5%</f>
        <v/>
      </c>
      <c r="S201" s="12">
        <f>L202*1%</f>
        <v/>
      </c>
      <c r="T201" s="60">
        <f>S202+Q202+P202+O202+N202+M202</f>
        <v/>
      </c>
      <c r="U201" s="2">
        <f>AC202*1%</f>
        <v/>
      </c>
      <c r="V201" s="44">
        <f>AC202*5%</f>
        <v/>
      </c>
      <c r="W201" s="2">
        <f>AC202*1%</f>
        <v/>
      </c>
      <c r="X201" s="2">
        <f>AC202*8%</f>
        <v/>
      </c>
      <c r="Y201" s="2">
        <f>U202+V202+W202+X202</f>
        <v/>
      </c>
      <c r="Z201" s="60">
        <f>Y202+T202+L202</f>
        <v/>
      </c>
      <c r="AA201" s="11">
        <f>Z202*20%</f>
        <v/>
      </c>
      <c r="AB201" s="12">
        <f>Z202+AA202</f>
        <v/>
      </c>
      <c r="AC201" s="2">
        <f>D202*2.1</f>
        <v/>
      </c>
      <c r="AD201" s="12">
        <f>AB202-AC202</f>
        <v/>
      </c>
      <c r="AE201" s="12">
        <f>AD202/AB202*100</f>
        <v/>
      </c>
      <c r="AF201" s="92" t="n">
        <v>950</v>
      </c>
      <c r="AG201" s="62">
        <f>((AF202-L202)/L202)*100</f>
        <v/>
      </c>
      <c r="AH201" s="106">
        <f>AJ202-AF202</f>
        <v/>
      </c>
      <c r="AI201" s="65">
        <f>AB202</f>
        <v/>
      </c>
      <c r="AJ201" s="65" t="n">
        <v>990</v>
      </c>
      <c r="AK201" s="66">
        <f>(AJ202-L202)/L202*100</f>
        <v/>
      </c>
      <c r="AL201" s="66" t="n"/>
      <c r="AM201" s="14">
        <f>(AH202/AJ202)*100</f>
        <v/>
      </c>
      <c r="AN201" s="67">
        <f>AK202-AG202</f>
        <v/>
      </c>
      <c r="AO201" s="68">
        <f>AJ202/L202</f>
        <v/>
      </c>
      <c r="AP201" s="69">
        <f>(AJ202-AB202)/100</f>
        <v/>
      </c>
      <c r="AQ201" s="70">
        <f>(AJ202-AC202)/100</f>
        <v/>
      </c>
      <c r="AR201" s="71">
        <f>AI202/94</f>
        <v/>
      </c>
      <c r="AS201" s="71">
        <f>AJ202/94</f>
        <v/>
      </c>
      <c r="AT201" s="72">
        <f>AI202/24</f>
        <v/>
      </c>
      <c r="AU201" s="72">
        <f>AJ202/24</f>
        <v/>
      </c>
      <c r="AV201" s="73">
        <f>AI202/125</f>
        <v/>
      </c>
      <c r="AW201" s="73">
        <f>AJ202/125</f>
        <v/>
      </c>
    </row>
    <row r="202" ht="15" customHeight="1" s="258">
      <c r="A202" s="2" t="n"/>
      <c r="B202" s="2" t="inlineStr">
        <is>
          <t>Dot Painted</t>
        </is>
      </c>
      <c r="C202" s="2" t="inlineStr">
        <is>
          <t>MI-KCS-DP</t>
        </is>
      </c>
      <c r="D202" s="118" t="n">
        <v>350</v>
      </c>
      <c r="F202" s="2" t="n">
        <v>50</v>
      </c>
      <c r="G202" s="118" t="n">
        <v>46029000</v>
      </c>
      <c r="H202" s="255" t="n">
        <v>0.05</v>
      </c>
      <c r="I202" s="2">
        <f>D203*H203</f>
        <v/>
      </c>
      <c r="K202" s="2" t="n">
        <v>350</v>
      </c>
      <c r="L202" s="4">
        <f>K203+J203+I203+F203+E203+D203</f>
        <v/>
      </c>
      <c r="M202" s="2">
        <f>D203*1%</f>
        <v/>
      </c>
      <c r="N202" s="12">
        <f>L203*8%</f>
        <v/>
      </c>
      <c r="O202" s="12">
        <f>L203*10%</f>
        <v/>
      </c>
      <c r="P202" s="12">
        <f>L203*5%</f>
        <v/>
      </c>
      <c r="Q202" s="12">
        <f>L203*2%</f>
        <v/>
      </c>
      <c r="R202" s="12">
        <f>AC203*0.5%</f>
        <v/>
      </c>
      <c r="S202" s="12">
        <f>L203*1%</f>
        <v/>
      </c>
      <c r="T202" s="60">
        <f>S203+Q203+P203+O203+N203+M203</f>
        <v/>
      </c>
      <c r="U202" s="2">
        <f>AC203*1%</f>
        <v/>
      </c>
      <c r="V202" s="44">
        <f>AC203*5%</f>
        <v/>
      </c>
      <c r="W202" s="2">
        <f>AC203*1%</f>
        <v/>
      </c>
      <c r="X202" s="2">
        <f>AC203*8%</f>
        <v/>
      </c>
      <c r="Y202" s="2">
        <f>U203+V203+W203+X203</f>
        <v/>
      </c>
      <c r="Z202" s="60">
        <f>Y203+T203+L203</f>
        <v/>
      </c>
      <c r="AA202" s="11">
        <f>Z203*20%</f>
        <v/>
      </c>
      <c r="AB202" s="12">
        <f>Z203+AA203</f>
        <v/>
      </c>
      <c r="AC202" s="2">
        <f>D203*2.1</f>
        <v/>
      </c>
      <c r="AD202" s="12">
        <f>AB203-AC203</f>
        <v/>
      </c>
      <c r="AE202" s="12">
        <f>AD203/AB203*100</f>
        <v/>
      </c>
      <c r="AF202" s="92" t="n">
        <v>950</v>
      </c>
      <c r="AG202" s="62">
        <f>((AF203-L203)/L203)*100</f>
        <v/>
      </c>
      <c r="AH202" s="106">
        <f>AJ203-AF203</f>
        <v/>
      </c>
      <c r="AI202" s="65" t="n">
        <v>1290</v>
      </c>
      <c r="AJ202" s="65" t="n">
        <v>1090</v>
      </c>
      <c r="AK202" s="66">
        <f>(AJ203-L203)/L203*100</f>
        <v/>
      </c>
      <c r="AL202" s="66" t="n"/>
      <c r="AM202" s="14">
        <f>(AH203/AJ203)*100</f>
        <v/>
      </c>
      <c r="AN202" s="67">
        <f>AK203-AG203</f>
        <v/>
      </c>
      <c r="AO202" s="68">
        <f>AJ203/L203</f>
        <v/>
      </c>
      <c r="AP202" s="69">
        <f>(AJ203-AB203)/100</f>
        <v/>
      </c>
      <c r="AQ202" s="70">
        <f>(AJ203-AC203)/100</f>
        <v/>
      </c>
      <c r="AR202" s="71">
        <f>AI203/94</f>
        <v/>
      </c>
      <c r="AS202" s="71">
        <f>AJ203/94</f>
        <v/>
      </c>
      <c r="AT202" s="72">
        <f>AI203/24</f>
        <v/>
      </c>
      <c r="AU202" s="72">
        <f>AJ203/24</f>
        <v/>
      </c>
      <c r="AV202" s="73">
        <f>AI203/125</f>
        <v/>
      </c>
      <c r="AW202" s="73">
        <f>AJ203/125</f>
        <v/>
      </c>
    </row>
    <row r="203" ht="15.75" customHeight="1" s="258">
      <c r="A203" s="44" t="inlineStr">
        <is>
          <t>8 Keys Metallophone - with 1” &amp; 1.5” key-widths</t>
        </is>
      </c>
      <c r="B203" s="44" t="inlineStr">
        <is>
          <t>1 inch</t>
        </is>
      </c>
      <c r="C203" s="44" t="inlineStr">
        <is>
          <t>MI-XP-SP-1-8</t>
        </is>
      </c>
      <c r="D203" s="45" t="n">
        <v>5700</v>
      </c>
      <c r="E203" s="113" t="n"/>
      <c r="F203" s="44" t="n">
        <v>135</v>
      </c>
      <c r="G203" s="45" t="n">
        <v>92060000</v>
      </c>
      <c r="H203" s="45" t="n">
        <v>0</v>
      </c>
      <c r="I203" s="44">
        <f>D204*H204</f>
        <v/>
      </c>
      <c r="J203" s="113" t="n"/>
      <c r="K203" s="44" t="n">
        <v>200</v>
      </c>
      <c r="L203" s="48">
        <f>K204+J204+I204+F204+E204+D204</f>
        <v/>
      </c>
      <c r="M203" s="44">
        <f>D204*1%</f>
        <v/>
      </c>
      <c r="N203" s="49">
        <f>L204*8%</f>
        <v/>
      </c>
      <c r="O203" s="49">
        <f>L204*10%</f>
        <v/>
      </c>
      <c r="P203" s="49">
        <f>L204*5%</f>
        <v/>
      </c>
      <c r="Q203" s="49">
        <f>L204*2%</f>
        <v/>
      </c>
      <c r="R203" s="49">
        <f>AC204*0.5%</f>
        <v/>
      </c>
      <c r="S203" s="49">
        <f>L204*1%</f>
        <v/>
      </c>
      <c r="T203" s="50">
        <f>S204+Q204+P204+O204+N204+M204</f>
        <v/>
      </c>
      <c r="U203" s="44">
        <f>AC204*1%</f>
        <v/>
      </c>
      <c r="V203" s="44">
        <f>AC204*5%</f>
        <v/>
      </c>
      <c r="W203" s="44">
        <f>AC204*1%</f>
        <v/>
      </c>
      <c r="X203" s="44">
        <f>AC204*8%</f>
        <v/>
      </c>
      <c r="Y203" s="44">
        <f>U204+V204+W204+X204</f>
        <v/>
      </c>
      <c r="Z203" s="50">
        <f>Y204+T204+L204</f>
        <v/>
      </c>
      <c r="AA203" s="51">
        <f>Z204*20%</f>
        <v/>
      </c>
      <c r="AB203" s="49">
        <f>Z204+AA204</f>
        <v/>
      </c>
      <c r="AC203" s="44">
        <f>D204*2.1</f>
        <v/>
      </c>
      <c r="AD203" s="49">
        <f>AB204-AC204</f>
        <v/>
      </c>
      <c r="AE203" s="49">
        <f>AD204/AB204*100</f>
        <v/>
      </c>
      <c r="AF203" s="113" t="n">
        <v>7650</v>
      </c>
      <c r="AG203" s="116">
        <f>((AF204-L204)/L204)*100</f>
        <v/>
      </c>
      <c r="AH203" s="54">
        <f>AJ204-AF204</f>
        <v/>
      </c>
      <c r="AI203" s="54" t="n">
        <v>11990</v>
      </c>
      <c r="AJ203" s="54" t="n">
        <v>8990</v>
      </c>
      <c r="AK203" s="55">
        <f>(AJ204-L204)/L204*100</f>
        <v/>
      </c>
      <c r="AL203" s="55" t="n"/>
      <c r="AM203" s="55">
        <f>(AH204/AJ204)*100</f>
        <v/>
      </c>
      <c r="AN203" s="55">
        <f>AK204-AG204</f>
        <v/>
      </c>
      <c r="AO203" s="56">
        <f>AJ204/L204</f>
        <v/>
      </c>
      <c r="AP203" s="55">
        <f>(AJ204-AB204)/100</f>
        <v/>
      </c>
      <c r="AQ203" s="55">
        <f>(AJ204-AC204)/100</f>
        <v/>
      </c>
      <c r="AR203" s="57">
        <f>AI204/94</f>
        <v/>
      </c>
      <c r="AS203" s="57">
        <f>AJ204/94</f>
        <v/>
      </c>
      <c r="AT203" s="58">
        <f>AI204/24</f>
        <v/>
      </c>
      <c r="AU203" s="58">
        <f>AJ204/24</f>
        <v/>
      </c>
      <c r="AV203" s="58">
        <f>AI204/125</f>
        <v/>
      </c>
      <c r="AW203" s="58">
        <f>AJ204/125</f>
        <v/>
      </c>
      <c r="AX203" s="113" t="n"/>
      <c r="AY203" s="113" t="n"/>
    </row>
    <row r="204" ht="15" customHeight="1" s="258">
      <c r="A204" s="44" t="n"/>
      <c r="B204" s="44" t="inlineStr">
        <is>
          <t>1.5 inch</t>
        </is>
      </c>
      <c r="C204" s="44" t="inlineStr">
        <is>
          <t>MI-XP-SP-1.5-8</t>
        </is>
      </c>
      <c r="D204" s="45" t="n">
        <v>7500</v>
      </c>
      <c r="E204" s="113" t="n"/>
      <c r="F204" s="44" t="n">
        <v>135</v>
      </c>
      <c r="G204" s="45" t="n">
        <v>92060000</v>
      </c>
      <c r="H204" s="45" t="n">
        <v>0</v>
      </c>
      <c r="I204" s="44">
        <f>D205*H205</f>
        <v/>
      </c>
      <c r="J204" s="113" t="n"/>
      <c r="K204" s="44" t="n">
        <v>200</v>
      </c>
      <c r="L204" s="48">
        <f>K205+J205+I205+F205+E205+D205</f>
        <v/>
      </c>
      <c r="M204" s="44">
        <f>D205*1%</f>
        <v/>
      </c>
      <c r="N204" s="49">
        <f>L205*8%</f>
        <v/>
      </c>
      <c r="O204" s="49">
        <f>L205*10%</f>
        <v/>
      </c>
      <c r="P204" s="49">
        <f>L205*5%</f>
        <v/>
      </c>
      <c r="Q204" s="49">
        <f>L205*2%</f>
        <v/>
      </c>
      <c r="R204" s="49">
        <f>AC205*0.5%</f>
        <v/>
      </c>
      <c r="S204" s="49">
        <f>L205*1%</f>
        <v/>
      </c>
      <c r="T204" s="50">
        <f>S205+Q205+P205+O205+N205+M205</f>
        <v/>
      </c>
      <c r="U204" s="44">
        <f>AC205*1%</f>
        <v/>
      </c>
      <c r="V204" s="44">
        <f>AC205*5%</f>
        <v/>
      </c>
      <c r="W204" s="44">
        <f>AC205*1%</f>
        <v/>
      </c>
      <c r="X204" s="44">
        <f>AC205*8%</f>
        <v/>
      </c>
      <c r="Y204" s="44">
        <f>U205+V205+W205+X205</f>
        <v/>
      </c>
      <c r="Z204" s="50">
        <f>Y205+T205+L205</f>
        <v/>
      </c>
      <c r="AA204" s="51">
        <f>Z205*20%</f>
        <v/>
      </c>
      <c r="AB204" s="49">
        <f>Z205+AA205</f>
        <v/>
      </c>
      <c r="AC204" s="44">
        <f>D205*2.1</f>
        <v/>
      </c>
      <c r="AD204" s="49">
        <f>AB205-AC205</f>
        <v/>
      </c>
      <c r="AE204" s="49">
        <f>AD205/AB205*100</f>
        <v/>
      </c>
      <c r="AF204" s="113" t="n">
        <v>9350</v>
      </c>
      <c r="AG204" s="116">
        <f>((AF205-L205)/L205)*100</f>
        <v/>
      </c>
      <c r="AH204" s="54">
        <f>AJ205-AF205</f>
        <v/>
      </c>
      <c r="AI204" s="54">
        <f>AB205</f>
        <v/>
      </c>
      <c r="AJ204" s="54" t="n">
        <v>11650</v>
      </c>
      <c r="AK204" s="55">
        <f>(AJ205-L205)/L205*100</f>
        <v/>
      </c>
      <c r="AL204" s="55" t="n"/>
      <c r="AM204" s="55">
        <f>(AH205/AJ205)*100</f>
        <v/>
      </c>
      <c r="AN204" s="55">
        <f>AK205-AG205</f>
        <v/>
      </c>
      <c r="AO204" s="56">
        <f>AJ205/L205</f>
        <v/>
      </c>
      <c r="AP204" s="55">
        <f>(AJ205-AB205)/100</f>
        <v/>
      </c>
      <c r="AQ204" s="55">
        <f>(AJ205-AC205)/100</f>
        <v/>
      </c>
      <c r="AR204" s="57">
        <f>AI205/94</f>
        <v/>
      </c>
      <c r="AS204" s="57">
        <f>AJ205/94</f>
        <v/>
      </c>
      <c r="AT204" s="58">
        <f>AI205/24</f>
        <v/>
      </c>
      <c r="AU204" s="58">
        <f>AJ205/24</f>
        <v/>
      </c>
      <c r="AV204" s="58">
        <f>AI205/125</f>
        <v/>
      </c>
      <c r="AW204" s="58">
        <f>AJ205/125</f>
        <v/>
      </c>
      <c r="AX204" s="113" t="n"/>
      <c r="AY204" s="113" t="n"/>
    </row>
    <row r="205" ht="15.75" customHeight="1" s="258">
      <c r="A205" s="44" t="inlineStr">
        <is>
          <t>9/10 Notes Handpan Drum - Handcrafted to Precision</t>
        </is>
      </c>
      <c r="B205" s="44" t="inlineStr">
        <is>
          <t>D Celtic Minor 9</t>
        </is>
      </c>
      <c r="C205" s="44" t="inlineStr">
        <is>
          <t>MI-D-HP-DC-M9</t>
        </is>
      </c>
      <c r="D205" s="45">
        <f>8200*9</f>
        <v/>
      </c>
      <c r="E205" s="113" t="n"/>
      <c r="F205" s="44" t="n">
        <v>250</v>
      </c>
      <c r="G205" s="45" t="n">
        <v>92030090</v>
      </c>
      <c r="H205" s="45" t="n">
        <v>0</v>
      </c>
      <c r="I205" s="44">
        <f>D206*H206</f>
        <v/>
      </c>
      <c r="J205" s="113" t="n"/>
      <c r="K205" s="44" t="n">
        <v>1500</v>
      </c>
      <c r="L205" s="48">
        <f>K206+J206+I206+F206+E206+D206</f>
        <v/>
      </c>
      <c r="M205" s="44">
        <f>D206*1%</f>
        <v/>
      </c>
      <c r="N205" s="49">
        <f>L206*8%</f>
        <v/>
      </c>
      <c r="O205" s="49">
        <f>L206*10%</f>
        <v/>
      </c>
      <c r="P205" s="49">
        <f>L206*5%</f>
        <v/>
      </c>
      <c r="Q205" s="49">
        <f>L206*2%</f>
        <v/>
      </c>
      <c r="R205" s="49">
        <f>AC206*0.5%</f>
        <v/>
      </c>
      <c r="S205" s="49">
        <f>L206*1%</f>
        <v/>
      </c>
      <c r="T205" s="50">
        <f>S206+Q206+P206+O206+N206+M206</f>
        <v/>
      </c>
      <c r="U205" s="44">
        <f>AC206*1%</f>
        <v/>
      </c>
      <c r="V205" s="44">
        <f>AC206*5%</f>
        <v/>
      </c>
      <c r="W205" s="44">
        <f>AC206*1%</f>
        <v/>
      </c>
      <c r="X205" s="44">
        <f>AC206*8%</f>
        <v/>
      </c>
      <c r="Y205" s="44">
        <f>U206+V206+W206+X206</f>
        <v/>
      </c>
      <c r="Z205" s="50">
        <f>Y206+T206+L206</f>
        <v/>
      </c>
      <c r="AA205" s="51">
        <f>Z206*20%</f>
        <v/>
      </c>
      <c r="AB205" s="49">
        <f>Z206+AA206</f>
        <v/>
      </c>
      <c r="AC205" s="44">
        <f>D206*2.1</f>
        <v/>
      </c>
      <c r="AD205" s="49">
        <f>AB206-AC206</f>
        <v/>
      </c>
      <c r="AE205" s="49">
        <f>AD206/AB206*100</f>
        <v/>
      </c>
      <c r="AF205" s="113" t="n">
        <v>81500</v>
      </c>
      <c r="AG205" s="116">
        <f>((AF206-L206)/L206)*100</f>
        <v/>
      </c>
      <c r="AH205" s="54">
        <f>AJ206-AF206</f>
        <v/>
      </c>
      <c r="AI205" s="54" t="n">
        <v>109000</v>
      </c>
      <c r="AJ205" s="54" t="n">
        <v>99990</v>
      </c>
      <c r="AK205" s="55">
        <f>(AJ206-L206)/L206*100</f>
        <v/>
      </c>
      <c r="AL205" s="55" t="n"/>
      <c r="AM205" s="55">
        <f>(AH206/AJ206)*100</f>
        <v/>
      </c>
      <c r="AN205" s="55">
        <f>AK206-AG206</f>
        <v/>
      </c>
      <c r="AO205" s="56">
        <f>AJ206/L206</f>
        <v/>
      </c>
      <c r="AP205" s="55">
        <f>(AJ206-AB206)/100</f>
        <v/>
      </c>
      <c r="AQ205" s="55">
        <f>(AJ206-AC206)/100</f>
        <v/>
      </c>
      <c r="AR205" s="57">
        <f>AI206/94</f>
        <v/>
      </c>
      <c r="AS205" s="57">
        <f>AJ206/94</f>
        <v/>
      </c>
      <c r="AT205" s="58">
        <f>AI206/24</f>
        <v/>
      </c>
      <c r="AU205" s="58">
        <f>AJ206/24</f>
        <v/>
      </c>
      <c r="AV205" s="58">
        <f>AI206/125</f>
        <v/>
      </c>
      <c r="AW205" s="58">
        <f>AJ206/125</f>
        <v/>
      </c>
      <c r="AX205" s="113" t="n"/>
      <c r="AY205" s="113" t="n"/>
    </row>
    <row r="206" ht="15" customHeight="1" s="258">
      <c r="A206" s="44" t="n"/>
      <c r="B206" s="44" t="inlineStr">
        <is>
          <t>D Kurd 10</t>
        </is>
      </c>
      <c r="C206" s="44" t="inlineStr">
        <is>
          <t>MI-D-HP-DK-10</t>
        </is>
      </c>
      <c r="D206" s="45" t="n">
        <v>82000</v>
      </c>
      <c r="E206" s="113" t="n"/>
      <c r="F206" s="44" t="n">
        <v>250</v>
      </c>
      <c r="G206" s="45" t="n">
        <v>92060000</v>
      </c>
      <c r="H206" s="45" t="n">
        <v>0</v>
      </c>
      <c r="I206" s="44">
        <f>D207*H207</f>
        <v/>
      </c>
      <c r="J206" s="113" t="n"/>
      <c r="K206" s="44" t="n">
        <v>1500</v>
      </c>
      <c r="L206" s="48">
        <f>K207+J207+I207+F207+E207+D207</f>
        <v/>
      </c>
      <c r="M206" s="44">
        <f>D207*1%</f>
        <v/>
      </c>
      <c r="N206" s="49">
        <f>L207*8%</f>
        <v/>
      </c>
      <c r="O206" s="49">
        <f>L207*10%</f>
        <v/>
      </c>
      <c r="P206" s="49">
        <f>L207*5%</f>
        <v/>
      </c>
      <c r="Q206" s="49">
        <f>L207*2%</f>
        <v/>
      </c>
      <c r="R206" s="49">
        <f>AC207*0.5%</f>
        <v/>
      </c>
      <c r="S206" s="49">
        <f>L207*1%</f>
        <v/>
      </c>
      <c r="T206" s="50">
        <f>S207+Q207+P207+O207+N207+M207</f>
        <v/>
      </c>
      <c r="U206" s="44">
        <f>AC207*1%</f>
        <v/>
      </c>
      <c r="V206" s="44">
        <f>AC207*5%</f>
        <v/>
      </c>
      <c r="W206" s="44">
        <f>AC207*1%</f>
        <v/>
      </c>
      <c r="X206" s="44">
        <f>AC207*8%</f>
        <v/>
      </c>
      <c r="Y206" s="44">
        <f>U207+V207+W207+X207</f>
        <v/>
      </c>
      <c r="Z206" s="50">
        <f>Y207+T207+L207</f>
        <v/>
      </c>
      <c r="AA206" s="51">
        <f>Z207*20%</f>
        <v/>
      </c>
      <c r="AB206" s="49">
        <f>Z207+AA207</f>
        <v/>
      </c>
      <c r="AC206" s="44">
        <f>D207*2.1</f>
        <v/>
      </c>
      <c r="AD206" s="49">
        <f>AB207-AC207</f>
        <v/>
      </c>
      <c r="AE206" s="49">
        <f>AD207/AB207*100</f>
        <v/>
      </c>
      <c r="AF206" s="113" t="n">
        <v>91500</v>
      </c>
      <c r="AG206" s="116">
        <f>((AF207-L207)/L207)*100</f>
        <v/>
      </c>
      <c r="AH206" s="54">
        <f>AJ207-AF207</f>
        <v/>
      </c>
      <c r="AI206" s="54" t="n">
        <v>125000</v>
      </c>
      <c r="AJ206" s="54" t="n">
        <v>109990</v>
      </c>
      <c r="AK206" s="55">
        <f>(AJ207-L207)/L207*100</f>
        <v/>
      </c>
      <c r="AL206" s="55" t="n"/>
      <c r="AM206" s="55">
        <f>(AH207/AJ207)*100</f>
        <v/>
      </c>
      <c r="AN206" s="55">
        <f>AK207-AG207</f>
        <v/>
      </c>
      <c r="AO206" s="56">
        <f>AJ207/L207</f>
        <v/>
      </c>
      <c r="AP206" s="55">
        <f>(AJ207-AB207)/100</f>
        <v/>
      </c>
      <c r="AQ206" s="55">
        <f>(AJ207-AC207)/100</f>
        <v/>
      </c>
      <c r="AR206" s="57">
        <f>AI207/94</f>
        <v/>
      </c>
      <c r="AS206" s="57">
        <f>AJ207/94</f>
        <v/>
      </c>
      <c r="AT206" s="58">
        <f>AI207/24</f>
        <v/>
      </c>
      <c r="AU206" s="58">
        <f>AJ207/24</f>
        <v/>
      </c>
      <c r="AV206" s="58">
        <f>AI207/125</f>
        <v/>
      </c>
      <c r="AW206" s="58">
        <f>AJ207/125</f>
        <v/>
      </c>
      <c r="AX206" s="113" t="n"/>
      <c r="AY206" s="113" t="n"/>
    </row>
    <row r="207" ht="15.75" customHeight="1" s="258">
      <c r="A207" s="44" t="inlineStr">
        <is>
          <t>25 Rods -Bar Chime</t>
        </is>
      </c>
      <c r="B207" s="44" t="n"/>
      <c r="C207" s="44" t="inlineStr">
        <is>
          <t>MI-BCH-25</t>
        </is>
      </c>
      <c r="D207" s="45" t="n">
        <v>1680</v>
      </c>
      <c r="E207" s="44" t="n">
        <v>250</v>
      </c>
      <c r="F207" s="44" t="n">
        <v>55</v>
      </c>
      <c r="G207" s="45" t="n">
        <v>9206000</v>
      </c>
      <c r="H207" s="115" t="n">
        <v>0.18</v>
      </c>
      <c r="I207" s="44" t="n"/>
      <c r="J207" s="113" t="n"/>
      <c r="K207" s="44" t="n">
        <v>100</v>
      </c>
      <c r="L207" s="48">
        <f>K208+J208+I208+F208+E208+D208</f>
        <v/>
      </c>
      <c r="M207" s="44" t="n"/>
      <c r="N207" s="49" t="n"/>
      <c r="O207" s="49" t="n"/>
      <c r="P207" s="49" t="n"/>
      <c r="Q207" s="49" t="n"/>
      <c r="R207" s="49" t="n"/>
      <c r="S207" s="49" t="n"/>
      <c r="T207" s="50" t="n"/>
      <c r="U207" s="44" t="n"/>
      <c r="V207" s="44">
        <f>AC208*5%</f>
        <v/>
      </c>
      <c r="W207" s="44" t="n"/>
      <c r="X207" s="44" t="n"/>
      <c r="Y207" s="44" t="n"/>
      <c r="Z207" s="50" t="n"/>
      <c r="AA207" s="51" t="n"/>
      <c r="AB207" s="49" t="n"/>
      <c r="AC207" s="44" t="n"/>
      <c r="AD207" s="49" t="n"/>
      <c r="AE207" s="49" t="n"/>
      <c r="AF207" s="113" t="n">
        <v>4950</v>
      </c>
      <c r="AG207" s="116">
        <f>((AF208-L208)/L208)*100</f>
        <v/>
      </c>
      <c r="AH207" s="54" t="n"/>
      <c r="AI207" s="54" t="n"/>
      <c r="AJ207" s="116" t="n">
        <v>3950</v>
      </c>
      <c r="AK207" s="55">
        <f>(AJ208-L208)/L208*100</f>
        <v/>
      </c>
      <c r="AL207" s="55" t="n"/>
      <c r="AM207" s="55" t="n"/>
      <c r="AN207" s="55" t="n"/>
      <c r="AO207" s="56" t="n"/>
      <c r="AP207" s="55" t="n"/>
      <c r="AQ207" s="55" t="n"/>
      <c r="AR207" s="57" t="n"/>
      <c r="AS207" s="57" t="n"/>
      <c r="AT207" s="58" t="n"/>
      <c r="AU207" s="58" t="n"/>
      <c r="AV207" s="58" t="n"/>
      <c r="AW207" s="58" t="n"/>
      <c r="AX207" s="113" t="n"/>
      <c r="AY207" s="113" t="n"/>
    </row>
    <row r="208">
      <c r="A208" s="2" t="inlineStr">
        <is>
          <t>Asalato/Aslatau or Kashaka Shaker</t>
        </is>
      </c>
      <c r="B208" s="2" t="inlineStr">
        <is>
          <t>Plain / Single</t>
        </is>
      </c>
      <c r="C208" s="2" t="inlineStr">
        <is>
          <t>MI-AS</t>
        </is>
      </c>
      <c r="D208" s="231" t="n">
        <v>550</v>
      </c>
      <c r="E208" s="2" t="n">
        <v>80</v>
      </c>
      <c r="F208" s="2" t="n">
        <v>40</v>
      </c>
      <c r="G208" s="118" t="n">
        <v>44201900</v>
      </c>
      <c r="H208" s="255" t="n">
        <v>0.05</v>
      </c>
      <c r="I208" s="2">
        <f>D209*H209</f>
        <v/>
      </c>
      <c r="K208" s="118" t="n">
        <v>30</v>
      </c>
      <c r="L208" s="4">
        <f>K209+J209+I209+F209+E209+D209</f>
        <v/>
      </c>
      <c r="M208" s="2">
        <f>D209*1%</f>
        <v/>
      </c>
      <c r="N208" s="12">
        <f>L209*8%</f>
        <v/>
      </c>
      <c r="O208" s="12">
        <f>L209*10%</f>
        <v/>
      </c>
      <c r="P208" s="12">
        <f>L209*5%</f>
        <v/>
      </c>
      <c r="Q208" s="12">
        <f>L209*2%</f>
        <v/>
      </c>
      <c r="R208" s="12">
        <f>AC209*0.5%</f>
        <v/>
      </c>
      <c r="S208" s="12">
        <f>L209*1%</f>
        <v/>
      </c>
      <c r="T208" s="60">
        <f>S209+Q209+P209+O209+N209+M209</f>
        <v/>
      </c>
      <c r="U208" s="2">
        <f>AC209*1%</f>
        <v/>
      </c>
      <c r="V208" s="44">
        <f>AC209*5%</f>
        <v/>
      </c>
      <c r="W208" s="2">
        <f>AC209*1%</f>
        <v/>
      </c>
      <c r="X208" s="2">
        <f>AC209*8%</f>
        <v/>
      </c>
      <c r="Y208" s="2">
        <f>U209+V209+W209+X209</f>
        <v/>
      </c>
      <c r="Z208" s="60">
        <f>Y209+T209+L209</f>
        <v/>
      </c>
      <c r="AA208" s="11">
        <f>Z209*20%</f>
        <v/>
      </c>
      <c r="AB208" s="12">
        <f>Z209+AA209</f>
        <v/>
      </c>
      <c r="AC208" s="2">
        <f>D209*2.1</f>
        <v/>
      </c>
      <c r="AD208" s="12">
        <f>AB209-AC209</f>
        <v/>
      </c>
      <c r="AE208" s="12">
        <f>AD209/AB209*100</f>
        <v/>
      </c>
      <c r="AF208" s="92" t="n">
        <v>1345</v>
      </c>
      <c r="AG208" s="62">
        <f>((AF209-L209)/L209)*100</f>
        <v/>
      </c>
      <c r="AH208" s="106">
        <f>AJ209-AF209</f>
        <v/>
      </c>
      <c r="AI208" s="65" t="n">
        <v>1450</v>
      </c>
      <c r="AJ208" s="92" t="n">
        <v>1345</v>
      </c>
      <c r="AK208" s="66">
        <f>(AJ209-L209)/L209*100</f>
        <v/>
      </c>
      <c r="AL208" s="66" t="n"/>
      <c r="AM208" s="14">
        <f>(AH209/AJ209)*100</f>
        <v/>
      </c>
      <c r="AN208" s="67">
        <f>AK209-AG209</f>
        <v/>
      </c>
      <c r="AO208" s="68">
        <f>AJ209/L209</f>
        <v/>
      </c>
      <c r="AP208" s="69">
        <f>(AJ209-AB209)/100</f>
        <v/>
      </c>
      <c r="AQ208" s="70">
        <f>(AJ209-AC209)/100</f>
        <v/>
      </c>
      <c r="AR208" s="71">
        <f>AI209/94</f>
        <v/>
      </c>
      <c r="AS208" s="71">
        <f>AJ209/94</f>
        <v/>
      </c>
      <c r="AT208" s="72">
        <f>AI209/24</f>
        <v/>
      </c>
      <c r="AU208" s="72">
        <f>AJ209/24</f>
        <v/>
      </c>
      <c r="AV208" s="73">
        <f>AI209/125</f>
        <v/>
      </c>
      <c r="AW208" s="73">
        <f>AJ209/125</f>
        <v/>
      </c>
    </row>
    <row r="209" ht="15" customHeight="1" s="258">
      <c r="A209" s="2" t="n"/>
      <c r="B209" s="2" t="inlineStr">
        <is>
          <t>Pair / Plain</t>
        </is>
      </c>
      <c r="C209" s="2" t="inlineStr">
        <is>
          <t>MI-AS-2</t>
        </is>
      </c>
      <c r="D209" s="231" t="n">
        <v>1100</v>
      </c>
      <c r="E209" s="2" t="n">
        <v>80</v>
      </c>
      <c r="F209" s="2" t="n">
        <v>40</v>
      </c>
      <c r="G209" s="118" t="n">
        <v>44201900</v>
      </c>
      <c r="H209" s="255" t="n">
        <v>0.05</v>
      </c>
      <c r="I209" s="2">
        <f>D210*H210</f>
        <v/>
      </c>
      <c r="K209" s="118" t="n">
        <v>60</v>
      </c>
      <c r="L209" s="4">
        <f>K210+J210+I210+F210+E210+D210</f>
        <v/>
      </c>
      <c r="M209" s="2">
        <f>D210*1%</f>
        <v/>
      </c>
      <c r="N209" s="12">
        <f>L210*8%</f>
        <v/>
      </c>
      <c r="O209" s="12">
        <f>L210*10%</f>
        <v/>
      </c>
      <c r="P209" s="12">
        <f>L210*5%</f>
        <v/>
      </c>
      <c r="Q209" s="12">
        <f>L210*2%</f>
        <v/>
      </c>
      <c r="R209" s="12">
        <f>AC210*0.5%</f>
        <v/>
      </c>
      <c r="S209" s="12">
        <f>L210*1%</f>
        <v/>
      </c>
      <c r="T209" s="60">
        <f>S210+Q210+P210+O210+N210+M210</f>
        <v/>
      </c>
      <c r="U209" s="2">
        <f>AC210*1%</f>
        <v/>
      </c>
      <c r="V209" s="44">
        <f>AC210*5%</f>
        <v/>
      </c>
      <c r="W209" s="2">
        <f>AC210*1%</f>
        <v/>
      </c>
      <c r="X209" s="2">
        <f>AC210*8%</f>
        <v/>
      </c>
      <c r="Y209" s="2">
        <f>U210+V210+W210+X210</f>
        <v/>
      </c>
      <c r="Z209" s="60">
        <f>Y210+T210+L210</f>
        <v/>
      </c>
      <c r="AA209" s="11">
        <f>Z210*20%</f>
        <v/>
      </c>
      <c r="AB209" s="12">
        <f>Z210+AA210</f>
        <v/>
      </c>
      <c r="AC209" s="2">
        <f>D210*2.1</f>
        <v/>
      </c>
      <c r="AD209" s="12">
        <f>AB210-AC210</f>
        <v/>
      </c>
      <c r="AE209" s="12">
        <f>AD210/AB210*100</f>
        <v/>
      </c>
      <c r="AF209" s="92" t="n">
        <v>2450</v>
      </c>
      <c r="AG209" s="62">
        <f>((AF210-L210)/L210)*100</f>
        <v/>
      </c>
      <c r="AH209" s="106">
        <f>AJ210-AF210</f>
        <v/>
      </c>
      <c r="AI209" s="65" t="n">
        <v>2950</v>
      </c>
      <c r="AJ209" s="92" t="n">
        <v>2450</v>
      </c>
      <c r="AK209" s="66">
        <f>(AJ210-L210)/L210*100</f>
        <v/>
      </c>
      <c r="AL209" s="66" t="n"/>
      <c r="AM209" s="14">
        <f>(AH210/AJ210)*100</f>
        <v/>
      </c>
      <c r="AN209" s="67">
        <f>AK210-AG210</f>
        <v/>
      </c>
      <c r="AO209" s="68">
        <f>AJ210/L210</f>
        <v/>
      </c>
      <c r="AP209" s="69">
        <f>(AJ210-AB210)/100</f>
        <v/>
      </c>
      <c r="AQ209" s="70">
        <f>(AJ210-AC210)/100</f>
        <v/>
      </c>
      <c r="AR209" s="71">
        <f>AI210/94</f>
        <v/>
      </c>
      <c r="AS209" s="71">
        <f>AJ210/94</f>
        <v/>
      </c>
      <c r="AT209" s="72">
        <f>AI210/24</f>
        <v/>
      </c>
      <c r="AU209" s="72">
        <f>AJ210/24</f>
        <v/>
      </c>
      <c r="AV209" s="73">
        <f>AI210/125</f>
        <v/>
      </c>
      <c r="AW209" s="73">
        <f>AJ210/125</f>
        <v/>
      </c>
    </row>
    <row r="210" ht="15.75" customHeight="1" s="258">
      <c r="A210" s="2" t="n"/>
      <c r="B210" s="2" t="inlineStr">
        <is>
          <t>Painted / Single</t>
        </is>
      </c>
      <c r="C210" s="2" t="inlineStr">
        <is>
          <t>MI-AS-P</t>
        </is>
      </c>
      <c r="D210" s="231" t="n">
        <v>650</v>
      </c>
      <c r="E210" s="2" t="n">
        <v>80</v>
      </c>
      <c r="F210" s="2" t="n">
        <v>40</v>
      </c>
      <c r="G210" s="118" t="n">
        <v>44201900</v>
      </c>
      <c r="H210" s="255" t="n">
        <v>0.05</v>
      </c>
      <c r="I210" s="2">
        <f>D211*H211</f>
        <v/>
      </c>
      <c r="K210" s="118" t="n">
        <v>30</v>
      </c>
      <c r="L210" s="4">
        <f>K211+J211+I211+F211+E211+D211</f>
        <v/>
      </c>
      <c r="M210" s="2">
        <f>D211*1%</f>
        <v/>
      </c>
      <c r="N210" s="12">
        <f>L211*8%</f>
        <v/>
      </c>
      <c r="O210" s="12">
        <f>L211*10%</f>
        <v/>
      </c>
      <c r="P210" s="12">
        <f>L211*5%</f>
        <v/>
      </c>
      <c r="Q210" s="12">
        <f>L211*2%</f>
        <v/>
      </c>
      <c r="R210" s="12">
        <f>AC211*0.5%</f>
        <v/>
      </c>
      <c r="S210" s="12">
        <f>L211*1%</f>
        <v/>
      </c>
      <c r="T210" s="60">
        <f>S211+Q211+P211+O211+N211+M211</f>
        <v/>
      </c>
      <c r="U210" s="2">
        <f>AC211*1%</f>
        <v/>
      </c>
      <c r="V210" s="44">
        <f>AC211*5%</f>
        <v/>
      </c>
      <c r="W210" s="2">
        <f>AC211*1%</f>
        <v/>
      </c>
      <c r="X210" s="2">
        <f>AC211*8%</f>
        <v/>
      </c>
      <c r="Y210" s="2">
        <f>U211+V211+W211+X211</f>
        <v/>
      </c>
      <c r="Z210" s="60">
        <f>Y211+T211+L211</f>
        <v/>
      </c>
      <c r="AA210" s="11">
        <f>Z211*20%</f>
        <v/>
      </c>
      <c r="AB210" s="12">
        <f>Z211+AA211</f>
        <v/>
      </c>
      <c r="AC210" s="2">
        <f>D211*2.1</f>
        <v/>
      </c>
      <c r="AD210" s="12">
        <f>AB211-AC211</f>
        <v/>
      </c>
      <c r="AE210" s="12">
        <f>AD211/AB211*100</f>
        <v/>
      </c>
      <c r="AF210" s="92" t="n">
        <v>1555</v>
      </c>
      <c r="AG210" s="62">
        <f>((AF211-L211)/L211)*100</f>
        <v/>
      </c>
      <c r="AH210" s="106">
        <f>AJ211-AF211</f>
        <v/>
      </c>
      <c r="AI210" s="65" t="n">
        <v>1690</v>
      </c>
      <c r="AJ210" s="92" t="n">
        <v>1555</v>
      </c>
      <c r="AK210" s="66">
        <f>(AJ211-L211)/L211*100</f>
        <v/>
      </c>
      <c r="AL210" s="66" t="n"/>
      <c r="AM210" s="14">
        <f>(AH211/AJ211)*100</f>
        <v/>
      </c>
      <c r="AN210" s="67">
        <f>AK211-AG211</f>
        <v/>
      </c>
      <c r="AO210" s="68">
        <f>AJ211/L211</f>
        <v/>
      </c>
      <c r="AP210" s="69">
        <f>(AJ211-AB211)/100</f>
        <v/>
      </c>
      <c r="AQ210" s="70">
        <f>(AJ211-AC211)/100</f>
        <v/>
      </c>
      <c r="AR210" s="71">
        <f>AI211/94</f>
        <v/>
      </c>
      <c r="AS210" s="71">
        <f>AJ211/94</f>
        <v/>
      </c>
      <c r="AT210" s="72">
        <f>AI211/24</f>
        <v/>
      </c>
      <c r="AU210" s="72">
        <f>AJ211/24</f>
        <v/>
      </c>
      <c r="AV210" s="73">
        <f>AI211/125</f>
        <v/>
      </c>
      <c r="AW210" s="73">
        <f>AJ211/125</f>
        <v/>
      </c>
    </row>
    <row r="211" ht="15.75" customHeight="1" s="258">
      <c r="A211" s="2" t="n"/>
      <c r="B211" s="2" t="inlineStr">
        <is>
          <t>Pair / Painted</t>
        </is>
      </c>
      <c r="C211" s="2" t="inlineStr">
        <is>
          <t>MI-AS-P-2</t>
        </is>
      </c>
      <c r="D211" s="231" t="n">
        <v>1300</v>
      </c>
      <c r="E211" s="2" t="n">
        <v>80</v>
      </c>
      <c r="F211" s="2" t="n">
        <v>40</v>
      </c>
      <c r="G211" s="118" t="n">
        <v>44201900</v>
      </c>
      <c r="H211" s="255" t="n">
        <v>0.05</v>
      </c>
      <c r="I211" s="2">
        <f>D212*H212</f>
        <v/>
      </c>
      <c r="K211" s="118" t="n">
        <v>60</v>
      </c>
      <c r="L211" s="4">
        <f>K212+J212+I212+F212+E212+D212</f>
        <v/>
      </c>
      <c r="M211" s="2">
        <f>D212*1%</f>
        <v/>
      </c>
      <c r="N211" s="12">
        <f>L212*8%</f>
        <v/>
      </c>
      <c r="O211" s="12">
        <f>L212*10%</f>
        <v/>
      </c>
      <c r="P211" s="12">
        <f>L212*5%</f>
        <v/>
      </c>
      <c r="Q211" s="12">
        <f>L212*2%</f>
        <v/>
      </c>
      <c r="R211" s="12">
        <f>AC212*0.5%</f>
        <v/>
      </c>
      <c r="S211" s="12">
        <f>L212*1%</f>
        <v/>
      </c>
      <c r="T211" s="60">
        <f>S212+Q212+P212+O212+N212+M212</f>
        <v/>
      </c>
      <c r="U211" s="2">
        <f>AC212*1%</f>
        <v/>
      </c>
      <c r="V211" s="44">
        <f>AC212*5%</f>
        <v/>
      </c>
      <c r="W211" s="2">
        <f>AC212*1%</f>
        <v/>
      </c>
      <c r="X211" s="2">
        <f>AC212*8%</f>
        <v/>
      </c>
      <c r="Y211" s="2">
        <f>U212+V212+W212+X212</f>
        <v/>
      </c>
      <c r="Z211" s="60">
        <f>Y212+T212+L212</f>
        <v/>
      </c>
      <c r="AA211" s="11">
        <f>Z212*20%</f>
        <v/>
      </c>
      <c r="AB211" s="12">
        <f>Z212+AA212</f>
        <v/>
      </c>
      <c r="AC211" s="2">
        <f>D212*2.1</f>
        <v/>
      </c>
      <c r="AD211" s="12">
        <f>AB212-AC212</f>
        <v/>
      </c>
      <c r="AE211" s="12">
        <f>AD212/AB212*100</f>
        <v/>
      </c>
      <c r="AF211" s="92" t="n">
        <v>2700</v>
      </c>
      <c r="AG211" s="62">
        <f>((AF212-L212)/L212)*100</f>
        <v/>
      </c>
      <c r="AH211" s="106">
        <f>AJ212-AF212</f>
        <v/>
      </c>
      <c r="AI211" s="65" t="n">
        <v>2990</v>
      </c>
      <c r="AJ211" s="92" t="n">
        <v>2700</v>
      </c>
      <c r="AK211" s="66">
        <f>(AJ212-L212)/L212*100</f>
        <v/>
      </c>
      <c r="AL211" s="66" t="n"/>
      <c r="AM211" s="14">
        <f>(AH212/AJ212)*100</f>
        <v/>
      </c>
      <c r="AN211" s="67">
        <f>AK212-AG212</f>
        <v/>
      </c>
      <c r="AO211" s="68">
        <f>AJ212/L212</f>
        <v/>
      </c>
      <c r="AP211" s="69">
        <f>(AJ212-AB212)/100</f>
        <v/>
      </c>
      <c r="AQ211" s="70">
        <f>(AJ212-AC212)/100</f>
        <v/>
      </c>
      <c r="AR211" s="71">
        <f>AI212/94</f>
        <v/>
      </c>
      <c r="AS211" s="71">
        <f>AJ212/94</f>
        <v/>
      </c>
      <c r="AT211" s="72">
        <f>AI212/24</f>
        <v/>
      </c>
      <c r="AU211" s="72">
        <f>AJ212/24</f>
        <v/>
      </c>
      <c r="AV211" s="73">
        <f>AI212/125</f>
        <v/>
      </c>
      <c r="AW211" s="73">
        <f>AJ212/125</f>
        <v/>
      </c>
    </row>
    <row r="212" ht="15.75" customHeight="1" s="258">
      <c r="A212" s="2" t="inlineStr">
        <is>
          <t>Bamboo Castanet</t>
        </is>
      </c>
      <c r="B212" s="2" t="inlineStr">
        <is>
          <t>Standard</t>
        </is>
      </c>
      <c r="C212" s="2" t="inlineStr">
        <is>
          <t>MI-CN-B</t>
        </is>
      </c>
      <c r="D212" s="121" t="n">
        <v>390</v>
      </c>
      <c r="F212" s="2" t="n">
        <v>40</v>
      </c>
      <c r="G212" s="118" t="n">
        <v>46021100</v>
      </c>
      <c r="H212" s="255" t="n">
        <v>0.05</v>
      </c>
      <c r="I212" s="2">
        <f>D213*H213</f>
        <v/>
      </c>
      <c r="K212" s="2">
        <f>D213*4%</f>
        <v/>
      </c>
      <c r="L212" s="4">
        <f>K213+J213+I213+F213+E213+D213</f>
        <v/>
      </c>
      <c r="M212" s="2">
        <f>D213*1%</f>
        <v/>
      </c>
      <c r="N212" s="12">
        <f>L213*8%</f>
        <v/>
      </c>
      <c r="O212" s="12">
        <f>L213*10%</f>
        <v/>
      </c>
      <c r="P212" s="12">
        <f>L213*5%</f>
        <v/>
      </c>
      <c r="Q212" s="12">
        <f>L213*2%</f>
        <v/>
      </c>
      <c r="R212" s="12">
        <f>AC213*0.5%</f>
        <v/>
      </c>
      <c r="S212" s="12">
        <f>L213*1%</f>
        <v/>
      </c>
      <c r="T212" s="60">
        <f>S213+Q213+P213+O213+N213+M213</f>
        <v/>
      </c>
      <c r="U212" s="2">
        <f>AC213*1%</f>
        <v/>
      </c>
      <c r="V212" s="44">
        <f>AC213*5%</f>
        <v/>
      </c>
      <c r="W212" s="2">
        <f>AC213*1%</f>
        <v/>
      </c>
      <c r="X212" s="2">
        <f>AC213*8%</f>
        <v/>
      </c>
      <c r="Y212" s="2">
        <f>U213+V213+W213+X213</f>
        <v/>
      </c>
      <c r="Z212" s="60">
        <f>Y213+T213+L213</f>
        <v/>
      </c>
      <c r="AA212" s="11">
        <f>Z213*20%</f>
        <v/>
      </c>
      <c r="AB212" s="12">
        <f>Z213+AA213</f>
        <v/>
      </c>
      <c r="AC212" s="2">
        <f>D213*2.1</f>
        <v/>
      </c>
      <c r="AD212" s="12">
        <f>AB213-AC213</f>
        <v/>
      </c>
      <c r="AE212" s="12">
        <f>AD213/AB213*100</f>
        <v/>
      </c>
      <c r="AF212" s="92" t="n">
        <v>745</v>
      </c>
      <c r="AG212" s="62">
        <f>((AF213-L213)/L213)*100</f>
        <v/>
      </c>
      <c r="AH212" s="106">
        <f>AJ213-AF213</f>
        <v/>
      </c>
      <c r="AI212" s="65">
        <f>AB213</f>
        <v/>
      </c>
      <c r="AJ212" s="65">
        <f>AI213-(AI213*7%)</f>
        <v/>
      </c>
      <c r="AK212" s="66">
        <f>(AJ213-L213)/L213*100</f>
        <v/>
      </c>
      <c r="AL212" s="66" t="n"/>
      <c r="AM212" s="14">
        <f>(AH213/AJ213)*100</f>
        <v/>
      </c>
      <c r="AN212" s="67">
        <f>AK213-AG213</f>
        <v/>
      </c>
      <c r="AO212" s="68">
        <f>AJ213/L213</f>
        <v/>
      </c>
      <c r="AP212" s="69">
        <f>(AJ213-AB213)/100</f>
        <v/>
      </c>
      <c r="AQ212" s="70">
        <f>(AJ213-AC213)/100</f>
        <v/>
      </c>
      <c r="AR212" s="71">
        <f>AI213/94</f>
        <v/>
      </c>
      <c r="AS212" s="71">
        <f>AJ213/94</f>
        <v/>
      </c>
      <c r="AT212" s="72">
        <f>AI213/24</f>
        <v/>
      </c>
      <c r="AU212" s="72">
        <f>AJ213/24</f>
        <v/>
      </c>
      <c r="AV212" s="73">
        <f>AI213/125</f>
        <v/>
      </c>
      <c r="AW212" s="73">
        <f>AJ213/125</f>
        <v/>
      </c>
    </row>
    <row r="213" ht="15.75" customHeight="1" s="258">
      <c r="A213" s="2" t="inlineStr">
        <is>
          <t>Bamboo Rainstick</t>
        </is>
      </c>
      <c r="B213" s="2" t="inlineStr">
        <is>
          <t>Standard</t>
        </is>
      </c>
      <c r="C213" s="2" t="inlineStr">
        <is>
          <t>MI-RS-N</t>
        </is>
      </c>
      <c r="D213" s="118" t="n">
        <v>1450</v>
      </c>
      <c r="E213" s="2" t="n">
        <v>150</v>
      </c>
      <c r="F213" s="2" t="n">
        <v>40</v>
      </c>
      <c r="G213" s="118" t="n">
        <v>46021100</v>
      </c>
      <c r="H213" s="255" t="n">
        <v>0.05</v>
      </c>
      <c r="I213" s="2">
        <f>D214*H214</f>
        <v/>
      </c>
      <c r="K213" s="2">
        <f>D214*4%</f>
        <v/>
      </c>
      <c r="L213" s="4">
        <f>K214+J214+I214+F214+E214+D214</f>
        <v/>
      </c>
      <c r="M213" s="2">
        <f>D214*1%</f>
        <v/>
      </c>
      <c r="N213" s="12">
        <f>L214*8%</f>
        <v/>
      </c>
      <c r="O213" s="12">
        <f>L214*10%</f>
        <v/>
      </c>
      <c r="P213" s="12">
        <f>L214*5%</f>
        <v/>
      </c>
      <c r="Q213" s="12">
        <f>L214*2%</f>
        <v/>
      </c>
      <c r="R213" s="12">
        <f>AC214*0.5%</f>
        <v/>
      </c>
      <c r="S213" s="12">
        <f>L214*1%</f>
        <v/>
      </c>
      <c r="T213" s="60">
        <f>S214+Q214+P214+O214+N214+M214</f>
        <v/>
      </c>
      <c r="U213" s="2">
        <f>AC214*1%</f>
        <v/>
      </c>
      <c r="V213" s="44">
        <f>AC214*5%</f>
        <v/>
      </c>
      <c r="W213" s="2">
        <f>AC214*1%</f>
        <v/>
      </c>
      <c r="X213" s="2">
        <f>AC214*8%</f>
        <v/>
      </c>
      <c r="Y213" s="2">
        <f>U214+V214+W214+X214</f>
        <v/>
      </c>
      <c r="Z213" s="60">
        <f>Y214+T214+L214</f>
        <v/>
      </c>
      <c r="AA213" s="11">
        <f>Z214*20%</f>
        <v/>
      </c>
      <c r="AB213" s="12">
        <f>Z214+AA214</f>
        <v/>
      </c>
      <c r="AC213" s="2">
        <f>D214*2.1</f>
        <v/>
      </c>
      <c r="AD213" s="12">
        <f>AB214-AC214</f>
        <v/>
      </c>
      <c r="AE213" s="12">
        <f>AD214/AB214*100</f>
        <v/>
      </c>
      <c r="AF213" s="92" t="n">
        <v>2950</v>
      </c>
      <c r="AG213" s="62">
        <f>((AF214-L214)/L214)*100</f>
        <v/>
      </c>
      <c r="AH213" s="106">
        <f>AJ214-AF214</f>
        <v/>
      </c>
      <c r="AI213" s="65">
        <f>AB214</f>
        <v/>
      </c>
      <c r="AJ213" s="65" t="n">
        <v>2990</v>
      </c>
      <c r="AK213" s="66">
        <f>(AJ214-L214)/L214*100</f>
        <v/>
      </c>
      <c r="AL213" s="66" t="n"/>
      <c r="AM213" s="14">
        <f>(AH214/AJ214)*100</f>
        <v/>
      </c>
      <c r="AN213" s="67">
        <f>AK214-AG214</f>
        <v/>
      </c>
      <c r="AO213" s="68">
        <f>AJ214/L214</f>
        <v/>
      </c>
      <c r="AP213" s="69">
        <f>(AJ214-AB214)/100</f>
        <v/>
      </c>
      <c r="AQ213" s="70">
        <f>(AJ214-AC214)/100</f>
        <v/>
      </c>
      <c r="AR213" s="71">
        <f>AI214/94</f>
        <v/>
      </c>
      <c r="AS213" s="71">
        <f>AJ214/94</f>
        <v/>
      </c>
      <c r="AT213" s="72">
        <f>AI214/24</f>
        <v/>
      </c>
      <c r="AU213" s="72">
        <f>AJ214/24</f>
        <v/>
      </c>
      <c r="AV213" s="73">
        <f>AI214/125</f>
        <v/>
      </c>
      <c r="AW213" s="73">
        <f>AJ214/125</f>
        <v/>
      </c>
    </row>
    <row r="214" ht="15.75" customHeight="1" s="258">
      <c r="A214" s="44" t="inlineStr">
        <is>
          <t>Belly Bowls</t>
        </is>
      </c>
      <c r="B214" s="44" t="inlineStr">
        <is>
          <t>Standard</t>
        </is>
      </c>
      <c r="C214" s="44" t="inlineStr">
        <is>
          <t>MI-SB-BY</t>
        </is>
      </c>
      <c r="D214" s="114" t="n">
        <v>6000</v>
      </c>
      <c r="E214" s="113" t="n">
        <v>500</v>
      </c>
      <c r="F214" s="44" t="n">
        <v>145</v>
      </c>
      <c r="G214" s="45" t="n">
        <v>83061000</v>
      </c>
      <c r="H214" s="115" t="n">
        <v>0.05</v>
      </c>
      <c r="I214" s="44">
        <f>D215*H215</f>
        <v/>
      </c>
      <c r="J214" s="113" t="n"/>
      <c r="K214" s="44">
        <f>D215*4%</f>
        <v/>
      </c>
      <c r="L214" s="48">
        <f>K215+J215+I215+F215+E215+D215</f>
        <v/>
      </c>
      <c r="M214" s="44">
        <f>D215*1%</f>
        <v/>
      </c>
      <c r="N214" s="49">
        <f>L215*8%</f>
        <v/>
      </c>
      <c r="O214" s="49">
        <f>L215*10%</f>
        <v/>
      </c>
      <c r="P214" s="49">
        <f>L215*5%</f>
        <v/>
      </c>
      <c r="Q214" s="49">
        <f>L215*2%</f>
        <v/>
      </c>
      <c r="R214" s="49">
        <f>AC215*0.5%</f>
        <v/>
      </c>
      <c r="S214" s="49">
        <f>L215*1%</f>
        <v/>
      </c>
      <c r="T214" s="50">
        <f>S215+Q215+P215+O215+N215+M215</f>
        <v/>
      </c>
      <c r="U214" s="44">
        <f>AC215*1%</f>
        <v/>
      </c>
      <c r="V214" s="44">
        <f>AC215*5%</f>
        <v/>
      </c>
      <c r="W214" s="44">
        <f>AC215*1%</f>
        <v/>
      </c>
      <c r="X214" s="44">
        <f>AC215*8%</f>
        <v/>
      </c>
      <c r="Y214" s="44">
        <f>U215+V215+W215+X215</f>
        <v/>
      </c>
      <c r="Z214" s="50">
        <f>Y215+T215+L215</f>
        <v/>
      </c>
      <c r="AA214" s="51">
        <f>Z215*20%</f>
        <v/>
      </c>
      <c r="AB214" s="49">
        <f>Z215+AA215</f>
        <v/>
      </c>
      <c r="AC214" s="44">
        <f>D215*2.1</f>
        <v/>
      </c>
      <c r="AD214" s="49">
        <f>AB215-AC215</f>
        <v/>
      </c>
      <c r="AE214" s="49">
        <f>AD215/AB215*100</f>
        <v/>
      </c>
      <c r="AF214" s="113" t="n">
        <v>9900</v>
      </c>
      <c r="AG214" s="116">
        <f>((AF215-L215)/L215)*100</f>
        <v/>
      </c>
      <c r="AH214" s="54">
        <f>AJ215-AF215</f>
        <v/>
      </c>
      <c r="AI214" s="54" t="n">
        <v>10990</v>
      </c>
      <c r="AJ214" s="54" t="n">
        <v>11450</v>
      </c>
      <c r="AK214" s="55">
        <f>(AJ215-L215)/L215*100</f>
        <v/>
      </c>
      <c r="AL214" s="55" t="n"/>
      <c r="AM214" s="55">
        <f>(AH215/AJ215)*100</f>
        <v/>
      </c>
      <c r="AN214" s="55">
        <f>AK215-AG215</f>
        <v/>
      </c>
      <c r="AO214" s="56">
        <f>AJ215/L215</f>
        <v/>
      </c>
      <c r="AP214" s="55">
        <f>(AJ215-AB215)/100</f>
        <v/>
      </c>
      <c r="AQ214" s="55">
        <f>(AJ215-AC215)/100</f>
        <v/>
      </c>
      <c r="AR214" s="57">
        <f>AI215/94</f>
        <v/>
      </c>
      <c r="AS214" s="57">
        <f>AJ215/94</f>
        <v/>
      </c>
      <c r="AT214" s="58">
        <f>AI215/24</f>
        <v/>
      </c>
      <c r="AU214" s="58">
        <f>AJ215/24</f>
        <v/>
      </c>
      <c r="AV214" s="58">
        <f>AI215/125</f>
        <v/>
      </c>
      <c r="AW214" s="58">
        <f>AJ215/125</f>
        <v/>
      </c>
      <c r="AX214" s="113" t="n"/>
      <c r="AY214" s="113" t="n"/>
    </row>
    <row r="215" ht="15.75" customHeight="1" s="258">
      <c r="A215" s="2" t="inlineStr">
        <is>
          <t>Bendo Chimes</t>
        </is>
      </c>
      <c r="B215" s="2" t="inlineStr">
        <is>
          <t>Standard</t>
        </is>
      </c>
      <c r="C215" s="2" t="inlineStr">
        <is>
          <t>MI-CH-BE</t>
        </is>
      </c>
      <c r="D215" s="118" t="n">
        <v>2500</v>
      </c>
      <c r="E215" s="2" t="n">
        <v>200</v>
      </c>
      <c r="F215" s="2" t="n">
        <v>85</v>
      </c>
      <c r="G215" s="118" t="n">
        <v>44201900</v>
      </c>
      <c r="H215" s="255" t="n">
        <v>0.05</v>
      </c>
      <c r="I215" s="2">
        <f>D216*H216</f>
        <v/>
      </c>
      <c r="K215" s="2">
        <f>D216*4%</f>
        <v/>
      </c>
      <c r="L215" s="4">
        <f>K216+J216+I216+F216+E216+D216</f>
        <v/>
      </c>
      <c r="M215" s="2">
        <f>D216*1%</f>
        <v/>
      </c>
      <c r="N215" s="12">
        <f>L216*8%</f>
        <v/>
      </c>
      <c r="O215" s="12">
        <f>L216*10%</f>
        <v/>
      </c>
      <c r="P215" s="12">
        <f>L216*5%</f>
        <v/>
      </c>
      <c r="Q215" s="12">
        <f>L216*2%</f>
        <v/>
      </c>
      <c r="R215" s="12">
        <f>AC216*0.5%</f>
        <v/>
      </c>
      <c r="S215" s="12">
        <f>L216*1%</f>
        <v/>
      </c>
      <c r="T215" s="60">
        <f>S216+Q216+P216+O216+N216+M216</f>
        <v/>
      </c>
      <c r="U215" s="2">
        <f>AC216*1%</f>
        <v/>
      </c>
      <c r="V215" s="44">
        <f>AC216*5%</f>
        <v/>
      </c>
      <c r="W215" s="2">
        <f>AC216*1%</f>
        <v/>
      </c>
      <c r="X215" s="2">
        <f>AC216*8%</f>
        <v/>
      </c>
      <c r="Y215" s="2">
        <f>U216+V216+W216+X216</f>
        <v/>
      </c>
      <c r="Z215" s="60">
        <f>Y216+T216+L216</f>
        <v/>
      </c>
      <c r="AA215" s="11">
        <f>Z216*20%</f>
        <v/>
      </c>
      <c r="AB215" s="12">
        <f>Z216+AA216</f>
        <v/>
      </c>
      <c r="AC215" s="2">
        <f>D216*2.1</f>
        <v/>
      </c>
      <c r="AD215" s="12">
        <f>AB216-AC216</f>
        <v/>
      </c>
      <c r="AE215" s="12">
        <f>AD216/AB216*100</f>
        <v/>
      </c>
      <c r="AF215" s="92" t="n">
        <v>5950</v>
      </c>
      <c r="AG215" s="62">
        <f>((AF216-L216)/L216)*100</f>
        <v/>
      </c>
      <c r="AH215" s="106">
        <f>AJ216-AF216</f>
        <v/>
      </c>
      <c r="AI215" s="65" t="n">
        <v>6500</v>
      </c>
      <c r="AJ215" s="65" t="n">
        <v>5350</v>
      </c>
      <c r="AK215" s="66">
        <f>(AJ216-L216)/L216*100</f>
        <v/>
      </c>
      <c r="AL215" s="66" t="n"/>
      <c r="AM215" s="14">
        <f>(AH216/AJ216)*100</f>
        <v/>
      </c>
      <c r="AN215" s="67">
        <f>AK216-AG216</f>
        <v/>
      </c>
      <c r="AO215" s="68">
        <f>AJ216/L216</f>
        <v/>
      </c>
      <c r="AP215" s="69">
        <f>(AJ216-AB216)/100</f>
        <v/>
      </c>
      <c r="AQ215" s="70">
        <f>(AJ216-AC216)/100</f>
        <v/>
      </c>
      <c r="AR215" s="71">
        <f>AI216/94</f>
        <v/>
      </c>
      <c r="AS215" s="71">
        <f>AJ216/94</f>
        <v/>
      </c>
      <c r="AT215" s="72">
        <f>AI216/24</f>
        <v/>
      </c>
      <c r="AU215" s="72">
        <f>AJ216/24</f>
        <v/>
      </c>
      <c r="AV215" s="73">
        <f>AI216/125</f>
        <v/>
      </c>
      <c r="AW215" s="73">
        <f>AJ216/125</f>
        <v/>
      </c>
    </row>
    <row r="216" ht="15.75" customHeight="1" s="258">
      <c r="A216" s="2" t="inlineStr">
        <is>
          <t>Bendo Shaker</t>
        </is>
      </c>
      <c r="B216" s="2" t="inlineStr">
        <is>
          <t>Small</t>
        </is>
      </c>
      <c r="C216" s="2" t="inlineStr">
        <is>
          <t>MI-BR-S</t>
        </is>
      </c>
      <c r="D216" s="118" t="n">
        <v>550</v>
      </c>
      <c r="E216" s="2" t="n">
        <v>100</v>
      </c>
      <c r="F216" s="2" t="n">
        <v>65</v>
      </c>
      <c r="G216" s="118" t="n">
        <v>44201900</v>
      </c>
      <c r="H216" s="255" t="n">
        <v>0.05</v>
      </c>
      <c r="I216" s="2">
        <f>D217*H217</f>
        <v/>
      </c>
      <c r="K216" s="2" t="n">
        <v>40</v>
      </c>
      <c r="L216" s="4">
        <f>K217+J217+I217+F217+E217+D217</f>
        <v/>
      </c>
      <c r="M216" s="2">
        <f>D217*1%</f>
        <v/>
      </c>
      <c r="N216" s="12">
        <f>L217*8%</f>
        <v/>
      </c>
      <c r="O216" s="12">
        <f>L217*10%</f>
        <v/>
      </c>
      <c r="P216" s="12">
        <f>L217*5%</f>
        <v/>
      </c>
      <c r="Q216" s="12">
        <f>L217*2%</f>
        <v/>
      </c>
      <c r="R216" s="12">
        <f>AC217*0.5%</f>
        <v/>
      </c>
      <c r="S216" s="12">
        <f>L217*1%</f>
        <v/>
      </c>
      <c r="T216" s="60">
        <f>S217+Q217+P217+O217+N217+M217</f>
        <v/>
      </c>
      <c r="U216" s="2">
        <f>AC217*1%</f>
        <v/>
      </c>
      <c r="V216" s="44">
        <f>AC217*5%</f>
        <v/>
      </c>
      <c r="W216" s="2">
        <f>AC217*1%</f>
        <v/>
      </c>
      <c r="X216" s="2">
        <f>AC217*8%</f>
        <v/>
      </c>
      <c r="Y216" s="2">
        <f>U217+V217+W217+X217</f>
        <v/>
      </c>
      <c r="Z216" s="60">
        <f>Y217+T217+L217</f>
        <v/>
      </c>
      <c r="AA216" s="11">
        <f>Z217*20%</f>
        <v/>
      </c>
      <c r="AB216" s="12">
        <f>Z217+AA217</f>
        <v/>
      </c>
      <c r="AC216" s="2">
        <f>D217*2.1</f>
        <v/>
      </c>
      <c r="AD216" s="12">
        <f>AB217-AC217</f>
        <v/>
      </c>
      <c r="AE216" s="12">
        <f>AD217/AB217*100</f>
        <v/>
      </c>
      <c r="AF216" s="92" t="n">
        <v>1350</v>
      </c>
      <c r="AG216" s="62">
        <f>((AF217-L217)/L217)*100</f>
        <v/>
      </c>
      <c r="AH216" s="106">
        <f>AJ217-AF217</f>
        <v/>
      </c>
      <c r="AI216" s="65" t="n">
        <v>1490</v>
      </c>
      <c r="AJ216" s="65" t="n">
        <v>1345</v>
      </c>
      <c r="AK216" s="66">
        <f>(AJ217-L217)/L217*100</f>
        <v/>
      </c>
      <c r="AL216" s="66" t="n"/>
      <c r="AM216" s="14">
        <f>(AH217/AJ217)*100</f>
        <v/>
      </c>
      <c r="AN216" s="67">
        <f>AK217-AG217</f>
        <v/>
      </c>
      <c r="AO216" s="68">
        <f>AJ217/L217</f>
        <v/>
      </c>
      <c r="AP216" s="69">
        <f>(AJ217-AB217)/100</f>
        <v/>
      </c>
      <c r="AQ216" s="70">
        <f>(AJ217-AC217)/100</f>
        <v/>
      </c>
      <c r="AR216" s="71">
        <f>AI217/94</f>
        <v/>
      </c>
      <c r="AS216" s="71">
        <f>AJ217/94</f>
        <v/>
      </c>
      <c r="AT216" s="72">
        <f>AI217/24</f>
        <v/>
      </c>
      <c r="AU216" s="72">
        <f>AJ217/24</f>
        <v/>
      </c>
      <c r="AV216" s="73">
        <f>AI217/125</f>
        <v/>
      </c>
      <c r="AW216" s="73">
        <f>AJ217/125</f>
        <v/>
      </c>
    </row>
    <row r="217" ht="15" customHeight="1" s="258">
      <c r="A217" s="2" t="n"/>
      <c r="B217" s="2" t="inlineStr">
        <is>
          <t>Large</t>
        </is>
      </c>
      <c r="C217" s="2" t="inlineStr">
        <is>
          <t>MI-BR-L</t>
        </is>
      </c>
      <c r="D217" s="118" t="n">
        <v>900</v>
      </c>
      <c r="E217" s="2" t="n">
        <v>100</v>
      </c>
      <c r="F217" s="2" t="n">
        <v>65</v>
      </c>
      <c r="G217" s="118" t="n">
        <v>44201900</v>
      </c>
      <c r="H217" s="255" t="n">
        <v>0.05</v>
      </c>
      <c r="I217" s="2">
        <f>D218*H218</f>
        <v/>
      </c>
      <c r="K217" s="2" t="n">
        <v>40</v>
      </c>
      <c r="L217" s="4">
        <f>K218+J218+I218+F218+E218+D218</f>
        <v/>
      </c>
      <c r="M217" s="2">
        <f>D218*1%</f>
        <v/>
      </c>
      <c r="N217" s="12">
        <f>L218*8%</f>
        <v/>
      </c>
      <c r="O217" s="12">
        <f>L218*10%</f>
        <v/>
      </c>
      <c r="P217" s="12">
        <f>L218*5%</f>
        <v/>
      </c>
      <c r="Q217" s="12">
        <f>L218*2%</f>
        <v/>
      </c>
      <c r="R217" s="12">
        <f>AC218*0.5%</f>
        <v/>
      </c>
      <c r="S217" s="12">
        <f>L218*1%</f>
        <v/>
      </c>
      <c r="T217" s="60">
        <f>S218+Q218+P218+O218+N218+M218</f>
        <v/>
      </c>
      <c r="U217" s="2">
        <f>AC218*1%</f>
        <v/>
      </c>
      <c r="V217" s="44">
        <f>AC218*5%</f>
        <v/>
      </c>
      <c r="W217" s="2">
        <f>AC218*1%</f>
        <v/>
      </c>
      <c r="X217" s="2">
        <f>AC218*8%</f>
        <v/>
      </c>
      <c r="Y217" s="2">
        <f>U218+V218+W218+X218</f>
        <v/>
      </c>
      <c r="Z217" s="60">
        <f>Y218+T218+L218</f>
        <v/>
      </c>
      <c r="AA217" s="11">
        <f>Z218*20%</f>
        <v/>
      </c>
      <c r="AB217" s="12">
        <f>Z218+AA218</f>
        <v/>
      </c>
      <c r="AC217" s="2">
        <f>D218*2.1</f>
        <v/>
      </c>
      <c r="AD217" s="12">
        <f>AB218-AC218</f>
        <v/>
      </c>
      <c r="AE217" s="12">
        <f>AD218/AB218*100</f>
        <v/>
      </c>
      <c r="AF217" s="92" t="n">
        <v>1850</v>
      </c>
      <c r="AG217" s="62">
        <f>((AF218-L218)/L218)*100</f>
        <v/>
      </c>
      <c r="AH217" s="106">
        <f>AJ218-AF218</f>
        <v/>
      </c>
      <c r="AI217" s="65">
        <f>AB218</f>
        <v/>
      </c>
      <c r="AJ217" s="65" t="n">
        <v>1995</v>
      </c>
      <c r="AK217" s="66">
        <f>(AJ218-L218)/L218*100</f>
        <v/>
      </c>
      <c r="AL217" s="66" t="n"/>
      <c r="AM217" s="14">
        <f>(AH218/AJ218)*100</f>
        <v/>
      </c>
      <c r="AN217" s="67">
        <f>AK218-AG218</f>
        <v/>
      </c>
      <c r="AO217" s="68">
        <f>AJ218/L218</f>
        <v/>
      </c>
      <c r="AP217" s="69">
        <f>(AJ218-AB218)/100</f>
        <v/>
      </c>
      <c r="AQ217" s="70">
        <f>(AJ218-AC218)/100</f>
        <v/>
      </c>
      <c r="AR217" s="71">
        <f>AI218/94</f>
        <v/>
      </c>
      <c r="AS217" s="71">
        <f>AJ218/94</f>
        <v/>
      </c>
      <c r="AT217" s="72">
        <f>AI218/24</f>
        <v/>
      </c>
      <c r="AU217" s="72">
        <f>AJ218/24</f>
        <v/>
      </c>
      <c r="AV217" s="73">
        <f>AI218/125</f>
        <v/>
      </c>
      <c r="AW217" s="73">
        <f>AJ218/125</f>
        <v/>
      </c>
    </row>
    <row r="218" ht="15.75" customHeight="1" s="258">
      <c r="A218" s="44" t="inlineStr">
        <is>
          <t>Bird Flute</t>
        </is>
      </c>
      <c r="B218" s="44" t="inlineStr">
        <is>
          <t>Brown / Single</t>
        </is>
      </c>
      <c r="C218" s="44" t="inlineStr">
        <is>
          <t>MI-BF-BN-S</t>
        </is>
      </c>
      <c r="D218" s="45" t="n">
        <v>30</v>
      </c>
      <c r="E218" s="44" t="n">
        <v>50</v>
      </c>
      <c r="F218" s="44" t="n">
        <v>40</v>
      </c>
      <c r="G218" s="120" t="n">
        <v>25084010</v>
      </c>
      <c r="H218" s="115" t="n">
        <v>0.05</v>
      </c>
      <c r="I218" s="44">
        <f>D219*H219</f>
        <v/>
      </c>
      <c r="J218" s="113" t="n"/>
      <c r="K218" s="44" t="n">
        <v>2</v>
      </c>
      <c r="L218" s="48">
        <f>K219+J219+I219+F219+E219+D219</f>
        <v/>
      </c>
      <c r="M218" s="44">
        <f>D219*1%</f>
        <v/>
      </c>
      <c r="N218" s="49">
        <f>L219*8%</f>
        <v/>
      </c>
      <c r="O218" s="49">
        <f>L219*10%</f>
        <v/>
      </c>
      <c r="P218" s="49">
        <f>L219*5%</f>
        <v/>
      </c>
      <c r="Q218" s="49">
        <f>L219*2%</f>
        <v/>
      </c>
      <c r="R218" s="49">
        <f>AC219*0.5%</f>
        <v/>
      </c>
      <c r="S218" s="49">
        <f>L219*1%</f>
        <v/>
      </c>
      <c r="T218" s="50">
        <f>S219+Q219+P219+O219+N219+M219</f>
        <v/>
      </c>
      <c r="U218" s="44">
        <f>AC219*1%</f>
        <v/>
      </c>
      <c r="V218" s="44">
        <f>AC219*5%</f>
        <v/>
      </c>
      <c r="W218" s="44">
        <f>AC219*1%</f>
        <v/>
      </c>
      <c r="X218" s="44">
        <f>AC219*8%</f>
        <v/>
      </c>
      <c r="Y218" s="44">
        <f>U219+V219+W219+X219</f>
        <v/>
      </c>
      <c r="Z218" s="50">
        <f>Y219+T219+L219</f>
        <v/>
      </c>
      <c r="AA218" s="51">
        <f>Z219*20%</f>
        <v/>
      </c>
      <c r="AB218" s="49">
        <f>Z219+AA219</f>
        <v/>
      </c>
      <c r="AC218" s="44">
        <f>D219*2.1</f>
        <v/>
      </c>
      <c r="AD218" s="49">
        <f>AB219-AC219</f>
        <v/>
      </c>
      <c r="AE218" s="49">
        <f>AD219/AB219*100</f>
        <v/>
      </c>
      <c r="AF218" s="113" t="n">
        <v>275</v>
      </c>
      <c r="AG218" s="116">
        <f>((AF219-L219)/L219)*100</f>
        <v/>
      </c>
      <c r="AH218" s="54">
        <f>AJ219-AF219</f>
        <v/>
      </c>
      <c r="AI218" s="54" t="n">
        <v>319</v>
      </c>
      <c r="AJ218" s="113" t="n">
        <v>275</v>
      </c>
      <c r="AK218" s="55">
        <f>(AJ219-L219)/L219*100</f>
        <v/>
      </c>
      <c r="AL218" s="55" t="n"/>
      <c r="AM218" s="55">
        <f>(AH219/AJ219)*100</f>
        <v/>
      </c>
      <c r="AN218" s="55">
        <f>AK219-AG219</f>
        <v/>
      </c>
      <c r="AO218" s="56">
        <f>AJ219/L219</f>
        <v/>
      </c>
      <c r="AP218" s="55">
        <f>(AJ219-AB219)/100</f>
        <v/>
      </c>
      <c r="AQ218" s="55">
        <f>(AJ219-AC219)/100</f>
        <v/>
      </c>
      <c r="AR218" s="57">
        <f>AI219/94</f>
        <v/>
      </c>
      <c r="AS218" s="57">
        <f>AJ219/94</f>
        <v/>
      </c>
      <c r="AT218" s="58">
        <f>AI219/24</f>
        <v/>
      </c>
      <c r="AU218" s="58">
        <f>AJ219/24</f>
        <v/>
      </c>
      <c r="AV218" s="58">
        <f>AI219/125</f>
        <v/>
      </c>
      <c r="AW218" s="58">
        <f>AJ219/125</f>
        <v/>
      </c>
      <c r="AX218" s="113" t="n"/>
      <c r="AY218" s="113" t="n"/>
    </row>
    <row r="219" ht="15" customHeight="1" s="258">
      <c r="A219" s="44" t="n"/>
      <c r="B219" s="44" t="inlineStr">
        <is>
          <t>Brown / Pair</t>
        </is>
      </c>
      <c r="C219" s="44" t="inlineStr">
        <is>
          <t>MI-BF-BN-P</t>
        </is>
      </c>
      <c r="D219" s="45" t="n">
        <v>60</v>
      </c>
      <c r="E219" s="44" t="n">
        <v>50</v>
      </c>
      <c r="F219" s="44" t="n">
        <v>40</v>
      </c>
      <c r="G219" s="120" t="n">
        <v>25084010</v>
      </c>
      <c r="H219" s="115" t="n">
        <v>0.05</v>
      </c>
      <c r="I219" s="44">
        <f>D220*H220</f>
        <v/>
      </c>
      <c r="J219" s="113" t="n"/>
      <c r="K219" s="44" t="n">
        <v>2</v>
      </c>
      <c r="L219" s="48">
        <f>K220+J220+I220+F220+E220+D220</f>
        <v/>
      </c>
      <c r="M219" s="44">
        <f>D220*1%</f>
        <v/>
      </c>
      <c r="N219" s="49">
        <f>L220*8%</f>
        <v/>
      </c>
      <c r="O219" s="49">
        <f>L220*10%</f>
        <v/>
      </c>
      <c r="P219" s="49">
        <f>L220*5%</f>
        <v/>
      </c>
      <c r="Q219" s="49">
        <f>L220*2%</f>
        <v/>
      </c>
      <c r="R219" s="49">
        <f>AC220*0.5%</f>
        <v/>
      </c>
      <c r="S219" s="49">
        <f>L220*1%</f>
        <v/>
      </c>
      <c r="T219" s="50">
        <f>S220+Q220+P220+O220+N220+M220</f>
        <v/>
      </c>
      <c r="U219" s="44">
        <f>AC220*1%</f>
        <v/>
      </c>
      <c r="V219" s="44">
        <f>AC220*5%</f>
        <v/>
      </c>
      <c r="W219" s="44">
        <f>AC220*1%</f>
        <v/>
      </c>
      <c r="X219" s="44">
        <f>AC220*8%</f>
        <v/>
      </c>
      <c r="Y219" s="44">
        <f>U220+V220+W220+X220</f>
        <v/>
      </c>
      <c r="Z219" s="50">
        <f>Y220+T220+L220</f>
        <v/>
      </c>
      <c r="AA219" s="51">
        <f>Z220*20%</f>
        <v/>
      </c>
      <c r="AB219" s="49">
        <f>Z220+AA220</f>
        <v/>
      </c>
      <c r="AC219" s="44">
        <f>D220*2.1</f>
        <v/>
      </c>
      <c r="AD219" s="49">
        <f>AB220-AC220</f>
        <v/>
      </c>
      <c r="AE219" s="49">
        <f>AD220/AB220*100</f>
        <v/>
      </c>
      <c r="AF219" s="113" t="n">
        <v>450</v>
      </c>
      <c r="AG219" s="116">
        <f>((AF220-L220)/L220)*100</f>
        <v/>
      </c>
      <c r="AH219" s="54">
        <f>AJ220-AF220</f>
        <v/>
      </c>
      <c r="AI219" s="54" t="n">
        <v>580</v>
      </c>
      <c r="AJ219" s="113" t="n">
        <v>450</v>
      </c>
      <c r="AK219" s="55">
        <f>(AJ220-L220)/L220*100</f>
        <v/>
      </c>
      <c r="AL219" s="55" t="n"/>
      <c r="AM219" s="55">
        <f>(AH220/AJ220)*100</f>
        <v/>
      </c>
      <c r="AN219" s="55">
        <f>AK220-AG220</f>
        <v/>
      </c>
      <c r="AO219" s="56">
        <f>AJ220/L220</f>
        <v/>
      </c>
      <c r="AP219" s="55">
        <f>(AJ220-AB220)/100</f>
        <v/>
      </c>
      <c r="AQ219" s="55">
        <f>(AJ220-AC220)/100</f>
        <v/>
      </c>
      <c r="AR219" s="57">
        <f>AI220/94</f>
        <v/>
      </c>
      <c r="AS219" s="57">
        <f>AJ220/94</f>
        <v/>
      </c>
      <c r="AT219" s="58">
        <f>AI220/24</f>
        <v/>
      </c>
      <c r="AU219" s="58">
        <f>AJ220/24</f>
        <v/>
      </c>
      <c r="AV219" s="58">
        <f>AI220/125</f>
        <v/>
      </c>
      <c r="AW219" s="58">
        <f>AJ220/125</f>
        <v/>
      </c>
      <c r="AX219" s="113" t="n"/>
      <c r="AY219" s="113" t="n"/>
    </row>
    <row r="220" ht="15.75" customHeight="1" s="258">
      <c r="A220" s="44" t="n"/>
      <c r="B220" s="44" t="inlineStr">
        <is>
          <t>Pair / Green</t>
        </is>
      </c>
      <c r="C220" s="44" t="inlineStr">
        <is>
          <t>MI-BF-GN-S</t>
        </is>
      </c>
      <c r="D220" s="45" t="n">
        <v>40</v>
      </c>
      <c r="E220" s="44" t="n">
        <v>50</v>
      </c>
      <c r="F220" s="44" t="n">
        <v>40</v>
      </c>
      <c r="G220" s="120" t="n">
        <v>25084010</v>
      </c>
      <c r="H220" s="115" t="n">
        <v>0.05</v>
      </c>
      <c r="I220" s="44">
        <f>D221*H221</f>
        <v/>
      </c>
      <c r="J220" s="113" t="n"/>
      <c r="K220" s="44" t="n">
        <v>2</v>
      </c>
      <c r="L220" s="48">
        <f>K221+J221+I221+F221+E221+D221</f>
        <v/>
      </c>
      <c r="M220" s="44">
        <f>D221*1%</f>
        <v/>
      </c>
      <c r="N220" s="49">
        <f>L221*8%</f>
        <v/>
      </c>
      <c r="O220" s="49">
        <f>L221*10%</f>
        <v/>
      </c>
      <c r="P220" s="49">
        <f>L221*5%</f>
        <v/>
      </c>
      <c r="Q220" s="49">
        <f>L221*2%</f>
        <v/>
      </c>
      <c r="R220" s="49">
        <f>AC221*0.5%</f>
        <v/>
      </c>
      <c r="S220" s="49">
        <f>L221*1%</f>
        <v/>
      </c>
      <c r="T220" s="50">
        <f>S221+Q221+P221+O221+N221+M221</f>
        <v/>
      </c>
      <c r="U220" s="44">
        <f>AC221*1%</f>
        <v/>
      </c>
      <c r="V220" s="44">
        <f>AC221*5%</f>
        <v/>
      </c>
      <c r="W220" s="44">
        <f>AC221*1%</f>
        <v/>
      </c>
      <c r="X220" s="44">
        <f>AC221*8%</f>
        <v/>
      </c>
      <c r="Y220" s="44">
        <f>U221+V221+W221+X221</f>
        <v/>
      </c>
      <c r="Z220" s="50">
        <f>Y221+T221+L221</f>
        <v/>
      </c>
      <c r="AA220" s="51">
        <f>Z221*20%</f>
        <v/>
      </c>
      <c r="AB220" s="49">
        <f>Z221+AA221</f>
        <v/>
      </c>
      <c r="AC220" s="44">
        <f>D221*2.1</f>
        <v/>
      </c>
      <c r="AD220" s="49">
        <f>AB221-AC221</f>
        <v/>
      </c>
      <c r="AE220" s="49">
        <f>AD221/AB221*100</f>
        <v/>
      </c>
      <c r="AF220" s="113" t="n">
        <v>650</v>
      </c>
      <c r="AG220" s="116">
        <f>((AF221-L221)/L221)*100</f>
        <v/>
      </c>
      <c r="AH220" s="54">
        <f>AJ221-AF221</f>
        <v/>
      </c>
      <c r="AI220" s="54" t="n">
        <v>690</v>
      </c>
      <c r="AJ220" s="113" t="n">
        <v>650</v>
      </c>
      <c r="AK220" s="55">
        <f>(AJ221-L221)/L221*100</f>
        <v/>
      </c>
      <c r="AL220" s="55" t="n"/>
      <c r="AM220" s="55">
        <f>(AH221/AJ221)*100</f>
        <v/>
      </c>
      <c r="AN220" s="55">
        <f>AK221-AG221</f>
        <v/>
      </c>
      <c r="AO220" s="56">
        <f>AJ221/L221</f>
        <v/>
      </c>
      <c r="AP220" s="55">
        <f>(AJ221-AB221)/100</f>
        <v/>
      </c>
      <c r="AQ220" s="55">
        <f>(AJ221-AC221)/100</f>
        <v/>
      </c>
      <c r="AR220" s="57">
        <f>AI221/94</f>
        <v/>
      </c>
      <c r="AS220" s="57">
        <f>AJ221/94</f>
        <v/>
      </c>
      <c r="AT220" s="58">
        <f>AI221/24</f>
        <v/>
      </c>
      <c r="AU220" s="58">
        <f>AJ221/24</f>
        <v/>
      </c>
      <c r="AV220" s="58">
        <f>AI221/125</f>
        <v/>
      </c>
      <c r="AW220" s="58">
        <f>AJ221/125</f>
        <v/>
      </c>
      <c r="AX220" s="113" t="n"/>
      <c r="AY220" s="113" t="n"/>
    </row>
    <row r="221" ht="15.75" customHeight="1" s="258">
      <c r="A221" s="44" t="n"/>
      <c r="B221" s="44" t="inlineStr">
        <is>
          <t>Single / Green</t>
        </is>
      </c>
      <c r="C221" s="44" t="inlineStr">
        <is>
          <t>MI-BF-GN-P</t>
        </is>
      </c>
      <c r="D221" s="45" t="n">
        <v>80</v>
      </c>
      <c r="E221" s="44" t="n">
        <v>50</v>
      </c>
      <c r="F221" s="44" t="n">
        <v>40</v>
      </c>
      <c r="G221" s="120" t="n">
        <v>25084010</v>
      </c>
      <c r="H221" s="115" t="n">
        <v>0.05</v>
      </c>
      <c r="I221" s="44">
        <f>D222*H222</f>
        <v/>
      </c>
      <c r="J221" s="113" t="n"/>
      <c r="K221" s="44" t="n">
        <v>2</v>
      </c>
      <c r="L221" s="48">
        <f>K222+J222+I222+F222+E222+D222</f>
        <v/>
      </c>
      <c r="M221" s="44">
        <f>D222*1%</f>
        <v/>
      </c>
      <c r="N221" s="49">
        <f>L222*8%</f>
        <v/>
      </c>
      <c r="O221" s="49">
        <f>L222*10%</f>
        <v/>
      </c>
      <c r="P221" s="49">
        <f>L222*5%</f>
        <v/>
      </c>
      <c r="Q221" s="49">
        <f>L222*2%</f>
        <v/>
      </c>
      <c r="R221" s="49">
        <f>AC222*0.5%</f>
        <v/>
      </c>
      <c r="S221" s="49">
        <f>L222*1%</f>
        <v/>
      </c>
      <c r="T221" s="50">
        <f>S222+Q222+P222+O222+N222+M222</f>
        <v/>
      </c>
      <c r="U221" s="44">
        <f>AC222*1%</f>
        <v/>
      </c>
      <c r="V221" s="44">
        <f>AC222*5%</f>
        <v/>
      </c>
      <c r="W221" s="44">
        <f>AC222*1%</f>
        <v/>
      </c>
      <c r="X221" s="44">
        <f>AC222*8%</f>
        <v/>
      </c>
      <c r="Y221" s="44">
        <f>U222+V222+W222+X222</f>
        <v/>
      </c>
      <c r="Z221" s="50">
        <f>Y222+T222+L222</f>
        <v/>
      </c>
      <c r="AA221" s="51">
        <f>Z222*20%</f>
        <v/>
      </c>
      <c r="AB221" s="49">
        <f>Z222+AA222</f>
        <v/>
      </c>
      <c r="AC221" s="44">
        <f>D222*2.1</f>
        <v/>
      </c>
      <c r="AD221" s="49">
        <f>AB222-AC222</f>
        <v/>
      </c>
      <c r="AE221" s="49">
        <f>AD222/AB222*100</f>
        <v/>
      </c>
      <c r="AF221" s="113" t="n">
        <v>375</v>
      </c>
      <c r="AG221" s="116">
        <f>((AF222-L222)/L222)*100</f>
        <v/>
      </c>
      <c r="AH221" s="54">
        <f>AJ222-AF222</f>
        <v/>
      </c>
      <c r="AI221" s="54" t="n">
        <v>399</v>
      </c>
      <c r="AJ221" s="113" t="n">
        <v>375</v>
      </c>
      <c r="AK221" s="55">
        <f>(AJ222-L222)/L222*100</f>
        <v/>
      </c>
      <c r="AL221" s="55" t="n"/>
      <c r="AM221" s="55">
        <f>(AH222/AJ222)*100</f>
        <v/>
      </c>
      <c r="AN221" s="55">
        <f>AK222-AG222</f>
        <v/>
      </c>
      <c r="AO221" s="56">
        <f>AJ222/L222</f>
        <v/>
      </c>
      <c r="AP221" s="55">
        <f>(AJ222-AB222)/100</f>
        <v/>
      </c>
      <c r="AQ221" s="55">
        <f>(AJ222-AC222)/100</f>
        <v/>
      </c>
      <c r="AR221" s="57">
        <f>AI222/94</f>
        <v/>
      </c>
      <c r="AS221" s="57">
        <f>AJ222/94</f>
        <v/>
      </c>
      <c r="AT221" s="58">
        <f>AI222/24</f>
        <v/>
      </c>
      <c r="AU221" s="58">
        <f>AJ222/24</f>
        <v/>
      </c>
      <c r="AV221" s="58">
        <f>AI222/125</f>
        <v/>
      </c>
      <c r="AW221" s="58">
        <f>AJ222/125</f>
        <v/>
      </c>
      <c r="AX221" s="113" t="n"/>
      <c r="AY221" s="113" t="n"/>
    </row>
    <row r="222" ht="15.75" customHeight="1" s="258">
      <c r="A222" s="44" t="n"/>
      <c r="B222" s="44" t="inlineStr">
        <is>
          <t>Pair / Mixed</t>
        </is>
      </c>
      <c r="C222" s="44" t="inlineStr">
        <is>
          <t>MI-BF-M</t>
        </is>
      </c>
      <c r="D222" s="45" t="n">
        <v>70</v>
      </c>
      <c r="E222" s="44" t="n">
        <v>50</v>
      </c>
      <c r="F222" s="44" t="n">
        <v>40</v>
      </c>
      <c r="G222" s="45" t="n">
        <v>25084010</v>
      </c>
      <c r="H222" s="115" t="n">
        <v>0.05</v>
      </c>
      <c r="I222" s="44">
        <f>D223*H223</f>
        <v/>
      </c>
      <c r="J222" s="113" t="n"/>
      <c r="K222" s="44" t="n">
        <v>2</v>
      </c>
      <c r="L222" s="48">
        <f>K223+J223+I223+F223+E223+D223</f>
        <v/>
      </c>
      <c r="M222" s="44">
        <f>D223*1%</f>
        <v/>
      </c>
      <c r="N222" s="49">
        <f>L223*8%</f>
        <v/>
      </c>
      <c r="O222" s="49">
        <f>L223*10%</f>
        <v/>
      </c>
      <c r="P222" s="49">
        <f>L223*5%</f>
        <v/>
      </c>
      <c r="Q222" s="49">
        <f>L223*2%</f>
        <v/>
      </c>
      <c r="R222" s="49">
        <f>AC223*0.5%</f>
        <v/>
      </c>
      <c r="S222" s="49">
        <f>L223*1%</f>
        <v/>
      </c>
      <c r="T222" s="50">
        <f>S223+Q223+P223+O223+N223+M223</f>
        <v/>
      </c>
      <c r="U222" s="44">
        <f>AC223*1%</f>
        <v/>
      </c>
      <c r="V222" s="44">
        <f>AC223*5%</f>
        <v/>
      </c>
      <c r="W222" s="44">
        <f>AC223*1%</f>
        <v/>
      </c>
      <c r="X222" s="44">
        <f>AC223*8%</f>
        <v/>
      </c>
      <c r="Y222" s="44">
        <f>U223+V223+W223+X223</f>
        <v/>
      </c>
      <c r="Z222" s="50">
        <f>Y223+T223+L223</f>
        <v/>
      </c>
      <c r="AA222" s="51">
        <f>Z223*20%</f>
        <v/>
      </c>
      <c r="AB222" s="49">
        <f>Z223+AA223</f>
        <v/>
      </c>
      <c r="AC222" s="44">
        <f>D223*2.1</f>
        <v/>
      </c>
      <c r="AD222" s="49">
        <f>AB223-AC223</f>
        <v/>
      </c>
      <c r="AE222" s="49">
        <f>AD223/AB223*100</f>
        <v/>
      </c>
      <c r="AF222" s="113" t="n">
        <v>600</v>
      </c>
      <c r="AG222" s="116">
        <f>((AF223-L223)/L223)*100</f>
        <v/>
      </c>
      <c r="AH222" s="54">
        <f>AJ223-AF223</f>
        <v/>
      </c>
      <c r="AI222" s="54" t="n">
        <v>645</v>
      </c>
      <c r="AJ222" s="113" t="n">
        <v>600</v>
      </c>
      <c r="AK222" s="55">
        <f>(AJ223-L223)/L223*100</f>
        <v/>
      </c>
      <c r="AL222" s="55" t="n"/>
      <c r="AM222" s="55">
        <f>(AH223/AJ223)*100</f>
        <v/>
      </c>
      <c r="AN222" s="55">
        <f>AK223-AG223</f>
        <v/>
      </c>
      <c r="AO222" s="56">
        <f>AJ223/L223</f>
        <v/>
      </c>
      <c r="AP222" s="55">
        <f>(AJ223-AB223)/100</f>
        <v/>
      </c>
      <c r="AQ222" s="55">
        <f>(AJ223-AC223)/100</f>
        <v/>
      </c>
      <c r="AR222" s="57">
        <f>AI223/94</f>
        <v/>
      </c>
      <c r="AS222" s="57">
        <f>AJ223/94</f>
        <v/>
      </c>
      <c r="AT222" s="58">
        <f>AI223/24</f>
        <v/>
      </c>
      <c r="AU222" s="58">
        <f>AJ223/24</f>
        <v/>
      </c>
      <c r="AV222" s="58">
        <f>AI223/125</f>
        <v/>
      </c>
      <c r="AW222" s="58">
        <f>AJ223/125</f>
        <v/>
      </c>
      <c r="AX222" s="113" t="n"/>
      <c r="AY222" s="113" t="n"/>
    </row>
    <row r="223" ht="15.75" customHeight="1" s="258">
      <c r="A223" s="2" t="inlineStr">
        <is>
          <t>Box Tanpura</t>
        </is>
      </c>
      <c r="B223" s="2" t="inlineStr">
        <is>
          <t>Male Tanpura</t>
        </is>
      </c>
      <c r="C223" s="2" t="inlineStr">
        <is>
          <t>MI-BT-M</t>
        </is>
      </c>
      <c r="D223" s="118" t="n">
        <v>8300</v>
      </c>
      <c r="F223" s="2" t="n">
        <v>100</v>
      </c>
      <c r="G223" s="118" t="n">
        <v>9203</v>
      </c>
      <c r="H223" s="255" t="n">
        <v>0</v>
      </c>
      <c r="I223" s="2">
        <f>D224*H224</f>
        <v/>
      </c>
      <c r="K223" s="2">
        <f>D224*4%</f>
        <v/>
      </c>
      <c r="L223" s="4">
        <f>K224+J224+I224+F224+E224+D224</f>
        <v/>
      </c>
      <c r="M223" s="2">
        <f>D224*1%</f>
        <v/>
      </c>
      <c r="N223" s="12">
        <f>L224*8%</f>
        <v/>
      </c>
      <c r="O223" s="12">
        <f>L224*10%</f>
        <v/>
      </c>
      <c r="P223" s="12">
        <f>L224*5%</f>
        <v/>
      </c>
      <c r="Q223" s="12">
        <f>L224*2%</f>
        <v/>
      </c>
      <c r="R223" s="12">
        <f>AC224*0.5%</f>
        <v/>
      </c>
      <c r="S223" s="12">
        <f>L224*1%</f>
        <v/>
      </c>
      <c r="T223" s="60">
        <f>S224+Q224+P224+O224+N224+M224</f>
        <v/>
      </c>
      <c r="U223" s="2">
        <f>AC224*1%</f>
        <v/>
      </c>
      <c r="V223" s="44">
        <f>AC224*5%</f>
        <v/>
      </c>
      <c r="W223" s="2">
        <f>AC224*1%</f>
        <v/>
      </c>
      <c r="X223" s="2">
        <f>AC224*8%</f>
        <v/>
      </c>
      <c r="Y223" s="2">
        <f>U224+V224+W224+X224</f>
        <v/>
      </c>
      <c r="Z223" s="60">
        <f>Y224+T224+L224</f>
        <v/>
      </c>
      <c r="AA223" s="11">
        <f>Z224*20%</f>
        <v/>
      </c>
      <c r="AB223" s="12">
        <f>Z224+AA224</f>
        <v/>
      </c>
      <c r="AC223" s="2">
        <f>D224*2.1</f>
        <v/>
      </c>
      <c r="AD223" s="12">
        <f>AB224-AC224</f>
        <v/>
      </c>
      <c r="AE223" s="12">
        <f>AD224/AB224*100</f>
        <v/>
      </c>
      <c r="AF223" s="92" t="n">
        <v>13500</v>
      </c>
      <c r="AG223" s="62">
        <f>((AF224-L224)/L224)*100</f>
        <v/>
      </c>
      <c r="AH223" s="106">
        <f>AJ224-AF224</f>
        <v/>
      </c>
      <c r="AI223" s="65">
        <f>AB224</f>
        <v/>
      </c>
      <c r="AJ223" s="65" t="n">
        <v>13500</v>
      </c>
      <c r="AK223" s="66">
        <f>(AJ224-L224)/L224*100</f>
        <v/>
      </c>
      <c r="AL223" s="66" t="n"/>
      <c r="AM223" s="14">
        <f>(AH224/AJ224)*100</f>
        <v/>
      </c>
      <c r="AN223" s="67">
        <f>AK224-AG224</f>
        <v/>
      </c>
      <c r="AO223" s="68">
        <f>AJ224/L224</f>
        <v/>
      </c>
      <c r="AP223" s="69">
        <f>(AJ224-AB224)/100</f>
        <v/>
      </c>
      <c r="AQ223" s="70">
        <f>(AJ224-AC224)/100</f>
        <v/>
      </c>
      <c r="AR223" s="71">
        <f>AI224/94</f>
        <v/>
      </c>
      <c r="AS223" s="71">
        <f>AJ224/94</f>
        <v/>
      </c>
      <c r="AT223" s="72">
        <f>AI224/24</f>
        <v/>
      </c>
      <c r="AU223" s="72">
        <f>AJ224/24</f>
        <v/>
      </c>
      <c r="AV223" s="73">
        <f>AI224/125</f>
        <v/>
      </c>
      <c r="AW223" s="73">
        <f>AJ224/125</f>
        <v/>
      </c>
    </row>
    <row r="224" ht="15" customHeight="1" s="258">
      <c r="A224" s="2" t="n"/>
      <c r="B224" s="2" t="inlineStr">
        <is>
          <t>Female Tanpura</t>
        </is>
      </c>
      <c r="C224" s="2" t="inlineStr">
        <is>
          <t>MI-BT-F</t>
        </is>
      </c>
      <c r="D224" s="118" t="n">
        <v>8300</v>
      </c>
      <c r="F224" s="2" t="n">
        <v>100</v>
      </c>
      <c r="G224" s="118" t="n">
        <v>9203</v>
      </c>
      <c r="H224" s="255" t="n">
        <v>0</v>
      </c>
      <c r="I224" s="2">
        <f>D225*H225</f>
        <v/>
      </c>
      <c r="K224" s="2">
        <f>D225*4%</f>
        <v/>
      </c>
      <c r="L224" s="4">
        <f>K225+J225+I225+F225+E225+D225</f>
        <v/>
      </c>
      <c r="M224" s="2">
        <f>D225*1%</f>
        <v/>
      </c>
      <c r="N224" s="12">
        <f>L225*8%</f>
        <v/>
      </c>
      <c r="O224" s="12">
        <f>L225*10%</f>
        <v/>
      </c>
      <c r="P224" s="12">
        <f>L225*5%</f>
        <v/>
      </c>
      <c r="Q224" s="12">
        <f>L225*2%</f>
        <v/>
      </c>
      <c r="R224" s="12">
        <f>AC225*0.5%</f>
        <v/>
      </c>
      <c r="S224" s="12">
        <f>L225*1%</f>
        <v/>
      </c>
      <c r="T224" s="60">
        <f>S225+Q225+P225+O225+N225+M225</f>
        <v/>
      </c>
      <c r="U224" s="2">
        <f>AC225*1%</f>
        <v/>
      </c>
      <c r="V224" s="44">
        <f>AC225*5%</f>
        <v/>
      </c>
      <c r="W224" s="2">
        <f>AC225*1%</f>
        <v/>
      </c>
      <c r="X224" s="2">
        <f>AC225*8%</f>
        <v/>
      </c>
      <c r="Y224" s="2">
        <f>U225+V225+W225+X225</f>
        <v/>
      </c>
      <c r="Z224" s="60">
        <f>Y225+T225+L225</f>
        <v/>
      </c>
      <c r="AA224" s="11">
        <f>Z225*20%</f>
        <v/>
      </c>
      <c r="AB224" s="12">
        <f>Z225+AA225</f>
        <v/>
      </c>
      <c r="AC224" s="2">
        <f>D225*2.1</f>
        <v/>
      </c>
      <c r="AD224" s="12">
        <f>AB225-AC225</f>
        <v/>
      </c>
      <c r="AE224" s="12">
        <f>AD225/AB225*100</f>
        <v/>
      </c>
      <c r="AF224" s="92" t="n">
        <v>13500</v>
      </c>
      <c r="AG224" s="62">
        <f>((AF225-L225)/L225)*100</f>
        <v/>
      </c>
      <c r="AH224" s="106">
        <f>AJ225-AF225</f>
        <v/>
      </c>
      <c r="AI224" s="65">
        <f>AB225</f>
        <v/>
      </c>
      <c r="AJ224" s="65" t="n">
        <v>13500</v>
      </c>
      <c r="AK224" s="66">
        <f>(AJ225-L225)/L225*100</f>
        <v/>
      </c>
      <c r="AL224" s="66" t="n"/>
      <c r="AM224" s="14">
        <f>(AH225/AJ225)*100</f>
        <v/>
      </c>
      <c r="AN224" s="67">
        <f>AK225-AG225</f>
        <v/>
      </c>
      <c r="AO224" s="68">
        <f>AJ225/L225</f>
        <v/>
      </c>
      <c r="AP224" s="69">
        <f>(AJ225-AB225)/100</f>
        <v/>
      </c>
      <c r="AQ224" s="70">
        <f>(AJ225-AC225)/100</f>
        <v/>
      </c>
      <c r="AR224" s="71">
        <f>AI225/94</f>
        <v/>
      </c>
      <c r="AS224" s="71">
        <f>AJ225/94</f>
        <v/>
      </c>
      <c r="AT224" s="72">
        <f>AI225/24</f>
        <v/>
      </c>
      <c r="AU224" s="72">
        <f>AJ225/24</f>
        <v/>
      </c>
      <c r="AV224" s="73">
        <f>AI225/125</f>
        <v/>
      </c>
      <c r="AW224" s="73">
        <f>AJ225/125</f>
        <v/>
      </c>
    </row>
    <row r="225" ht="15.75" customHeight="1" s="258">
      <c r="A225" s="2" t="inlineStr">
        <is>
          <t>Caxixi</t>
        </is>
      </c>
      <c r="B225" s="2" t="inlineStr">
        <is>
          <t>Standard</t>
        </is>
      </c>
      <c r="C225" s="2" t="inlineStr">
        <is>
          <t>Mi-CX-M-N</t>
        </is>
      </c>
      <c r="D225" s="121" t="n">
        <v>500</v>
      </c>
      <c r="F225" s="2" t="n">
        <v>50</v>
      </c>
      <c r="G225" s="118" t="n">
        <v>9202</v>
      </c>
      <c r="H225" s="255" t="n">
        <v>0.18</v>
      </c>
      <c r="I225" s="2">
        <f>D226*H767</f>
        <v/>
      </c>
      <c r="J225" s="2">
        <f>D226*5%</f>
        <v/>
      </c>
      <c r="K225" s="2" t="n">
        <v>80</v>
      </c>
      <c r="L225" s="4">
        <f>K226+J226+I226+F226+E226+D226</f>
        <v/>
      </c>
      <c r="M225" s="2">
        <f>D226*1%</f>
        <v/>
      </c>
      <c r="N225" s="12">
        <f>L226*8%</f>
        <v/>
      </c>
      <c r="O225" s="12">
        <f>L226*10%</f>
        <v/>
      </c>
      <c r="P225" s="12">
        <f>L226*5%</f>
        <v/>
      </c>
      <c r="Q225" s="12">
        <f>L226*2%</f>
        <v/>
      </c>
      <c r="R225" s="12">
        <f>AC226*0.5%</f>
        <v/>
      </c>
      <c r="S225" s="12">
        <f>L226*1%</f>
        <v/>
      </c>
      <c r="T225" s="60">
        <f>S226+Q226+P226+O226+N226+M226</f>
        <v/>
      </c>
      <c r="U225" s="2">
        <f>AC226*1%</f>
        <v/>
      </c>
      <c r="V225" s="44">
        <f>AC226*5%</f>
        <v/>
      </c>
      <c r="W225" s="2">
        <f>AC226*1%</f>
        <v/>
      </c>
      <c r="X225" s="2">
        <f>AC226*8%</f>
        <v/>
      </c>
      <c r="Y225" s="2">
        <f>U226+V226+W226+X226</f>
        <v/>
      </c>
      <c r="Z225" s="60">
        <f>Y226+T226+L226</f>
        <v/>
      </c>
      <c r="AA225" s="11">
        <f>Z226*20%</f>
        <v/>
      </c>
      <c r="AB225" s="12">
        <f>Z226+AA226</f>
        <v/>
      </c>
      <c r="AC225" s="2">
        <f>D226*2.1</f>
        <v/>
      </c>
      <c r="AD225" s="12">
        <f>AB226-AC226</f>
        <v/>
      </c>
      <c r="AE225" s="12">
        <f>AD226/AB226*100</f>
        <v/>
      </c>
      <c r="AF225" s="92" t="n">
        <v>1350</v>
      </c>
      <c r="AG225" s="62">
        <f>((AF226-L226)/L226)*100</f>
        <v/>
      </c>
      <c r="AH225" s="106">
        <f>AJ226-AF226</f>
        <v/>
      </c>
      <c r="AI225" s="65" t="n">
        <v>2090</v>
      </c>
      <c r="AJ225" s="65" t="n">
        <v>1350</v>
      </c>
      <c r="AK225" s="66">
        <f>(AJ226-L226)/L226*100</f>
        <v/>
      </c>
      <c r="AL225" s="66" t="n"/>
      <c r="AM225" s="14">
        <f>(AH226/AJ226)*100</f>
        <v/>
      </c>
      <c r="AN225" s="67">
        <f>AK226-AG226</f>
        <v/>
      </c>
      <c r="AO225" s="68">
        <f>AJ226/L226</f>
        <v/>
      </c>
      <c r="AP225" s="69">
        <f>(AJ226-AB226)/100</f>
        <v/>
      </c>
      <c r="AQ225" s="70">
        <f>(AJ226-AC226)/100</f>
        <v/>
      </c>
      <c r="AR225" s="71">
        <f>AI226/94</f>
        <v/>
      </c>
      <c r="AS225" s="71">
        <f>AJ226/94</f>
        <v/>
      </c>
      <c r="AT225" s="72">
        <f>AI226/24</f>
        <v/>
      </c>
      <c r="AU225" s="72">
        <f>AJ226/24</f>
        <v/>
      </c>
      <c r="AV225" s="73">
        <f>AI226/125</f>
        <v/>
      </c>
      <c r="AW225" s="73">
        <f>AJ226/125</f>
        <v/>
      </c>
    </row>
    <row r="226" ht="15.75" customHeight="1" s="258">
      <c r="A226" s="2" t="inlineStr">
        <is>
          <t>Coconut Maracas Shakers</t>
        </is>
      </c>
      <c r="B226" s="2" t="inlineStr">
        <is>
          <t>Plain</t>
        </is>
      </c>
      <c r="C226" s="2" t="inlineStr">
        <is>
          <t>MI-CM</t>
        </is>
      </c>
      <c r="D226" s="118" t="n">
        <v>550</v>
      </c>
      <c r="E226" s="2" t="n">
        <v>100</v>
      </c>
      <c r="F226" s="2" t="n">
        <v>50</v>
      </c>
      <c r="G226" s="122" t="inlineStr">
        <is>
          <t>9503 00 90</t>
        </is>
      </c>
      <c r="H226" s="255" t="n">
        <v>0.18</v>
      </c>
      <c r="I226" s="2">
        <f>D227*H227</f>
        <v/>
      </c>
      <c r="K226" s="118" t="n">
        <v>200</v>
      </c>
      <c r="L226" s="123">
        <f>K227+J227+I227+F227+E227+D227</f>
        <v/>
      </c>
      <c r="M226" s="2">
        <f>D227*1%</f>
        <v/>
      </c>
      <c r="N226" s="12">
        <f>L227*8%</f>
        <v/>
      </c>
      <c r="O226" s="12">
        <f>L227*10%</f>
        <v/>
      </c>
      <c r="P226" s="12">
        <f>L227*5%</f>
        <v/>
      </c>
      <c r="Q226" s="12">
        <f>L227*2%</f>
        <v/>
      </c>
      <c r="R226" s="12">
        <f>AC227*0.5%</f>
        <v/>
      </c>
      <c r="S226" s="12">
        <f>L227*1%</f>
        <v/>
      </c>
      <c r="T226" s="124">
        <f>S227+Q227+P227+O227+N227+M227</f>
        <v/>
      </c>
      <c r="U226" s="2">
        <f>AC227*1%</f>
        <v/>
      </c>
      <c r="V226" s="44">
        <f>AC227*5%</f>
        <v/>
      </c>
      <c r="W226" s="2">
        <f>AC227*1%</f>
        <v/>
      </c>
      <c r="X226" s="2">
        <f>AC227*8%</f>
        <v/>
      </c>
      <c r="Y226" s="2">
        <f>U227+V227+W227+X227</f>
        <v/>
      </c>
      <c r="Z226" s="124">
        <f>Y227+T227+L227</f>
        <v/>
      </c>
      <c r="AA226" s="125">
        <f>Z227*20%</f>
        <v/>
      </c>
      <c r="AB226" s="12">
        <f>Z227+AA227</f>
        <v/>
      </c>
      <c r="AC226" s="2">
        <f>D227*2.1</f>
        <v/>
      </c>
      <c r="AD226" s="12">
        <f>AB227-AC227</f>
        <v/>
      </c>
      <c r="AE226" s="12">
        <f>AD227/AB227*100</f>
        <v/>
      </c>
      <c r="AF226" s="92" t="n">
        <v>990</v>
      </c>
      <c r="AG226" s="126">
        <f>((AF227-L227)/L227)*100</f>
        <v/>
      </c>
      <c r="AH226" s="132">
        <f>AJ227-AF227</f>
        <v/>
      </c>
      <c r="AI226" s="132" t="n">
        <v>1200</v>
      </c>
      <c r="AJ226" s="132" t="n">
        <v>1090</v>
      </c>
      <c r="AK226" s="128">
        <f>(AJ227-L227)/L227*100</f>
        <v/>
      </c>
      <c r="AL226" s="128" t="n"/>
      <c r="AM226" s="128">
        <f>AH227/AJ227%</f>
        <v/>
      </c>
      <c r="AN226" s="128">
        <f>AK227-AG227</f>
        <v/>
      </c>
      <c r="AO226" s="129">
        <f>AJ227/L227</f>
        <v/>
      </c>
      <c r="AP226" s="128">
        <f>(AJ227-AB227)/100</f>
        <v/>
      </c>
      <c r="AQ226" s="128">
        <f>(AJ227-AC227)/100</f>
        <v/>
      </c>
      <c r="AR226" s="130">
        <f>AI227/94</f>
        <v/>
      </c>
      <c r="AS226" s="130">
        <f>AJ227/94</f>
        <v/>
      </c>
      <c r="AT226" s="131">
        <f>AI227/24</f>
        <v/>
      </c>
      <c r="AU226" s="131">
        <f>AJ227/24</f>
        <v/>
      </c>
      <c r="AV226" s="131">
        <f>AI227/125</f>
        <v/>
      </c>
      <c r="AW226" s="131">
        <f>AJ227/125</f>
        <v/>
      </c>
    </row>
    <row r="227" ht="15" customHeight="1" s="258">
      <c r="A227" s="2" t="n"/>
      <c r="B227" s="2" t="inlineStr">
        <is>
          <t>Dot Painted</t>
        </is>
      </c>
      <c r="C227" s="2" t="inlineStr">
        <is>
          <t>MI-CM-DP</t>
        </is>
      </c>
      <c r="D227" s="118" t="n">
        <v>650</v>
      </c>
      <c r="E227" s="2" t="n">
        <v>100</v>
      </c>
      <c r="F227" s="2" t="n">
        <v>50</v>
      </c>
      <c r="G227" s="122" t="inlineStr">
        <is>
          <t>9504 00 90</t>
        </is>
      </c>
      <c r="H227" s="255" t="n">
        <v>0.18</v>
      </c>
      <c r="I227" s="2">
        <f>D228*H228</f>
        <v/>
      </c>
      <c r="K227" s="118" t="n">
        <v>200</v>
      </c>
      <c r="L227" s="123">
        <f>K228+J228+I228+F228+E228+D228</f>
        <v/>
      </c>
      <c r="M227" s="2">
        <f>D228*1%</f>
        <v/>
      </c>
      <c r="N227" s="12">
        <f>L228*8%</f>
        <v/>
      </c>
      <c r="O227" s="12">
        <f>L228*10%</f>
        <v/>
      </c>
      <c r="P227" s="12">
        <f>L228*5%</f>
        <v/>
      </c>
      <c r="Q227" s="12">
        <f>L228*2%</f>
        <v/>
      </c>
      <c r="R227" s="12">
        <f>AC228*0.5%</f>
        <v/>
      </c>
      <c r="S227" s="12">
        <f>L228*1%</f>
        <v/>
      </c>
      <c r="T227" s="124">
        <f>S228+Q228+P228+O228+N228+M228</f>
        <v/>
      </c>
      <c r="U227" s="2">
        <f>AC228*1%</f>
        <v/>
      </c>
      <c r="V227" s="44">
        <f>AC228*5%</f>
        <v/>
      </c>
      <c r="W227" s="2">
        <f>AC228*1%</f>
        <v/>
      </c>
      <c r="X227" s="2">
        <f>AC228*8%</f>
        <v/>
      </c>
      <c r="Y227" s="2">
        <f>U228+V228+W228+X228</f>
        <v/>
      </c>
      <c r="Z227" s="124">
        <f>Y228+T228+L228</f>
        <v/>
      </c>
      <c r="AA227" s="125">
        <f>Z228*20%</f>
        <v/>
      </c>
      <c r="AB227" s="12">
        <f>Z228+AA228</f>
        <v/>
      </c>
      <c r="AC227" s="2">
        <f>D228*2.1</f>
        <v/>
      </c>
      <c r="AD227" s="12">
        <f>AB228-AC228</f>
        <v/>
      </c>
      <c r="AE227" s="12">
        <f>AD228/AB228*100</f>
        <v/>
      </c>
      <c r="AF227" s="92" t="n">
        <v>1185</v>
      </c>
      <c r="AG227" s="126">
        <f>((AF228-L228)/L228)*100</f>
        <v/>
      </c>
      <c r="AH227" s="132">
        <f>AJ228-AF228</f>
        <v/>
      </c>
      <c r="AI227" s="132" t="n">
        <v>1290</v>
      </c>
      <c r="AJ227" s="132" t="n">
        <v>1190</v>
      </c>
      <c r="AK227" s="128">
        <f>(AJ228-L228)/L228*100</f>
        <v/>
      </c>
      <c r="AL227" s="128" t="n"/>
      <c r="AM227" s="128">
        <f>AH228/AJ228%</f>
        <v/>
      </c>
      <c r="AN227" s="128">
        <f>AK228-AG228</f>
        <v/>
      </c>
      <c r="AO227" s="129">
        <f>AJ228/L228</f>
        <v/>
      </c>
      <c r="AP227" s="128">
        <f>(AJ228-AB228)/100</f>
        <v/>
      </c>
      <c r="AQ227" s="128">
        <f>(AJ228-AC228)/100</f>
        <v/>
      </c>
      <c r="AR227" s="130">
        <f>AI228/94</f>
        <v/>
      </c>
      <c r="AS227" s="130">
        <f>AJ228/94</f>
        <v/>
      </c>
      <c r="AT227" s="131">
        <f>AI228/24</f>
        <v/>
      </c>
      <c r="AU227" s="131">
        <f>AJ228/24</f>
        <v/>
      </c>
      <c r="AV227" s="131">
        <f>AI228/125</f>
        <v/>
      </c>
      <c r="AW227" s="131">
        <f>AJ228/125</f>
        <v/>
      </c>
    </row>
    <row r="228" ht="15.75" customHeight="1" s="258">
      <c r="A228" s="2" t="inlineStr">
        <is>
          <t>Coconut Rattle</t>
        </is>
      </c>
      <c r="B228" s="2" t="inlineStr">
        <is>
          <t>Standard</t>
        </is>
      </c>
      <c r="C228" s="2" t="inlineStr">
        <is>
          <t>MI-CR</t>
        </is>
      </c>
      <c r="D228" s="118" t="n">
        <v>550</v>
      </c>
      <c r="F228" s="2" t="n">
        <v>50</v>
      </c>
      <c r="G228" s="74" t="inlineStr">
        <is>
          <t>9505 00 90</t>
        </is>
      </c>
      <c r="H228" s="255" t="n">
        <v>0.18</v>
      </c>
      <c r="I228" s="2">
        <f>D229*H229</f>
        <v/>
      </c>
      <c r="K228" s="118" t="n">
        <v>120</v>
      </c>
      <c r="L228" s="4">
        <f>K229+J229+I229+F229+E229+D229</f>
        <v/>
      </c>
      <c r="M228" s="2">
        <f>D229*1%</f>
        <v/>
      </c>
      <c r="N228" s="12">
        <f>L229*8%</f>
        <v/>
      </c>
      <c r="O228" s="12">
        <f>L229*10%</f>
        <v/>
      </c>
      <c r="P228" s="12">
        <f>L229*5%</f>
        <v/>
      </c>
      <c r="Q228" s="12">
        <f>L229*2%</f>
        <v/>
      </c>
      <c r="R228" s="12">
        <f>AC229*0.5%</f>
        <v/>
      </c>
      <c r="S228" s="12">
        <f>L229*1%</f>
        <v/>
      </c>
      <c r="T228" s="60">
        <f>S229+Q229+P229+O229+N229+M229</f>
        <v/>
      </c>
      <c r="U228" s="2">
        <f>AC229*1%</f>
        <v/>
      </c>
      <c r="V228" s="44">
        <f>AC229*5%</f>
        <v/>
      </c>
      <c r="W228" s="2">
        <f>AC229*1%</f>
        <v/>
      </c>
      <c r="X228" s="2">
        <f>AC229*8%</f>
        <v/>
      </c>
      <c r="Y228" s="2">
        <f>U229+V229+W229+X229</f>
        <v/>
      </c>
      <c r="Z228" s="60">
        <f>Y229+T229+L229</f>
        <v/>
      </c>
      <c r="AA228" s="11">
        <f>Z229*20%</f>
        <v/>
      </c>
      <c r="AB228" s="12">
        <f>Z229+AA229</f>
        <v/>
      </c>
      <c r="AC228" s="2">
        <f>D229*2.1</f>
        <v/>
      </c>
      <c r="AD228" s="12">
        <f>AB229-AC229</f>
        <v/>
      </c>
      <c r="AE228" s="12">
        <f>AD229/AB229*100</f>
        <v/>
      </c>
      <c r="AF228" s="92" t="n">
        <v>1045</v>
      </c>
      <c r="AG228" s="62">
        <f>((AF229-L229)/L229)*100</f>
        <v/>
      </c>
      <c r="AH228" s="106">
        <f>AJ229-AF229</f>
        <v/>
      </c>
      <c r="AI228" s="65" t="n">
        <v>1290</v>
      </c>
      <c r="AJ228" s="65" t="n">
        <v>1190</v>
      </c>
      <c r="AK228" s="66">
        <f>(AJ229-L229)/L229*100</f>
        <v/>
      </c>
      <c r="AL228" s="66" t="n"/>
      <c r="AM228" s="14">
        <f>AH229/AJ229%</f>
        <v/>
      </c>
      <c r="AN228" s="67">
        <f>AK229-AG229</f>
        <v/>
      </c>
      <c r="AO228" s="68">
        <f>AJ229/L229</f>
        <v/>
      </c>
      <c r="AP228" s="69">
        <f>(AJ229-AB229)/100</f>
        <v/>
      </c>
      <c r="AQ228" s="70">
        <f>(AJ229-AC229)/100</f>
        <v/>
      </c>
      <c r="AR228" s="71">
        <f>AI229/94</f>
        <v/>
      </c>
      <c r="AS228" s="71">
        <f>AJ229/94</f>
        <v/>
      </c>
      <c r="AT228" s="72">
        <f>AI229/24</f>
        <v/>
      </c>
      <c r="AU228" s="72">
        <f>AJ229/24</f>
        <v/>
      </c>
      <c r="AV228" s="73">
        <f>AI229/125</f>
        <v/>
      </c>
      <c r="AW228" s="73">
        <f>AJ229/125</f>
        <v/>
      </c>
    </row>
    <row r="229" ht="15.75" customHeight="1" s="258">
      <c r="A229" s="2" t="inlineStr">
        <is>
          <t>Conscious Cards</t>
        </is>
      </c>
      <c r="B229" s="2" t="inlineStr">
        <is>
          <t>Standard</t>
        </is>
      </c>
      <c r="C229" s="2" t="inlineStr">
        <is>
          <t>MS-CC</t>
        </is>
      </c>
      <c r="D229" s="118" t="n">
        <v>750</v>
      </c>
      <c r="F229" s="2" t="n">
        <v>50</v>
      </c>
      <c r="G229" s="122" t="n">
        <v>95044000</v>
      </c>
      <c r="H229" s="255" t="n">
        <v>0.05</v>
      </c>
      <c r="I229" s="2">
        <f>D230*H230</f>
        <v/>
      </c>
      <c r="K229" s="2" t="n">
        <v>50</v>
      </c>
      <c r="L229" s="123">
        <f>K230+J230+I230+F230+E230+D230</f>
        <v/>
      </c>
      <c r="M229" s="2">
        <f>D230*1%</f>
        <v/>
      </c>
      <c r="N229" s="12">
        <f>L230*8%</f>
        <v/>
      </c>
      <c r="O229" s="12">
        <f>L230*10%</f>
        <v/>
      </c>
      <c r="P229" s="12">
        <f>L230*5%</f>
        <v/>
      </c>
      <c r="Q229" s="12">
        <f>L230*2%</f>
        <v/>
      </c>
      <c r="R229" s="12">
        <f>AC230*0.5%</f>
        <v/>
      </c>
      <c r="S229" s="12">
        <f>L230*1%</f>
        <v/>
      </c>
      <c r="T229" s="124">
        <f>S230+Q230+P230+O230+N230+M230</f>
        <v/>
      </c>
      <c r="U229" s="2">
        <f>AC230*1%</f>
        <v/>
      </c>
      <c r="V229" s="44">
        <f>AC230*5%</f>
        <v/>
      </c>
      <c r="W229" s="2">
        <f>AC230*1%</f>
        <v/>
      </c>
      <c r="X229" s="2">
        <f>AC230*8%</f>
        <v/>
      </c>
      <c r="Y229" s="2">
        <f>U230+V230+W230+X230</f>
        <v/>
      </c>
      <c r="Z229" s="124">
        <f>Y230+T230+L230</f>
        <v/>
      </c>
      <c r="AA229" s="125">
        <f>Z230*20%</f>
        <v/>
      </c>
      <c r="AB229" s="12">
        <f>Z230+AA230</f>
        <v/>
      </c>
      <c r="AC229" s="2">
        <f>D230*2.1</f>
        <v/>
      </c>
      <c r="AD229" s="12">
        <f>AB230-AC230</f>
        <v/>
      </c>
      <c r="AE229" s="12">
        <f>AD230/AB230*100</f>
        <v/>
      </c>
      <c r="AF229" s="92" t="n">
        <v>1499</v>
      </c>
      <c r="AG229" s="126">
        <f>((AF230-L230)/L230)*100</f>
        <v/>
      </c>
      <c r="AH229" s="132">
        <f>AJ230-AF230</f>
        <v/>
      </c>
      <c r="AI229" s="132">
        <f>AB230</f>
        <v/>
      </c>
      <c r="AJ229" s="132" t="n">
        <v>1599</v>
      </c>
      <c r="AK229" s="128">
        <f>(AJ230-L230)/L230*100</f>
        <v/>
      </c>
      <c r="AL229" s="128" t="n"/>
      <c r="AM229" s="128">
        <f>AH230/AJ230%</f>
        <v/>
      </c>
      <c r="AN229" s="128">
        <f>AK230-AG230</f>
        <v/>
      </c>
      <c r="AO229" s="129">
        <f>AJ230/L230</f>
        <v/>
      </c>
      <c r="AP229" s="128">
        <f>(AJ230-AB230)/100</f>
        <v/>
      </c>
      <c r="AQ229" s="128">
        <f>(AJ230-AC230)/100</f>
        <v/>
      </c>
      <c r="AR229" s="130">
        <f>AI230/94</f>
        <v/>
      </c>
      <c r="AS229" s="130">
        <f>AJ230/94</f>
        <v/>
      </c>
      <c r="AT229" s="131">
        <f>AI230/24</f>
        <v/>
      </c>
      <c r="AU229" s="131">
        <f>AJ230/24</f>
        <v/>
      </c>
      <c r="AV229" s="131">
        <f>AI230/125</f>
        <v/>
      </c>
      <c r="AW229" s="131">
        <f>AJ230/125</f>
        <v/>
      </c>
    </row>
    <row r="230" ht="15.75" customHeight="1" s="258">
      <c r="A230" s="2" t="inlineStr">
        <is>
          <t>Crystal Bowl Bag</t>
        </is>
      </c>
      <c r="B230" s="2" t="inlineStr">
        <is>
          <t>Small</t>
        </is>
      </c>
      <c r="C230" s="2" t="inlineStr">
        <is>
          <t>MI-CB-B-S</t>
        </is>
      </c>
      <c r="D230" s="118" t="n">
        <v>800</v>
      </c>
      <c r="F230" s="2" t="n">
        <v>140</v>
      </c>
      <c r="G230" s="118" t="n">
        <v>42022220</v>
      </c>
      <c r="H230" s="255" t="n">
        <v>0.05</v>
      </c>
      <c r="I230" s="2">
        <f>D231*H231</f>
        <v/>
      </c>
      <c r="K230" s="152" t="n">
        <v>100</v>
      </c>
      <c r="L230" s="4">
        <f>K231+J231+I231+F231+E231+D231</f>
        <v/>
      </c>
      <c r="M230" s="2">
        <f>D231*1%</f>
        <v/>
      </c>
      <c r="N230" s="12">
        <f>L231*8%</f>
        <v/>
      </c>
      <c r="O230" s="12">
        <f>L231*10%</f>
        <v/>
      </c>
      <c r="P230" s="12">
        <f>L231*5%</f>
        <v/>
      </c>
      <c r="Q230" s="12">
        <f>L231*2%</f>
        <v/>
      </c>
      <c r="R230" s="12">
        <f>AC231*0.5%</f>
        <v/>
      </c>
      <c r="S230" s="12">
        <f>L231*1%</f>
        <v/>
      </c>
      <c r="T230" s="60">
        <f>S231+Q231+P231+O231+N231+M231</f>
        <v/>
      </c>
      <c r="U230" s="2">
        <f>AC231*1%</f>
        <v/>
      </c>
      <c r="V230" s="44">
        <f>AC231*5%</f>
        <v/>
      </c>
      <c r="W230" s="2">
        <f>AC231*1%</f>
        <v/>
      </c>
      <c r="X230" s="2">
        <f>AC231*8%</f>
        <v/>
      </c>
      <c r="Y230" s="2">
        <f>U231+V231+W231+X231</f>
        <v/>
      </c>
      <c r="Z230" s="60">
        <f>Y231+T231+L231</f>
        <v/>
      </c>
      <c r="AA230" s="11">
        <f>Z231*20%</f>
        <v/>
      </c>
      <c r="AB230" s="12">
        <f>Z231+AA231</f>
        <v/>
      </c>
      <c r="AC230" s="2">
        <f>D231*2.1</f>
        <v/>
      </c>
      <c r="AD230" s="12">
        <f>AB231-AC231</f>
        <v/>
      </c>
      <c r="AE230" s="12">
        <f>AD231/AB231*100</f>
        <v/>
      </c>
      <c r="AF230" s="92" t="n">
        <v>1450</v>
      </c>
      <c r="AG230" s="62">
        <f>((AF231-L231)/L231)*100</f>
        <v/>
      </c>
      <c r="AH230" s="106">
        <f>AJ231-AF231</f>
        <v/>
      </c>
      <c r="AI230" s="65">
        <f>AB231</f>
        <v/>
      </c>
      <c r="AJ230" s="65" t="n">
        <v>1690</v>
      </c>
      <c r="AK230" s="66">
        <f>(AJ231-L231)/L231*100</f>
        <v/>
      </c>
      <c r="AL230" s="66" t="n"/>
      <c r="AM230" s="14">
        <f>AH231/AJ231%</f>
        <v/>
      </c>
      <c r="AN230" s="67">
        <f>AK231-AG231</f>
        <v/>
      </c>
      <c r="AO230" s="68">
        <f>AJ231/L231</f>
        <v/>
      </c>
      <c r="AP230" s="69">
        <f>(AJ231-AB231)/100</f>
        <v/>
      </c>
      <c r="AQ230" s="70">
        <f>(AJ231-AC231)/100</f>
        <v/>
      </c>
      <c r="AR230" s="71">
        <f>AI231/94</f>
        <v/>
      </c>
      <c r="AS230" s="71">
        <f>AJ231/94</f>
        <v/>
      </c>
      <c r="AT230" s="72">
        <f>AI231/24</f>
        <v/>
      </c>
      <c r="AU230" s="72">
        <f>AJ231/24</f>
        <v/>
      </c>
      <c r="AV230" s="73">
        <f>AI231/125</f>
        <v/>
      </c>
      <c r="AW230" s="73">
        <f>AJ231/125</f>
        <v/>
      </c>
    </row>
    <row r="231" ht="15" customHeight="1" s="258">
      <c r="A231" s="2" t="n"/>
      <c r="B231" s="2" t="inlineStr">
        <is>
          <t>Medium</t>
        </is>
      </c>
      <c r="C231" s="2" t="inlineStr">
        <is>
          <t>MI-CB-B-M</t>
        </is>
      </c>
      <c r="D231" s="118" t="n">
        <v>1000</v>
      </c>
      <c r="F231" s="2" t="n">
        <v>140</v>
      </c>
      <c r="G231" s="118" t="n">
        <v>42022220</v>
      </c>
      <c r="H231" s="255" t="n">
        <v>0.05</v>
      </c>
      <c r="I231" s="2">
        <f>D232*H232</f>
        <v/>
      </c>
      <c r="K231" s="152" t="n">
        <v>100</v>
      </c>
      <c r="L231" s="4">
        <f>K232+J232+I232+F232+E232+D232</f>
        <v/>
      </c>
      <c r="M231" s="2">
        <f>D232*1%</f>
        <v/>
      </c>
      <c r="N231" s="12">
        <f>L232*8%</f>
        <v/>
      </c>
      <c r="O231" s="12">
        <f>L232*10%</f>
        <v/>
      </c>
      <c r="P231" s="12">
        <f>L232*5%</f>
        <v/>
      </c>
      <c r="Q231" s="12">
        <f>L232*2%</f>
        <v/>
      </c>
      <c r="R231" s="12">
        <f>AC232*0.5%</f>
        <v/>
      </c>
      <c r="S231" s="12">
        <f>L232*1%</f>
        <v/>
      </c>
      <c r="T231" s="60">
        <f>S232+Q232+P232+O232+N232+M232</f>
        <v/>
      </c>
      <c r="U231" s="2">
        <f>AC232*1%</f>
        <v/>
      </c>
      <c r="V231" s="44">
        <f>AC232*5%</f>
        <v/>
      </c>
      <c r="W231" s="2">
        <f>AC232*1%</f>
        <v/>
      </c>
      <c r="X231" s="2">
        <f>AC232*8%</f>
        <v/>
      </c>
      <c r="Y231" s="2">
        <f>U232+V232+W232+X232</f>
        <v/>
      </c>
      <c r="Z231" s="60">
        <f>Y232+T232+L232</f>
        <v/>
      </c>
      <c r="AA231" s="11">
        <f>Z232*20%</f>
        <v/>
      </c>
      <c r="AB231" s="12">
        <f>Z232+AA232</f>
        <v/>
      </c>
      <c r="AC231" s="2">
        <f>D232*2.1</f>
        <v/>
      </c>
      <c r="AD231" s="12">
        <f>AB232-AC232</f>
        <v/>
      </c>
      <c r="AE231" s="12">
        <f>AD232/AB232*100</f>
        <v/>
      </c>
      <c r="AF231" s="92" t="n">
        <v>1650</v>
      </c>
      <c r="AG231" s="62">
        <f>((AF232-L232)/L232)*100</f>
        <v/>
      </c>
      <c r="AH231" s="106">
        <f>AJ232-AF232</f>
        <v/>
      </c>
      <c r="AI231" s="65">
        <f>AB232</f>
        <v/>
      </c>
      <c r="AJ231" s="65" t="n">
        <v>1990</v>
      </c>
      <c r="AK231" s="66">
        <f>(AJ232-L232)/L232*100</f>
        <v/>
      </c>
      <c r="AL231" s="66" t="n"/>
      <c r="AM231" s="14">
        <f>AH232/AJ232%</f>
        <v/>
      </c>
      <c r="AN231" s="67">
        <f>AK232-AG232</f>
        <v/>
      </c>
      <c r="AO231" s="68">
        <f>AJ232/L232</f>
        <v/>
      </c>
      <c r="AP231" s="69">
        <f>(AJ232-AB232)/100</f>
        <v/>
      </c>
      <c r="AQ231" s="70">
        <f>(AJ232-AC232)/100</f>
        <v/>
      </c>
      <c r="AR231" s="71">
        <f>AI232/94</f>
        <v/>
      </c>
      <c r="AS231" s="71">
        <f>AJ232/94</f>
        <v/>
      </c>
      <c r="AT231" s="72">
        <f>AI232/24</f>
        <v/>
      </c>
      <c r="AU231" s="72">
        <f>AJ232/24</f>
        <v/>
      </c>
      <c r="AV231" s="73">
        <f>AI232/125</f>
        <v/>
      </c>
      <c r="AW231" s="73">
        <f>AJ232/125</f>
        <v/>
      </c>
    </row>
    <row r="232" ht="15.75" customHeight="1" s="258">
      <c r="A232" s="2" t="n"/>
      <c r="B232" s="2" t="inlineStr">
        <is>
          <t>Large</t>
        </is>
      </c>
      <c r="C232" s="2" t="inlineStr">
        <is>
          <t>MI-CB-B-L</t>
        </is>
      </c>
      <c r="D232" s="118" t="n">
        <v>1200</v>
      </c>
      <c r="F232" s="2" t="n">
        <v>140</v>
      </c>
      <c r="G232" s="118" t="n">
        <v>42022220</v>
      </c>
      <c r="H232" s="255" t="n">
        <v>0.05</v>
      </c>
      <c r="I232" s="2">
        <f>D233*H233</f>
        <v/>
      </c>
      <c r="K232" s="152" t="n">
        <v>100</v>
      </c>
      <c r="L232" s="4">
        <f>K233+J233+I233+F233+E233+D233</f>
        <v/>
      </c>
      <c r="M232" s="2">
        <f>D233*1%</f>
        <v/>
      </c>
      <c r="N232" s="12">
        <f>L233*8%</f>
        <v/>
      </c>
      <c r="O232" s="12">
        <f>L233*10%</f>
        <v/>
      </c>
      <c r="P232" s="12">
        <f>L233*5%</f>
        <v/>
      </c>
      <c r="Q232" s="12">
        <f>L233*2%</f>
        <v/>
      </c>
      <c r="R232" s="12">
        <f>AC233*0.5%</f>
        <v/>
      </c>
      <c r="S232" s="12">
        <f>L233*1%</f>
        <v/>
      </c>
      <c r="T232" s="60">
        <f>S233+Q233+P233+O233+N233+M233</f>
        <v/>
      </c>
      <c r="U232" s="2">
        <f>AC233*1%</f>
        <v/>
      </c>
      <c r="V232" s="44">
        <f>AC233*5%</f>
        <v/>
      </c>
      <c r="W232" s="2">
        <f>AC233*1%</f>
        <v/>
      </c>
      <c r="X232" s="2">
        <f>AC233*8%</f>
        <v/>
      </c>
      <c r="Y232" s="2">
        <f>U233+V233+W233+X233</f>
        <v/>
      </c>
      <c r="Z232" s="60">
        <f>Y233+T233+L233</f>
        <v/>
      </c>
      <c r="AA232" s="11">
        <f>Z233*20%</f>
        <v/>
      </c>
      <c r="AB232" s="12">
        <f>Z233+AA233</f>
        <v/>
      </c>
      <c r="AC232" s="2">
        <f>D233*2.1</f>
        <v/>
      </c>
      <c r="AD232" s="12">
        <f>AB233-AC233</f>
        <v/>
      </c>
      <c r="AE232" s="12">
        <f>AD233/AB233*100</f>
        <v/>
      </c>
      <c r="AF232" s="92" t="n">
        <v>1850</v>
      </c>
      <c r="AG232" s="62">
        <f>((AF233-L233)/L233)*100</f>
        <v/>
      </c>
      <c r="AH232" s="106">
        <f>AJ233-AF233</f>
        <v/>
      </c>
      <c r="AI232" s="65" t="n">
        <v>2500</v>
      </c>
      <c r="AJ232" s="65" t="n">
        <v>2290</v>
      </c>
      <c r="AK232" s="66">
        <f>(AJ233-L233)/L233*100</f>
        <v/>
      </c>
      <c r="AL232" s="66" t="n"/>
      <c r="AM232" s="14">
        <f>AH233/AJ233%</f>
        <v/>
      </c>
      <c r="AN232" s="67">
        <f>AK233-AG233</f>
        <v/>
      </c>
      <c r="AO232" s="68">
        <f>AJ233/L233</f>
        <v/>
      </c>
      <c r="AP232" s="69">
        <f>(AJ233-AB233)/100</f>
        <v/>
      </c>
      <c r="AQ232" s="70">
        <f>(AJ233-AC233)/100</f>
        <v/>
      </c>
      <c r="AR232" s="71">
        <f>AI233/94</f>
        <v/>
      </c>
      <c r="AS232" s="71">
        <f>AJ233/94</f>
        <v/>
      </c>
      <c r="AT232" s="72">
        <f>AI233/24</f>
        <v/>
      </c>
      <c r="AU232" s="72">
        <f>AJ233/24</f>
        <v/>
      </c>
      <c r="AV232" s="73">
        <f>AI233/125</f>
        <v/>
      </c>
      <c r="AW232" s="73">
        <f>AJ233/125</f>
        <v/>
      </c>
    </row>
    <row r="233" ht="15.75" customHeight="1" s="258">
      <c r="A233" s="2" t="inlineStr">
        <is>
          <t>Crystal Bowl with Handle</t>
        </is>
      </c>
      <c r="B233" s="2" t="inlineStr">
        <is>
          <t>Standard</t>
        </is>
      </c>
      <c r="C233" s="2" t="inlineStr">
        <is>
          <t>MI-CBH</t>
        </is>
      </c>
      <c r="D233" s="118" t="inlineStr">
        <is>
          <t>N/A</t>
        </is>
      </c>
      <c r="F233" s="2" t="n">
        <v>10</v>
      </c>
      <c r="G233" s="118" t="n">
        <v>70139900</v>
      </c>
      <c r="H233" s="255" t="n">
        <v>0.18</v>
      </c>
      <c r="I233" s="2">
        <f>D234*H234</f>
        <v/>
      </c>
      <c r="K233" s="133">
        <f>D234*4%</f>
        <v/>
      </c>
      <c r="L233" s="4">
        <f>K234+J234+I234+F234+E234+D234</f>
        <v/>
      </c>
      <c r="M233" s="2">
        <f>D234*1%</f>
        <v/>
      </c>
      <c r="N233" s="12">
        <f>L234*8%</f>
        <v/>
      </c>
      <c r="O233" s="12">
        <f>L234*10%</f>
        <v/>
      </c>
      <c r="P233" s="12">
        <f>L234*5%</f>
        <v/>
      </c>
      <c r="Q233" s="12">
        <f>L234*2%</f>
        <v/>
      </c>
      <c r="R233" s="12">
        <f>AC234*0.5%</f>
        <v/>
      </c>
      <c r="S233" s="12">
        <f>L234*1%</f>
        <v/>
      </c>
      <c r="T233" s="4">
        <f>S234+Q234+P234+O234+N234+M234</f>
        <v/>
      </c>
      <c r="U233" s="2">
        <f>AC234*1%</f>
        <v/>
      </c>
      <c r="V233" s="44">
        <f>AC234*5%</f>
        <v/>
      </c>
      <c r="W233" s="2">
        <f>AC234*1%</f>
        <v/>
      </c>
      <c r="X233" s="2">
        <f>AC234*8%</f>
        <v/>
      </c>
      <c r="Y233" s="2">
        <f>U234+V234+W234+X234</f>
        <v/>
      </c>
      <c r="Z233" s="60">
        <f>Y234+T234+L234</f>
        <v/>
      </c>
      <c r="AA233" s="11">
        <f>Z234*20%</f>
        <v/>
      </c>
      <c r="AB233" s="2">
        <f>Z234+AA234</f>
        <v/>
      </c>
      <c r="AC233" s="2">
        <f>D234*2.1</f>
        <v/>
      </c>
      <c r="AD233" s="12">
        <f>AB234-AC234</f>
        <v/>
      </c>
      <c r="AE233" s="12">
        <f>AD234/AB234*100</f>
        <v/>
      </c>
      <c r="AF233" s="92" t="n">
        <v>19500</v>
      </c>
      <c r="AG233" s="62">
        <f>((AF234-L234)/L234)*100</f>
        <v/>
      </c>
      <c r="AH233" s="106">
        <f>AJ234-AF234</f>
        <v/>
      </c>
      <c r="AI233" s="65">
        <f>AB234</f>
        <v/>
      </c>
      <c r="AJ233" s="65">
        <f>AI234-(AI234*7%)</f>
        <v/>
      </c>
      <c r="AK233" s="66">
        <f>(AJ234-L234)/L234*100</f>
        <v/>
      </c>
      <c r="AL233" s="66" t="n"/>
      <c r="AM233" s="14">
        <f>AH234/AJ234%</f>
        <v/>
      </c>
      <c r="AN233" s="67">
        <f>AK234-AG234</f>
        <v/>
      </c>
      <c r="AO233" s="68">
        <f>AJ234/L234</f>
        <v/>
      </c>
      <c r="AP233" s="69">
        <f>(AJ234-AB234)/100</f>
        <v/>
      </c>
      <c r="AQ233" s="70">
        <f>(AJ234-AC234)/100</f>
        <v/>
      </c>
      <c r="AR233" s="71">
        <f>AI234/94</f>
        <v/>
      </c>
      <c r="AS233" s="71">
        <f>AJ234/94</f>
        <v/>
      </c>
      <c r="AT233" s="72">
        <f>AI234/24</f>
        <v/>
      </c>
      <c r="AU233" s="72">
        <f>AJ234/24</f>
        <v/>
      </c>
      <c r="AV233" s="73">
        <f>AI234/125</f>
        <v/>
      </c>
      <c r="AW233" s="73">
        <f>AJ234/125</f>
        <v/>
      </c>
    </row>
    <row r="234" ht="15.75" customHeight="1" s="258">
      <c r="A234" s="2" t="inlineStr">
        <is>
          <t>Crystal Bowls - Frosted white</t>
        </is>
      </c>
      <c r="B234" s="2" t="inlineStr">
        <is>
          <t>6 in</t>
        </is>
      </c>
      <c r="C234" s="2" t="inlineStr">
        <is>
          <t>MI-CB-W-6</t>
        </is>
      </c>
      <c r="D234" s="134" t="n">
        <v>5500</v>
      </c>
      <c r="F234" s="2" t="n">
        <v>140</v>
      </c>
      <c r="G234" s="118" t="n">
        <v>70139900</v>
      </c>
      <c r="H234" s="255" t="n">
        <v>0.18</v>
      </c>
      <c r="I234" s="2">
        <f>D235*H235</f>
        <v/>
      </c>
      <c r="K234" s="152" t="n">
        <v>400</v>
      </c>
      <c r="L234" s="135">
        <f>K235+J235+I235+F235+E235+D235</f>
        <v/>
      </c>
      <c r="M234" s="2">
        <f>D235*1%</f>
        <v/>
      </c>
      <c r="N234" s="12">
        <f>L235*8%</f>
        <v/>
      </c>
      <c r="O234" s="12">
        <f>L235*10%</f>
        <v/>
      </c>
      <c r="P234" s="12">
        <f>L235*5%</f>
        <v/>
      </c>
      <c r="Q234" s="12">
        <f>L235*2%</f>
        <v/>
      </c>
      <c r="R234" s="12">
        <f>AC235*0.5%</f>
        <v/>
      </c>
      <c r="S234" s="12">
        <f>L235*1%</f>
        <v/>
      </c>
      <c r="T234" s="60">
        <f>S235+Q235+P235+O235+N235+M235</f>
        <v/>
      </c>
      <c r="U234" s="2">
        <f>AC235*1%</f>
        <v/>
      </c>
      <c r="V234" s="44">
        <f>AC235*5%</f>
        <v/>
      </c>
      <c r="W234" s="2">
        <f>AC235*1%</f>
        <v/>
      </c>
      <c r="X234" s="2">
        <f>AC235*8%</f>
        <v/>
      </c>
      <c r="Y234" s="2">
        <f>U235+V235+W235+X235</f>
        <v/>
      </c>
      <c r="Z234" s="60">
        <f>Y235+T235+L235</f>
        <v/>
      </c>
      <c r="AA234" s="11">
        <f>Z235*20%</f>
        <v/>
      </c>
      <c r="AB234" s="12">
        <f>Z235+AA235</f>
        <v/>
      </c>
      <c r="AC234" s="2">
        <f>D235*2.1</f>
        <v/>
      </c>
      <c r="AD234" s="12">
        <f>AB235-AC235</f>
        <v/>
      </c>
      <c r="AE234" s="12">
        <f>AD235/AB235*100</f>
        <v/>
      </c>
      <c r="AF234" s="92" t="n">
        <v>8950</v>
      </c>
      <c r="AG234" s="62">
        <f>((AF235-L235)/L235)*100</f>
        <v/>
      </c>
      <c r="AH234" s="106">
        <f>AJ235-AF235</f>
        <v/>
      </c>
      <c r="AI234" s="65">
        <f>AB235</f>
        <v/>
      </c>
      <c r="AJ234" s="65" t="n">
        <v>9950</v>
      </c>
      <c r="AK234" s="66">
        <f>(AJ235-L235)/L235*100</f>
        <v/>
      </c>
      <c r="AL234" s="66" t="n"/>
      <c r="AM234" s="14">
        <f>AH235/AJ235%</f>
        <v/>
      </c>
      <c r="AN234" s="67">
        <f>AK235-AG235</f>
        <v/>
      </c>
      <c r="AO234" s="68">
        <f>AJ235/L235</f>
        <v/>
      </c>
      <c r="AP234" s="69">
        <f>(AJ235-AB235)/100</f>
        <v/>
      </c>
      <c r="AQ234" s="70">
        <f>(AJ235-AC235)/100</f>
        <v/>
      </c>
      <c r="AR234" s="71">
        <f>AI235/94</f>
        <v/>
      </c>
      <c r="AS234" s="71">
        <f>AJ235/94</f>
        <v/>
      </c>
      <c r="AT234" s="72">
        <f>AI235/24</f>
        <v/>
      </c>
      <c r="AU234" s="72">
        <f>AJ235/24</f>
        <v/>
      </c>
      <c r="AV234" s="73">
        <f>AI235/125</f>
        <v/>
      </c>
      <c r="AW234" s="73">
        <f>AJ235/125</f>
        <v/>
      </c>
    </row>
    <row r="235" ht="15" customHeight="1" s="258">
      <c r="A235" s="2" t="n"/>
      <c r="B235" s="2" t="inlineStr">
        <is>
          <t>7 in</t>
        </is>
      </c>
      <c r="C235" s="2" t="inlineStr">
        <is>
          <t>MI-CB-W-7</t>
        </is>
      </c>
      <c r="D235" s="134" t="n">
        <v>6000</v>
      </c>
      <c r="F235" s="2" t="n">
        <v>140</v>
      </c>
      <c r="G235" s="118" t="n">
        <v>70139900</v>
      </c>
      <c r="H235" s="255" t="n">
        <v>0.18</v>
      </c>
      <c r="I235" s="2">
        <f>D236*H236</f>
        <v/>
      </c>
      <c r="K235" s="152" t="n">
        <v>400</v>
      </c>
      <c r="L235" s="135">
        <f>K236+J236+I236+F236+E236+D236</f>
        <v/>
      </c>
      <c r="M235" s="2">
        <f>D236*1%</f>
        <v/>
      </c>
      <c r="N235" s="12">
        <f>L236*8%</f>
        <v/>
      </c>
      <c r="O235" s="12">
        <f>L236*10%</f>
        <v/>
      </c>
      <c r="P235" s="12">
        <f>L236*5%</f>
        <v/>
      </c>
      <c r="Q235" s="12">
        <f>L236*2%</f>
        <v/>
      </c>
      <c r="R235" s="12">
        <f>AC236*0.5%</f>
        <v/>
      </c>
      <c r="S235" s="12">
        <f>L236*1%</f>
        <v/>
      </c>
      <c r="T235" s="60">
        <f>S236+Q236+P236+O236+N236+M236</f>
        <v/>
      </c>
      <c r="U235" s="2">
        <f>AC236*1%</f>
        <v/>
      </c>
      <c r="V235" s="44">
        <f>AC236*5%</f>
        <v/>
      </c>
      <c r="W235" s="2">
        <f>AC236*1%</f>
        <v/>
      </c>
      <c r="X235" s="2">
        <f>AC236*8%</f>
        <v/>
      </c>
      <c r="Y235" s="2">
        <f>U236+V236+W236+X236</f>
        <v/>
      </c>
      <c r="Z235" s="60">
        <f>Y236+T236+L236</f>
        <v/>
      </c>
      <c r="AA235" s="11">
        <f>Z236*20%</f>
        <v/>
      </c>
      <c r="AB235" s="12">
        <f>Z236+AA236</f>
        <v/>
      </c>
      <c r="AC235" s="2">
        <f>D236*2.1</f>
        <v/>
      </c>
      <c r="AD235" s="12">
        <f>AB236-AC236</f>
        <v/>
      </c>
      <c r="AE235" s="12">
        <f>AD236/AB236*100</f>
        <v/>
      </c>
      <c r="AF235" s="92" t="n">
        <v>9650</v>
      </c>
      <c r="AG235" s="62">
        <f>((AF236-L236)/L236)*100</f>
        <v/>
      </c>
      <c r="AH235" s="106">
        <f>AJ236-AF236</f>
        <v/>
      </c>
      <c r="AI235" s="65" t="n">
        <v>13990</v>
      </c>
      <c r="AJ235" s="65" t="n">
        <v>10850</v>
      </c>
      <c r="AK235" s="66">
        <f>(AJ236-L236)/L236*100</f>
        <v/>
      </c>
      <c r="AL235" s="66" t="n"/>
      <c r="AM235" s="14">
        <f>AH236/AJ236%</f>
        <v/>
      </c>
      <c r="AN235" s="67">
        <f>AK236-AG236</f>
        <v/>
      </c>
      <c r="AO235" s="68">
        <f>AJ236/L236</f>
        <v/>
      </c>
      <c r="AP235" s="69">
        <f>(AJ236-AB236)/100</f>
        <v/>
      </c>
      <c r="AQ235" s="70">
        <f>(AJ236-AC236)/100</f>
        <v/>
      </c>
      <c r="AR235" s="71">
        <f>AI236/94</f>
        <v/>
      </c>
      <c r="AS235" s="71">
        <f>AJ236/94</f>
        <v/>
      </c>
      <c r="AT235" s="72">
        <f>AI236/24</f>
        <v/>
      </c>
      <c r="AU235" s="72">
        <f>AJ236/24</f>
        <v/>
      </c>
      <c r="AV235" s="73">
        <f>AI236/125</f>
        <v/>
      </c>
      <c r="AW235" s="73">
        <f>AJ236/125</f>
        <v/>
      </c>
    </row>
    <row r="236" ht="15.75" customHeight="1" s="258">
      <c r="A236" s="2" t="n"/>
      <c r="B236" s="2" t="inlineStr">
        <is>
          <t>8 in</t>
        </is>
      </c>
      <c r="C236" s="2" t="inlineStr">
        <is>
          <t>MI-CB-W-8</t>
        </is>
      </c>
      <c r="D236" s="134" t="n">
        <v>6500</v>
      </c>
      <c r="F236" s="2" t="n">
        <v>140</v>
      </c>
      <c r="G236" s="118" t="n">
        <v>70139900</v>
      </c>
      <c r="H236" s="255" t="n">
        <v>0.18</v>
      </c>
      <c r="I236" s="2">
        <f>D237*H237</f>
        <v/>
      </c>
      <c r="K236" s="152" t="n">
        <v>400</v>
      </c>
      <c r="L236" s="135">
        <f>K237+J237+I237+F237+E237+D237</f>
        <v/>
      </c>
      <c r="M236" s="2">
        <f>D237*1%</f>
        <v/>
      </c>
      <c r="N236" s="12">
        <f>L237*8%</f>
        <v/>
      </c>
      <c r="O236" s="12">
        <f>L237*10%</f>
        <v/>
      </c>
      <c r="P236" s="12">
        <f>L237*5%</f>
        <v/>
      </c>
      <c r="Q236" s="12">
        <f>L237*2%</f>
        <v/>
      </c>
      <c r="R236" s="12">
        <f>AC237*0.5%</f>
        <v/>
      </c>
      <c r="S236" s="12">
        <f>L237*1%</f>
        <v/>
      </c>
      <c r="T236" s="60">
        <f>S237+Q237+P237+O237+N237+M237</f>
        <v/>
      </c>
      <c r="U236" s="2">
        <f>AC237*1%</f>
        <v/>
      </c>
      <c r="V236" s="44">
        <f>AC237*5%</f>
        <v/>
      </c>
      <c r="W236" s="2">
        <f>AC237*1%</f>
        <v/>
      </c>
      <c r="X236" s="2">
        <f>AC237*8%</f>
        <v/>
      </c>
      <c r="Y236" s="2">
        <f>U237+V237+W237+X237</f>
        <v/>
      </c>
      <c r="Z236" s="60">
        <f>Y237+T237+L237</f>
        <v/>
      </c>
      <c r="AA236" s="11">
        <f>Z237*20%</f>
        <v/>
      </c>
      <c r="AB236" s="12">
        <f>Z237+AA237</f>
        <v/>
      </c>
      <c r="AC236" s="2">
        <f>D237*2.1</f>
        <v/>
      </c>
      <c r="AD236" s="12">
        <f>AB237-AC237</f>
        <v/>
      </c>
      <c r="AE236" s="12">
        <f>AD237/AB237*100</f>
        <v/>
      </c>
      <c r="AF236" s="92" t="n">
        <v>10450</v>
      </c>
      <c r="AG236" s="62">
        <f>((AF237-L237)/L237)*100</f>
        <v/>
      </c>
      <c r="AH236" s="106">
        <f>AJ237-AF237</f>
        <v/>
      </c>
      <c r="AI236" s="65" t="n">
        <v>14990</v>
      </c>
      <c r="AJ236" s="65" t="n">
        <v>11650</v>
      </c>
      <c r="AK236" s="66">
        <f>(AJ237-L237)/L237*100</f>
        <v/>
      </c>
      <c r="AL236" s="66" t="n"/>
      <c r="AM236" s="14">
        <f>AH237/AJ237%</f>
        <v/>
      </c>
      <c r="AN236" s="67">
        <f>AK237-AG237</f>
        <v/>
      </c>
      <c r="AO236" s="68">
        <f>AJ237/L237</f>
        <v/>
      </c>
      <c r="AP236" s="69">
        <f>(AJ237-AB237)/100</f>
        <v/>
      </c>
      <c r="AQ236" s="70">
        <f>(AJ237-AC237)/100</f>
        <v/>
      </c>
      <c r="AR236" s="71">
        <f>AI237/94</f>
        <v/>
      </c>
      <c r="AS236" s="71">
        <f>AJ237/94</f>
        <v/>
      </c>
      <c r="AT236" s="72">
        <f>AI237/24</f>
        <v/>
      </c>
      <c r="AU236" s="72">
        <f>AJ237/24</f>
        <v/>
      </c>
      <c r="AV236" s="73">
        <f>AI237/125</f>
        <v/>
      </c>
      <c r="AW236" s="73">
        <f>AJ237/125</f>
        <v/>
      </c>
    </row>
    <row r="237" ht="15.75" customHeight="1" s="258">
      <c r="A237" s="2" t="n"/>
      <c r="B237" s="2" t="inlineStr">
        <is>
          <t>9 in</t>
        </is>
      </c>
      <c r="C237" s="2" t="inlineStr">
        <is>
          <t>MI-CB-W-9</t>
        </is>
      </c>
      <c r="D237" s="134" t="n">
        <v>7000</v>
      </c>
      <c r="F237" s="2" t="n">
        <v>140</v>
      </c>
      <c r="G237" s="118" t="n">
        <v>70139900</v>
      </c>
      <c r="H237" s="255" t="n">
        <v>0.18</v>
      </c>
      <c r="I237" s="2">
        <f>D238*H238</f>
        <v/>
      </c>
      <c r="K237" s="152" t="n">
        <v>400</v>
      </c>
      <c r="L237" s="135">
        <f>K238+J238+I238+F238+E238+D238</f>
        <v/>
      </c>
      <c r="M237" s="2">
        <f>D238*1%</f>
        <v/>
      </c>
      <c r="N237" s="12">
        <f>L238*8%</f>
        <v/>
      </c>
      <c r="O237" s="12">
        <f>L238*10%</f>
        <v/>
      </c>
      <c r="P237" s="12">
        <f>L238*5%</f>
        <v/>
      </c>
      <c r="Q237" s="12">
        <f>L238*2%</f>
        <v/>
      </c>
      <c r="R237" s="12">
        <f>AC238*0.5%</f>
        <v/>
      </c>
      <c r="S237" s="12">
        <f>L238*1%</f>
        <v/>
      </c>
      <c r="T237" s="60">
        <f>S238+Q238+P238+O238+N238+M238</f>
        <v/>
      </c>
      <c r="U237" s="2">
        <f>AC238*1%</f>
        <v/>
      </c>
      <c r="V237" s="44">
        <f>AC238*5%</f>
        <v/>
      </c>
      <c r="W237" s="2">
        <f>AC238*1%</f>
        <v/>
      </c>
      <c r="X237" s="2">
        <f>AC238*8%</f>
        <v/>
      </c>
      <c r="Y237" s="2">
        <f>U238+V238+W238+X238</f>
        <v/>
      </c>
      <c r="Z237" s="60">
        <f>Y238+T238+L238</f>
        <v/>
      </c>
      <c r="AA237" s="11">
        <f>Z238*20%</f>
        <v/>
      </c>
      <c r="AB237" s="12">
        <f>Z238+AA238</f>
        <v/>
      </c>
      <c r="AC237" s="2">
        <f>D238*2.1</f>
        <v/>
      </c>
      <c r="AD237" s="12">
        <f>AB238-AC238</f>
        <v/>
      </c>
      <c r="AE237" s="12">
        <f>AD238/AB238*100</f>
        <v/>
      </c>
      <c r="AF237" s="92" t="n">
        <v>11450</v>
      </c>
      <c r="AG237" s="62">
        <f>((AF238-L238)/L238)*100</f>
        <v/>
      </c>
      <c r="AH237" s="106">
        <f>AJ238-AF238</f>
        <v/>
      </c>
      <c r="AI237" s="65" t="n">
        <v>14990</v>
      </c>
      <c r="AJ237" s="65" t="n">
        <v>12500</v>
      </c>
      <c r="AK237" s="66">
        <f>(AJ238-L238)/L238*100</f>
        <v/>
      </c>
      <c r="AL237" s="66" t="n"/>
      <c r="AM237" s="14">
        <f>AH238/AJ238%</f>
        <v/>
      </c>
      <c r="AN237" s="67">
        <f>AK238-AG238</f>
        <v/>
      </c>
      <c r="AO237" s="68">
        <f>AJ238/L238</f>
        <v/>
      </c>
      <c r="AP237" s="69">
        <f>(AJ238-AB238)/100</f>
        <v/>
      </c>
      <c r="AQ237" s="70">
        <f>(AJ238-AC238)/100</f>
        <v/>
      </c>
      <c r="AR237" s="71">
        <f>AI238/94</f>
        <v/>
      </c>
      <c r="AS237" s="71">
        <f>AJ238/94</f>
        <v/>
      </c>
      <c r="AT237" s="72">
        <f>AI238/24</f>
        <v/>
      </c>
      <c r="AU237" s="72">
        <f>AJ238/24</f>
        <v/>
      </c>
      <c r="AV237" s="73">
        <f>AI238/125</f>
        <v/>
      </c>
      <c r="AW237" s="73">
        <f>AJ238/125</f>
        <v/>
      </c>
    </row>
    <row r="238" ht="15.75" customHeight="1" s="258">
      <c r="A238" s="2" t="n"/>
      <c r="B238" s="2" t="inlineStr">
        <is>
          <t>10 in</t>
        </is>
      </c>
      <c r="C238" s="2" t="inlineStr">
        <is>
          <t>MI-CB-W-10</t>
        </is>
      </c>
      <c r="D238" s="134" t="n">
        <v>8000</v>
      </c>
      <c r="F238" s="2" t="n">
        <v>140</v>
      </c>
      <c r="G238" s="118" t="n">
        <v>70139900</v>
      </c>
      <c r="H238" s="255" t="n">
        <v>0.18</v>
      </c>
      <c r="I238" s="2">
        <f>D239*H239</f>
        <v/>
      </c>
      <c r="K238" s="152" t="n">
        <v>400</v>
      </c>
      <c r="L238" s="135">
        <f>K239+J239+I239+F239+E239+D239</f>
        <v/>
      </c>
      <c r="M238" s="2">
        <f>D239*1%</f>
        <v/>
      </c>
      <c r="N238" s="12">
        <f>L239*8%</f>
        <v/>
      </c>
      <c r="O238" s="12">
        <f>L239*10%</f>
        <v/>
      </c>
      <c r="P238" s="12">
        <f>L239*5%</f>
        <v/>
      </c>
      <c r="Q238" s="12">
        <f>L239*2%</f>
        <v/>
      </c>
      <c r="R238" s="12">
        <f>AC239*0.5%</f>
        <v/>
      </c>
      <c r="S238" s="12">
        <f>L239*1%</f>
        <v/>
      </c>
      <c r="T238" s="60">
        <f>S239+Q239+P239+O239+N239+M239</f>
        <v/>
      </c>
      <c r="U238" s="2">
        <f>AC239*1%</f>
        <v/>
      </c>
      <c r="V238" s="44">
        <f>AC239*5%</f>
        <v/>
      </c>
      <c r="W238" s="2">
        <f>AC239*1%</f>
        <v/>
      </c>
      <c r="X238" s="2">
        <f>AC239*8%</f>
        <v/>
      </c>
      <c r="Y238" s="2">
        <f>U239+V239+W239+X239</f>
        <v/>
      </c>
      <c r="Z238" s="60">
        <f>Y239+T239+L239</f>
        <v/>
      </c>
      <c r="AA238" s="11">
        <f>Z239*20%</f>
        <v/>
      </c>
      <c r="AB238" s="12">
        <f>Z239+AA239</f>
        <v/>
      </c>
      <c r="AC238" s="2">
        <f>D239*2.1</f>
        <v/>
      </c>
      <c r="AD238" s="12">
        <f>AB239-AC239</f>
        <v/>
      </c>
      <c r="AE238" s="12">
        <f>AD239/AB239*100</f>
        <v/>
      </c>
      <c r="AF238" s="92" t="n">
        <v>12250</v>
      </c>
      <c r="AG238" s="62">
        <f>((AF239-L239)/L239)*100</f>
        <v/>
      </c>
      <c r="AH238" s="106">
        <f>AJ239-AF239</f>
        <v/>
      </c>
      <c r="AI238" s="65">
        <f>AB239</f>
        <v/>
      </c>
      <c r="AJ238" s="65" t="n">
        <v>13950</v>
      </c>
      <c r="AK238" s="66">
        <f>(AJ239-L239)/L239*100</f>
        <v/>
      </c>
      <c r="AL238" s="66" t="n"/>
      <c r="AM238" s="14">
        <f>AH239/AJ239%</f>
        <v/>
      </c>
      <c r="AN238" s="67">
        <f>AK239-AG239</f>
        <v/>
      </c>
      <c r="AO238" s="68">
        <f>AJ239/L239</f>
        <v/>
      </c>
      <c r="AP238" s="69">
        <f>(AJ239-AB239)/100</f>
        <v/>
      </c>
      <c r="AQ238" s="70">
        <f>(AJ239-AC239)/100</f>
        <v/>
      </c>
      <c r="AR238" s="71">
        <f>AI239/94</f>
        <v/>
      </c>
      <c r="AS238" s="71">
        <f>AJ239/94</f>
        <v/>
      </c>
      <c r="AT238" s="72">
        <f>AI239/24</f>
        <v/>
      </c>
      <c r="AU238" s="72">
        <f>AJ239/24</f>
        <v/>
      </c>
      <c r="AV238" s="73">
        <f>AI239/125</f>
        <v/>
      </c>
      <c r="AW238" s="73">
        <f>AJ239/125</f>
        <v/>
      </c>
    </row>
    <row r="239" ht="15.75" customHeight="1" s="258">
      <c r="A239" s="2" t="n"/>
      <c r="B239" s="2" t="inlineStr">
        <is>
          <t>11 in</t>
        </is>
      </c>
      <c r="C239" s="2" t="inlineStr">
        <is>
          <t>MI-CB-W-11</t>
        </is>
      </c>
      <c r="D239" s="134" t="n">
        <v>9500</v>
      </c>
      <c r="F239" s="2" t="n">
        <v>140</v>
      </c>
      <c r="G239" s="118" t="n">
        <v>70139900</v>
      </c>
      <c r="H239" s="255" t="n">
        <v>0.18</v>
      </c>
      <c r="I239" s="2">
        <f>D240*H240</f>
        <v/>
      </c>
      <c r="K239" s="152" t="n">
        <v>400</v>
      </c>
      <c r="L239" s="135">
        <f>K240+J240+I240+F240+E240+D240</f>
        <v/>
      </c>
      <c r="M239" s="2">
        <f>D240*1%</f>
        <v/>
      </c>
      <c r="N239" s="12">
        <f>L240*8%</f>
        <v/>
      </c>
      <c r="O239" s="12">
        <f>L240*10%</f>
        <v/>
      </c>
      <c r="P239" s="12">
        <f>L240*5%</f>
        <v/>
      </c>
      <c r="Q239" s="12">
        <f>L240*2%</f>
        <v/>
      </c>
      <c r="R239" s="12">
        <f>AC240*0.5%</f>
        <v/>
      </c>
      <c r="S239" s="12">
        <f>L240*1%</f>
        <v/>
      </c>
      <c r="T239" s="60">
        <f>S240+Q240+P240+O240+N240+M240</f>
        <v/>
      </c>
      <c r="U239" s="2">
        <f>AC240*1%</f>
        <v/>
      </c>
      <c r="V239" s="44">
        <f>AC240*5%</f>
        <v/>
      </c>
      <c r="W239" s="2">
        <f>AC240*1%</f>
        <v/>
      </c>
      <c r="X239" s="2">
        <f>AC240*8%</f>
        <v/>
      </c>
      <c r="Y239" s="2">
        <f>U240+V240+W240+X240</f>
        <v/>
      </c>
      <c r="Z239" s="60">
        <f>Y240+T240+L240</f>
        <v/>
      </c>
      <c r="AA239" s="11">
        <f>Z240*20%</f>
        <v/>
      </c>
      <c r="AB239" s="12">
        <f>Z240+AA240</f>
        <v/>
      </c>
      <c r="AC239" s="2">
        <f>D240*2.1</f>
        <v/>
      </c>
      <c r="AD239" s="12">
        <f>AB240-AC240</f>
        <v/>
      </c>
      <c r="AE239" s="12">
        <f>AD240/AB240*100</f>
        <v/>
      </c>
      <c r="AF239" s="92" t="n">
        <v>13250</v>
      </c>
      <c r="AG239" s="62">
        <f>((AF240-L240)/L240)*100</f>
        <v/>
      </c>
      <c r="AH239" s="106">
        <f>AJ240-AF240</f>
        <v/>
      </c>
      <c r="AI239" s="65">
        <f>AB240</f>
        <v/>
      </c>
      <c r="AJ239" s="65" t="n">
        <v>16450</v>
      </c>
      <c r="AK239" s="66">
        <f>(AJ240-L240)/L240*100</f>
        <v/>
      </c>
      <c r="AL239" s="66" t="n"/>
      <c r="AM239" s="14">
        <f>AH240/AJ240%</f>
        <v/>
      </c>
      <c r="AN239" s="67">
        <f>AK240-AG240</f>
        <v/>
      </c>
      <c r="AO239" s="68">
        <f>AJ240/L240</f>
        <v/>
      </c>
      <c r="AP239" s="69">
        <f>(AJ240-AB240)/100</f>
        <v/>
      </c>
      <c r="AQ239" s="70">
        <f>(AJ240-AC240)/100</f>
        <v/>
      </c>
      <c r="AR239" s="71">
        <f>AI240/94</f>
        <v/>
      </c>
      <c r="AS239" s="71">
        <f>AJ240/94</f>
        <v/>
      </c>
      <c r="AT239" s="72">
        <f>AI240/24</f>
        <v/>
      </c>
      <c r="AU239" s="72">
        <f>AJ240/24</f>
        <v/>
      </c>
      <c r="AV239" s="73">
        <f>AI240/125</f>
        <v/>
      </c>
      <c r="AW239" s="73">
        <f>AJ240/125</f>
        <v/>
      </c>
    </row>
    <row r="240" ht="15.75" customHeight="1" s="258">
      <c r="A240" s="2" t="n"/>
      <c r="B240" s="2" t="inlineStr">
        <is>
          <t>12 in</t>
        </is>
      </c>
      <c r="C240" s="2" t="inlineStr">
        <is>
          <t>MI-CB-W-12</t>
        </is>
      </c>
      <c r="D240" s="134" t="n">
        <v>11000</v>
      </c>
      <c r="F240" s="2" t="n">
        <v>140</v>
      </c>
      <c r="G240" s="118" t="n">
        <v>70139900</v>
      </c>
      <c r="H240" s="255" t="n">
        <v>0.18</v>
      </c>
      <c r="I240" s="2">
        <f>D241*H241</f>
        <v/>
      </c>
      <c r="K240" s="152" t="n">
        <v>400</v>
      </c>
      <c r="L240" s="135">
        <f>K241+J241+I241+F241+E241+D241</f>
        <v/>
      </c>
      <c r="M240" s="2">
        <f>D241*1%</f>
        <v/>
      </c>
      <c r="N240" s="12">
        <f>L241*8%</f>
        <v/>
      </c>
      <c r="O240" s="12">
        <f>L241*10%</f>
        <v/>
      </c>
      <c r="P240" s="12">
        <f>L241*5%</f>
        <v/>
      </c>
      <c r="Q240" s="12">
        <f>L241*2%</f>
        <v/>
      </c>
      <c r="R240" s="12">
        <f>AC241*0.5%</f>
        <v/>
      </c>
      <c r="S240" s="12">
        <f>L241*1%</f>
        <v/>
      </c>
      <c r="T240" s="60">
        <f>S241+Q241+P241+O241+N241+M241</f>
        <v/>
      </c>
      <c r="U240" s="2">
        <f>AC241*1%</f>
        <v/>
      </c>
      <c r="V240" s="44">
        <f>AC241*5%</f>
        <v/>
      </c>
      <c r="W240" s="2">
        <f>AC241*1%</f>
        <v/>
      </c>
      <c r="X240" s="2">
        <f>AC241*8%</f>
        <v/>
      </c>
      <c r="Y240" s="2">
        <f>U241+V241+W241+X241</f>
        <v/>
      </c>
      <c r="Z240" s="60">
        <f>Y241+T241+L241</f>
        <v/>
      </c>
      <c r="AA240" s="11">
        <f>Z241*20%</f>
        <v/>
      </c>
      <c r="AB240" s="12">
        <f>Z241+AA241</f>
        <v/>
      </c>
      <c r="AC240" s="2">
        <f>D241*2.1</f>
        <v/>
      </c>
      <c r="AD240" s="12">
        <f>AB241-AC241</f>
        <v/>
      </c>
      <c r="AE240" s="12">
        <f>AD241/AB241*100</f>
        <v/>
      </c>
      <c r="AF240" s="92" t="n">
        <v>14650</v>
      </c>
      <c r="AG240" s="62">
        <f>((AF241-L241)/L241)*100</f>
        <v/>
      </c>
      <c r="AH240" s="106">
        <f>AJ241-AF241</f>
        <v/>
      </c>
      <c r="AI240" s="65" t="n">
        <v>24990</v>
      </c>
      <c r="AJ240" s="65" t="n">
        <v>18950</v>
      </c>
      <c r="AK240" s="66">
        <f>(AJ241-L241)/L241*100</f>
        <v/>
      </c>
      <c r="AL240" s="66" t="n"/>
      <c r="AM240" s="14">
        <f>AH241/AJ241%</f>
        <v/>
      </c>
      <c r="AN240" s="67">
        <f>AK241-AG241</f>
        <v/>
      </c>
      <c r="AO240" s="68">
        <f>AJ241/L241</f>
        <v/>
      </c>
      <c r="AP240" s="69">
        <f>(AJ241-AB241)/100</f>
        <v/>
      </c>
      <c r="AQ240" s="70">
        <f>(AJ241-AC241)/100</f>
        <v/>
      </c>
      <c r="AR240" s="71">
        <f>AI241/94</f>
        <v/>
      </c>
      <c r="AS240" s="71">
        <f>AJ241/94</f>
        <v/>
      </c>
      <c r="AT240" s="72">
        <f>AI241/24</f>
        <v/>
      </c>
      <c r="AU240" s="72">
        <f>AJ241/24</f>
        <v/>
      </c>
      <c r="AV240" s="73">
        <f>AI241/125</f>
        <v/>
      </c>
      <c r="AW240" s="73">
        <f>AJ241/125</f>
        <v/>
      </c>
    </row>
    <row r="241" ht="15.75" customHeight="1" s="258">
      <c r="A241" s="2" t="n"/>
      <c r="B241" s="2" t="inlineStr">
        <is>
          <t>13 in</t>
        </is>
      </c>
      <c r="C241" s="2" t="inlineStr">
        <is>
          <t>MI-CB-W-13</t>
        </is>
      </c>
      <c r="D241" s="118" t="n">
        <v>13000</v>
      </c>
      <c r="F241" s="2" t="n">
        <v>140</v>
      </c>
      <c r="G241" s="118" t="n">
        <v>70139900</v>
      </c>
      <c r="H241" s="255" t="n">
        <v>0.18</v>
      </c>
      <c r="I241" s="2">
        <f>D242*H242</f>
        <v/>
      </c>
      <c r="K241" s="152" t="n">
        <v>400</v>
      </c>
      <c r="L241" s="4">
        <f>K242+J242+I242+F242+E242+D242</f>
        <v/>
      </c>
      <c r="M241" s="2">
        <f>D242*1%</f>
        <v/>
      </c>
      <c r="N241" s="12">
        <f>L242*8%</f>
        <v/>
      </c>
      <c r="O241" s="12">
        <f>L242*10%</f>
        <v/>
      </c>
      <c r="P241" s="12">
        <f>L242*5%</f>
        <v/>
      </c>
      <c r="Q241" s="12">
        <f>L242*2%</f>
        <v/>
      </c>
      <c r="R241" s="12">
        <f>AC242*0.5%</f>
        <v/>
      </c>
      <c r="S241" s="12">
        <f>L242*1%</f>
        <v/>
      </c>
      <c r="T241" s="60">
        <f>S242+Q242+P242+O242+N242+M242</f>
        <v/>
      </c>
      <c r="U241" s="2">
        <f>AC242*1%</f>
        <v/>
      </c>
      <c r="V241" s="44">
        <f>AC242*5%</f>
        <v/>
      </c>
      <c r="W241" s="2">
        <f>AC242*1%</f>
        <v/>
      </c>
      <c r="X241" s="2">
        <f>AC242*8%</f>
        <v/>
      </c>
      <c r="Y241" s="2">
        <f>U242+V242+W242+X242</f>
        <v/>
      </c>
      <c r="Z241" s="60">
        <f>Y242+T242+L242</f>
        <v/>
      </c>
      <c r="AA241" s="11">
        <f>Z242*20%</f>
        <v/>
      </c>
      <c r="AB241" s="12">
        <f>Z242+AA242</f>
        <v/>
      </c>
      <c r="AC241" s="2">
        <f>D242*2.1</f>
        <v/>
      </c>
      <c r="AD241" s="12">
        <f>AB242-AC242</f>
        <v/>
      </c>
      <c r="AE241" s="12">
        <f>AD242/AB242*100</f>
        <v/>
      </c>
      <c r="AF241" s="92" t="n">
        <v>17750</v>
      </c>
      <c r="AG241" s="62">
        <f>((AF242-L242)/L242)*100</f>
        <v/>
      </c>
      <c r="AH241" s="106">
        <f>AJ242-AF242</f>
        <v/>
      </c>
      <c r="AI241" s="65">
        <f>AB242</f>
        <v/>
      </c>
      <c r="AJ241" s="65" t="n">
        <v>22250</v>
      </c>
      <c r="AK241" s="66">
        <f>(AJ242-L242)/L242*100</f>
        <v/>
      </c>
      <c r="AL241" s="66" t="n"/>
      <c r="AM241" s="14">
        <f>AH242/AJ242%</f>
        <v/>
      </c>
      <c r="AN241" s="67">
        <f>AK242-AG242</f>
        <v/>
      </c>
      <c r="AO241" s="68">
        <f>AJ242/L242</f>
        <v/>
      </c>
      <c r="AP241" s="69">
        <f>(AJ242-AB242)/100</f>
        <v/>
      </c>
      <c r="AQ241" s="70">
        <f>(AJ242-AC242)/100</f>
        <v/>
      </c>
      <c r="AR241" s="71">
        <f>AI242/94</f>
        <v/>
      </c>
      <c r="AS241" s="71">
        <f>AJ242/94</f>
        <v/>
      </c>
      <c r="AT241" s="72">
        <f>AI242/24</f>
        <v/>
      </c>
      <c r="AU241" s="72">
        <f>AJ242/24</f>
        <v/>
      </c>
      <c r="AV241" s="73">
        <f>AI242/125</f>
        <v/>
      </c>
      <c r="AW241" s="73">
        <f>AJ242/125</f>
        <v/>
      </c>
    </row>
    <row r="242" ht="15.75" customHeight="1" s="258">
      <c r="A242" s="2" t="n"/>
      <c r="B242" s="2" t="inlineStr">
        <is>
          <t>14 in</t>
        </is>
      </c>
      <c r="C242" s="2" t="inlineStr">
        <is>
          <t>MI-CB-W-14</t>
        </is>
      </c>
      <c r="D242" s="118" t="n">
        <v>14000</v>
      </c>
      <c r="F242" s="2" t="n">
        <v>140</v>
      </c>
      <c r="G242" s="118" t="n">
        <v>70139900</v>
      </c>
      <c r="H242" s="255" t="n">
        <v>0.18</v>
      </c>
      <c r="I242" s="2">
        <f>D243*H243</f>
        <v/>
      </c>
      <c r="K242" s="152" t="n">
        <v>400</v>
      </c>
      <c r="L242" s="4">
        <f>K243+J243+I243+F243+E243+D243</f>
        <v/>
      </c>
      <c r="M242" s="2">
        <f>D243*1%</f>
        <v/>
      </c>
      <c r="N242" s="12">
        <f>L243*8%</f>
        <v/>
      </c>
      <c r="O242" s="12">
        <f>L243*10%</f>
        <v/>
      </c>
      <c r="P242" s="12">
        <f>L243*5%</f>
        <v/>
      </c>
      <c r="Q242" s="12">
        <f>L243*2%</f>
        <v/>
      </c>
      <c r="R242" s="12">
        <f>AC243*0.5%</f>
        <v/>
      </c>
      <c r="S242" s="12">
        <f>L243*1%</f>
        <v/>
      </c>
      <c r="T242" s="60">
        <f>S243+Q243+P243+O243+N243+M243</f>
        <v/>
      </c>
      <c r="U242" s="2">
        <f>AC243*1%</f>
        <v/>
      </c>
      <c r="V242" s="44">
        <f>AC243*5%</f>
        <v/>
      </c>
      <c r="W242" s="2">
        <f>AC243*1%</f>
        <v/>
      </c>
      <c r="X242" s="2">
        <f>AC243*8%</f>
        <v/>
      </c>
      <c r="Y242" s="2">
        <f>U243+V243+W243+X243</f>
        <v/>
      </c>
      <c r="Z242" s="60">
        <f>Y243+T243+L243</f>
        <v/>
      </c>
      <c r="AA242" s="11">
        <f>Z243*20%</f>
        <v/>
      </c>
      <c r="AB242" s="12">
        <f>Z243+AA243</f>
        <v/>
      </c>
      <c r="AC242" s="2">
        <f>D243*2.1</f>
        <v/>
      </c>
      <c r="AD242" s="12">
        <f>AB243-AC243</f>
        <v/>
      </c>
      <c r="AE242" s="12">
        <f>AD243/AB243*100</f>
        <v/>
      </c>
      <c r="AF242" s="92" t="n">
        <v>19750</v>
      </c>
      <c r="AG242" s="62">
        <f>((AF243-L243)/L243)*100</f>
        <v/>
      </c>
      <c r="AH242" s="106">
        <f>AJ243-AF243</f>
        <v/>
      </c>
      <c r="AI242" s="65">
        <f>AB243</f>
        <v/>
      </c>
      <c r="AJ242" s="65" t="n">
        <v>24000</v>
      </c>
      <c r="AK242" s="66">
        <f>(AJ243-L243)/L243*100</f>
        <v/>
      </c>
      <c r="AL242" s="66" t="n"/>
      <c r="AM242" s="14">
        <f>AH243/AJ243%</f>
        <v/>
      </c>
      <c r="AN242" s="67">
        <f>AK243-AG243</f>
        <v/>
      </c>
      <c r="AO242" s="68">
        <f>AJ243/L243</f>
        <v/>
      </c>
      <c r="AP242" s="69">
        <f>(AJ243-AB243)/100</f>
        <v/>
      </c>
      <c r="AQ242" s="70">
        <f>(AJ243-AC243)/100</f>
        <v/>
      </c>
      <c r="AR242" s="71">
        <f>AI243/94</f>
        <v/>
      </c>
      <c r="AS242" s="71">
        <f>AJ243/94</f>
        <v/>
      </c>
      <c r="AT242" s="72">
        <f>AI243/24</f>
        <v/>
      </c>
      <c r="AU242" s="72">
        <f>AJ243/24</f>
        <v/>
      </c>
      <c r="AV242" s="73">
        <f>AI243/125</f>
        <v/>
      </c>
      <c r="AW242" s="73">
        <f>AJ243/125</f>
        <v/>
      </c>
    </row>
    <row r="243" ht="15.75" customHeight="1" s="258">
      <c r="A243" s="2" t="inlineStr">
        <is>
          <t>Crystal Bowls - Coloured</t>
        </is>
      </c>
      <c r="B243" s="2" t="inlineStr">
        <is>
          <t>6 in</t>
        </is>
      </c>
      <c r="C243" s="2" t="inlineStr">
        <is>
          <t>MI-CB-C-6</t>
        </is>
      </c>
      <c r="D243" s="134" t="n">
        <v>6000</v>
      </c>
      <c r="F243" s="2" t="n">
        <v>140</v>
      </c>
      <c r="G243" s="118" t="n">
        <v>70139900</v>
      </c>
      <c r="H243" s="255" t="n">
        <v>0.18</v>
      </c>
      <c r="I243" s="2">
        <f>D244*H244</f>
        <v/>
      </c>
      <c r="K243" s="152" t="n">
        <v>400</v>
      </c>
      <c r="L243" s="135">
        <f>K244+J244+I244+F244+E244+D244</f>
        <v/>
      </c>
      <c r="M243" s="2">
        <f>D244*1%</f>
        <v/>
      </c>
      <c r="N243" s="12">
        <f>L244*8%</f>
        <v/>
      </c>
      <c r="O243" s="12">
        <f>L244*10%</f>
        <v/>
      </c>
      <c r="P243" s="12">
        <f>L244*5%</f>
        <v/>
      </c>
      <c r="Q243" s="12">
        <f>L244*2%</f>
        <v/>
      </c>
      <c r="R243" s="12">
        <f>AC244*0.5%</f>
        <v/>
      </c>
      <c r="S243" s="12">
        <f>L244*1%</f>
        <v/>
      </c>
      <c r="T243" s="60">
        <f>S244+Q244+P244+O244+N244+M244</f>
        <v/>
      </c>
      <c r="U243" s="2">
        <f>AC244*1%</f>
        <v/>
      </c>
      <c r="V243" s="44">
        <f>AC244*5%</f>
        <v/>
      </c>
      <c r="W243" s="2">
        <f>AC244*1%</f>
        <v/>
      </c>
      <c r="X243" s="2">
        <f>AC244*8%</f>
        <v/>
      </c>
      <c r="Y243" s="2">
        <f>U244+V244+W244+X244</f>
        <v/>
      </c>
      <c r="Z243" s="60">
        <f>Y244+T244+L244</f>
        <v/>
      </c>
      <c r="AA243" s="11">
        <f>Z244*20%</f>
        <v/>
      </c>
      <c r="AB243" s="12">
        <f>Z244+AA244</f>
        <v/>
      </c>
      <c r="AC243" s="2">
        <f>D244*2.1</f>
        <v/>
      </c>
      <c r="AD243" s="12">
        <f>AB244-AC244</f>
        <v/>
      </c>
      <c r="AE243" s="12">
        <f>AD244/AB244*100</f>
        <v/>
      </c>
      <c r="AF243" s="92" t="n">
        <v>8950</v>
      </c>
      <c r="AG243" s="62">
        <f>((AF244-L244)/L244)*100</f>
        <v/>
      </c>
      <c r="AH243" s="106">
        <f>AJ244-AF244</f>
        <v/>
      </c>
      <c r="AI243" s="65" t="n">
        <v>13990</v>
      </c>
      <c r="AJ243" s="65" t="n">
        <v>10850</v>
      </c>
      <c r="AK243" s="66">
        <f>(AJ244-L244)/L244*100</f>
        <v/>
      </c>
      <c r="AL243" s="66" t="n"/>
      <c r="AM243" s="14">
        <f>AH244/AJ244%</f>
        <v/>
      </c>
      <c r="AN243" s="67">
        <f>AK244-AG244</f>
        <v/>
      </c>
      <c r="AO243" s="68">
        <f>AJ244/L244</f>
        <v/>
      </c>
      <c r="AP243" s="69">
        <f>(AJ244-AB244)/100</f>
        <v/>
      </c>
      <c r="AQ243" s="70">
        <f>(AJ244-AC244)/100</f>
        <v/>
      </c>
      <c r="AR243" s="71">
        <f>AI244/94</f>
        <v/>
      </c>
      <c r="AS243" s="71">
        <f>AJ244/94</f>
        <v/>
      </c>
      <c r="AT243" s="72">
        <f>AI244/24</f>
        <v/>
      </c>
      <c r="AU243" s="72">
        <f>AJ244/24</f>
        <v/>
      </c>
      <c r="AV243" s="73">
        <f>AI244/125</f>
        <v/>
      </c>
      <c r="AW243" s="73">
        <f>AJ244/125</f>
        <v/>
      </c>
    </row>
    <row r="244" ht="15" customHeight="1" s="258">
      <c r="A244" s="2" t="n"/>
      <c r="B244" s="2" t="inlineStr">
        <is>
          <t>7 in</t>
        </is>
      </c>
      <c r="C244" s="2" t="inlineStr">
        <is>
          <t>MI-CB-C-7</t>
        </is>
      </c>
      <c r="D244" s="134" t="n">
        <v>6500</v>
      </c>
      <c r="F244" s="2" t="n">
        <v>140</v>
      </c>
      <c r="G244" s="118" t="n">
        <v>70139900</v>
      </c>
      <c r="H244" s="255" t="n">
        <v>0.18</v>
      </c>
      <c r="I244" s="2">
        <f>D245*H245</f>
        <v/>
      </c>
      <c r="K244" s="152" t="n">
        <v>400</v>
      </c>
      <c r="L244" s="135">
        <f>K245+J245+I245+F245+E245+D245</f>
        <v/>
      </c>
      <c r="M244" s="2">
        <f>D245*1%</f>
        <v/>
      </c>
      <c r="N244" s="12">
        <f>L245*8%</f>
        <v/>
      </c>
      <c r="O244" s="12">
        <f>L245*10%</f>
        <v/>
      </c>
      <c r="P244" s="12">
        <f>L245*5%</f>
        <v/>
      </c>
      <c r="Q244" s="12">
        <f>L245*2%</f>
        <v/>
      </c>
      <c r="R244" s="12">
        <f>AC245*0.5%</f>
        <v/>
      </c>
      <c r="S244" s="12">
        <f>L245*1%</f>
        <v/>
      </c>
      <c r="T244" s="60">
        <f>S245+Q245+P245+O245+N245+M245</f>
        <v/>
      </c>
      <c r="U244" s="2">
        <f>AC245*1%</f>
        <v/>
      </c>
      <c r="V244" s="44">
        <f>AC245*5%</f>
        <v/>
      </c>
      <c r="W244" s="2">
        <f>AC245*1%</f>
        <v/>
      </c>
      <c r="X244" s="2">
        <f>AC245*8%</f>
        <v/>
      </c>
      <c r="Y244" s="2">
        <f>U245+V245+W245+X245</f>
        <v/>
      </c>
      <c r="Z244" s="60">
        <f>Y245+T245+L245</f>
        <v/>
      </c>
      <c r="AA244" s="11">
        <f>Z245*20%</f>
        <v/>
      </c>
      <c r="AB244" s="12">
        <f>Z245+AA245</f>
        <v/>
      </c>
      <c r="AC244" s="2">
        <f>D245*2.1</f>
        <v/>
      </c>
      <c r="AD244" s="12">
        <f>AB245-AC245</f>
        <v/>
      </c>
      <c r="AE244" s="12">
        <f>AD245/AB245*100</f>
        <v/>
      </c>
      <c r="AF244" s="92" t="n">
        <v>9650</v>
      </c>
      <c r="AG244" s="62">
        <f>((AF245-L245)/L245)*100</f>
        <v/>
      </c>
      <c r="AH244" s="106">
        <f>AJ245-AF245</f>
        <v/>
      </c>
      <c r="AI244" s="65">
        <f>AB245</f>
        <v/>
      </c>
      <c r="AJ244" s="65" t="n">
        <v>11650</v>
      </c>
      <c r="AK244" s="66">
        <f>(AJ245-L245)/L245*100</f>
        <v/>
      </c>
      <c r="AL244" s="66" t="n"/>
      <c r="AM244" s="14">
        <f>AH245/AJ245%</f>
        <v/>
      </c>
      <c r="AN244" s="67">
        <f>AK245-AG245</f>
        <v/>
      </c>
      <c r="AO244" s="68">
        <f>AJ245/L245</f>
        <v/>
      </c>
      <c r="AP244" s="69">
        <f>(AJ245-AB245)/100</f>
        <v/>
      </c>
      <c r="AQ244" s="70">
        <f>(AJ245-AC245)/100</f>
        <v/>
      </c>
      <c r="AR244" s="71">
        <f>AI245/94</f>
        <v/>
      </c>
      <c r="AS244" s="71">
        <f>AJ245/94</f>
        <v/>
      </c>
      <c r="AT244" s="72">
        <f>AI245/24</f>
        <v/>
      </c>
      <c r="AU244" s="72">
        <f>AJ245/24</f>
        <v/>
      </c>
      <c r="AV244" s="73">
        <f>AI245/125</f>
        <v/>
      </c>
      <c r="AW244" s="73">
        <f>AJ245/125</f>
        <v/>
      </c>
    </row>
    <row r="245" ht="15.75" customHeight="1" s="258">
      <c r="A245" s="2" t="n"/>
      <c r="B245" s="2" t="inlineStr">
        <is>
          <t>8 in</t>
        </is>
      </c>
      <c r="C245" s="2" t="inlineStr">
        <is>
          <t>MI-CB-C-8</t>
        </is>
      </c>
      <c r="D245" s="134" t="n">
        <v>7000</v>
      </c>
      <c r="F245" s="2" t="n">
        <v>140</v>
      </c>
      <c r="G245" s="118" t="n">
        <v>70139900</v>
      </c>
      <c r="H245" s="255" t="n">
        <v>0.18</v>
      </c>
      <c r="I245" s="2">
        <f>D246*H246</f>
        <v/>
      </c>
      <c r="K245" s="152" t="n">
        <v>400</v>
      </c>
      <c r="L245" s="135">
        <f>K246+J246+I246+F246+E246+D246</f>
        <v/>
      </c>
      <c r="M245" s="2">
        <f>D246*1%</f>
        <v/>
      </c>
      <c r="N245" s="12">
        <f>L246*8%</f>
        <v/>
      </c>
      <c r="O245" s="12">
        <f>L246*10%</f>
        <v/>
      </c>
      <c r="P245" s="12">
        <f>L246*5%</f>
        <v/>
      </c>
      <c r="Q245" s="12">
        <f>L246*2%</f>
        <v/>
      </c>
      <c r="R245" s="12">
        <f>AC246*0.5%</f>
        <v/>
      </c>
      <c r="S245" s="12">
        <f>L246*1%</f>
        <v/>
      </c>
      <c r="T245" s="60">
        <f>S246+Q246+P246+O246+N246+M246</f>
        <v/>
      </c>
      <c r="U245" s="2">
        <f>AC246*1%</f>
        <v/>
      </c>
      <c r="V245" s="44">
        <f>AC246*5%</f>
        <v/>
      </c>
      <c r="W245" s="2">
        <f>AC246*1%</f>
        <v/>
      </c>
      <c r="X245" s="2">
        <f>AC246*8%</f>
        <v/>
      </c>
      <c r="Y245" s="2">
        <f>U246+V246+W246+X246</f>
        <v/>
      </c>
      <c r="Z245" s="60">
        <f>Y246+T246+L246</f>
        <v/>
      </c>
      <c r="AA245" s="11">
        <f>Z246*20%</f>
        <v/>
      </c>
      <c r="AB245" s="12">
        <f>Z246+AA246</f>
        <v/>
      </c>
      <c r="AC245" s="2">
        <f>D246*2.1</f>
        <v/>
      </c>
      <c r="AD245" s="12">
        <f>AB246-AC246</f>
        <v/>
      </c>
      <c r="AE245" s="12">
        <f>AD246/AB246*100</f>
        <v/>
      </c>
      <c r="AF245" s="92" t="n">
        <v>10450</v>
      </c>
      <c r="AG245" s="62">
        <f>((AF246-L246)/L246)*100</f>
        <v/>
      </c>
      <c r="AH245" s="106">
        <f>AJ246-AF246</f>
        <v/>
      </c>
      <c r="AI245" s="65">
        <f>AB246</f>
        <v/>
      </c>
      <c r="AJ245" s="65" t="n">
        <v>12500</v>
      </c>
      <c r="AK245" s="66">
        <f>(AJ246-L246)/L246*100</f>
        <v/>
      </c>
      <c r="AL245" s="66" t="n"/>
      <c r="AM245" s="14">
        <f>AH246/AJ246%</f>
        <v/>
      </c>
      <c r="AN245" s="67">
        <f>AK246-AG246</f>
        <v/>
      </c>
      <c r="AO245" s="68">
        <f>AJ246/L246</f>
        <v/>
      </c>
      <c r="AP245" s="69">
        <f>(AJ246-AB246)/100</f>
        <v/>
      </c>
      <c r="AQ245" s="70">
        <f>(AJ246-AC246)/100</f>
        <v/>
      </c>
      <c r="AR245" s="71">
        <f>AI246/94</f>
        <v/>
      </c>
      <c r="AS245" s="71">
        <f>AJ246/94</f>
        <v/>
      </c>
      <c r="AT245" s="72">
        <f>AI246/24</f>
        <v/>
      </c>
      <c r="AU245" s="72">
        <f>AJ246/24</f>
        <v/>
      </c>
      <c r="AV245" s="73">
        <f>AI246/125</f>
        <v/>
      </c>
      <c r="AW245" s="73">
        <f>AJ246/125</f>
        <v/>
      </c>
    </row>
    <row r="246" ht="15.75" customHeight="1" s="258">
      <c r="A246" s="2" t="n"/>
      <c r="B246" s="2" t="inlineStr">
        <is>
          <t>9 in</t>
        </is>
      </c>
      <c r="C246" s="2" t="inlineStr">
        <is>
          <t>MI-CB-C-9</t>
        </is>
      </c>
      <c r="D246" s="134" t="n">
        <v>7500</v>
      </c>
      <c r="F246" s="2" t="n">
        <v>140</v>
      </c>
      <c r="G246" s="118" t="n">
        <v>70139900</v>
      </c>
      <c r="H246" s="255" t="n">
        <v>0.18</v>
      </c>
      <c r="I246" s="2">
        <f>D247*H247</f>
        <v/>
      </c>
      <c r="K246" s="152" t="n">
        <v>400</v>
      </c>
      <c r="L246" s="135">
        <f>K247+J247+I247+F247+E247+D247</f>
        <v/>
      </c>
      <c r="M246" s="2">
        <f>D247*1%</f>
        <v/>
      </c>
      <c r="N246" s="12">
        <f>L247*8%</f>
        <v/>
      </c>
      <c r="O246" s="12">
        <f>L247*10%</f>
        <v/>
      </c>
      <c r="P246" s="12">
        <f>L247*5%</f>
        <v/>
      </c>
      <c r="Q246" s="12">
        <f>L247*2%</f>
        <v/>
      </c>
      <c r="R246" s="12">
        <f>AC247*0.5%</f>
        <v/>
      </c>
      <c r="S246" s="12">
        <f>L247*1%</f>
        <v/>
      </c>
      <c r="T246" s="60">
        <f>S247+Q247+P247+O247+N247+M247</f>
        <v/>
      </c>
      <c r="U246" s="2">
        <f>AC247*1%</f>
        <v/>
      </c>
      <c r="V246" s="44">
        <f>AC247*5%</f>
        <v/>
      </c>
      <c r="W246" s="2">
        <f>AC247*1%</f>
        <v/>
      </c>
      <c r="X246" s="2">
        <f>AC247*8%</f>
        <v/>
      </c>
      <c r="Y246" s="2">
        <f>U247+V247+W247+X247</f>
        <v/>
      </c>
      <c r="Z246" s="60">
        <f>Y247+T247+L247</f>
        <v/>
      </c>
      <c r="AA246" s="11">
        <f>Z247*20%</f>
        <v/>
      </c>
      <c r="AB246" s="12">
        <f>Z247+AA247</f>
        <v/>
      </c>
      <c r="AC246" s="2">
        <f>D247*2.1</f>
        <v/>
      </c>
      <c r="AD246" s="12">
        <f>AB247-AC247</f>
        <v/>
      </c>
      <c r="AE246" s="12">
        <f>AD247/AB247*100</f>
        <v/>
      </c>
      <c r="AF246" s="92" t="n">
        <v>11450</v>
      </c>
      <c r="AG246" s="62">
        <f>((AF247-L247)/L247)*100</f>
        <v/>
      </c>
      <c r="AH246" s="106">
        <f>AJ247-AF247</f>
        <v/>
      </c>
      <c r="AI246" s="65">
        <f>AB247</f>
        <v/>
      </c>
      <c r="AJ246" s="65" t="n">
        <v>13250</v>
      </c>
      <c r="AK246" s="66">
        <f>(AJ247-L247)/L247*100</f>
        <v/>
      </c>
      <c r="AL246" s="66" t="n"/>
      <c r="AM246" s="14">
        <f>AH247/AJ247%</f>
        <v/>
      </c>
      <c r="AN246" s="67">
        <f>AK247-AG247</f>
        <v/>
      </c>
      <c r="AO246" s="68">
        <f>AJ247/L247</f>
        <v/>
      </c>
      <c r="AP246" s="69">
        <f>(AJ247-AB247)/100</f>
        <v/>
      </c>
      <c r="AQ246" s="70">
        <f>(AJ247-AC247)/100</f>
        <v/>
      </c>
      <c r="AR246" s="71">
        <f>AI247/94</f>
        <v/>
      </c>
      <c r="AS246" s="71">
        <f>AJ247/94</f>
        <v/>
      </c>
      <c r="AT246" s="72">
        <f>AI247/24</f>
        <v/>
      </c>
      <c r="AU246" s="72">
        <f>AJ247/24</f>
        <v/>
      </c>
      <c r="AV246" s="73">
        <f>AI247/125</f>
        <v/>
      </c>
      <c r="AW246" s="73">
        <f>AJ247/125</f>
        <v/>
      </c>
    </row>
    <row r="247" ht="15.75" customHeight="1" s="258">
      <c r="A247" s="2" t="n"/>
      <c r="B247" s="2" t="inlineStr">
        <is>
          <t>10 in</t>
        </is>
      </c>
      <c r="C247" s="2" t="inlineStr">
        <is>
          <t>MI-CB-C-10</t>
        </is>
      </c>
      <c r="D247" s="134" t="n">
        <v>8500</v>
      </c>
      <c r="F247" s="2" t="n">
        <v>140</v>
      </c>
      <c r="G247" s="118" t="n">
        <v>70139900</v>
      </c>
      <c r="H247" s="255" t="n">
        <v>0.18</v>
      </c>
      <c r="I247" s="2">
        <f>D248*H248</f>
        <v/>
      </c>
      <c r="K247" s="152" t="n">
        <v>400</v>
      </c>
      <c r="L247" s="135">
        <f>K248+J248+I248+F248+E248+D248</f>
        <v/>
      </c>
      <c r="M247" s="2">
        <f>D248*1%</f>
        <v/>
      </c>
      <c r="N247" s="12">
        <f>L248*8%</f>
        <v/>
      </c>
      <c r="O247" s="12">
        <f>L248*10%</f>
        <v/>
      </c>
      <c r="P247" s="12">
        <f>L248*5%</f>
        <v/>
      </c>
      <c r="Q247" s="12">
        <f>L248*2%</f>
        <v/>
      </c>
      <c r="R247" s="12">
        <f>AC248*0.5%</f>
        <v/>
      </c>
      <c r="S247" s="12">
        <f>L248*1%</f>
        <v/>
      </c>
      <c r="T247" s="60">
        <f>S248+Q248+P248+O248+N248+M248</f>
        <v/>
      </c>
      <c r="U247" s="2">
        <f>AC248*1%</f>
        <v/>
      </c>
      <c r="V247" s="44">
        <f>AC248*5%</f>
        <v/>
      </c>
      <c r="W247" s="2">
        <f>AC248*1%</f>
        <v/>
      </c>
      <c r="X247" s="2">
        <f>AC248*8%</f>
        <v/>
      </c>
      <c r="Y247" s="2">
        <f>U248+V248+W248+X248</f>
        <v/>
      </c>
      <c r="Z247" s="60">
        <f>Y248+T248+L248</f>
        <v/>
      </c>
      <c r="AA247" s="11">
        <f>Z248*20%</f>
        <v/>
      </c>
      <c r="AB247" s="12">
        <f>Z248+AA248</f>
        <v/>
      </c>
      <c r="AC247" s="2">
        <f>D248*2.1</f>
        <v/>
      </c>
      <c r="AD247" s="12">
        <f>AB248-AC248</f>
        <v/>
      </c>
      <c r="AE247" s="12">
        <f>AD248/AB248*100</f>
        <v/>
      </c>
      <c r="AF247" s="92" t="n">
        <v>12250</v>
      </c>
      <c r="AG247" s="62">
        <f>((AF248-L248)/L248)*100</f>
        <v/>
      </c>
      <c r="AH247" s="106">
        <f>AJ248-AF248</f>
        <v/>
      </c>
      <c r="AI247" s="65" t="n">
        <v>18990</v>
      </c>
      <c r="AJ247" s="65" t="n">
        <v>14950</v>
      </c>
      <c r="AK247" s="66">
        <f>(AJ248-L248)/L248*100</f>
        <v/>
      </c>
      <c r="AL247" s="66" t="n"/>
      <c r="AM247" s="14">
        <f>AH248/AJ248%</f>
        <v/>
      </c>
      <c r="AN247" s="67">
        <f>AK248-AG248</f>
        <v/>
      </c>
      <c r="AO247" s="68">
        <f>AJ248/L248</f>
        <v/>
      </c>
      <c r="AP247" s="69">
        <f>(AJ248-AB248)/100</f>
        <v/>
      </c>
      <c r="AQ247" s="70">
        <f>(AJ248-AC248)/100</f>
        <v/>
      </c>
      <c r="AR247" s="71">
        <f>AI248/94</f>
        <v/>
      </c>
      <c r="AS247" s="71">
        <f>AJ248/94</f>
        <v/>
      </c>
      <c r="AT247" s="72">
        <f>AI248/24</f>
        <v/>
      </c>
      <c r="AU247" s="72">
        <f>AJ248/24</f>
        <v/>
      </c>
      <c r="AV247" s="73">
        <f>AI248/125</f>
        <v/>
      </c>
      <c r="AW247" s="73">
        <f>AJ248/125</f>
        <v/>
      </c>
    </row>
    <row r="248" ht="15.75" customHeight="1" s="258">
      <c r="A248" s="2" t="n"/>
      <c r="B248" s="2" t="inlineStr">
        <is>
          <t>11 in</t>
        </is>
      </c>
      <c r="C248" s="2" t="inlineStr">
        <is>
          <t>MI-CB-C-11</t>
        </is>
      </c>
      <c r="D248" s="134" t="n">
        <v>10000</v>
      </c>
      <c r="F248" s="2" t="n">
        <v>140</v>
      </c>
      <c r="G248" s="118" t="n">
        <v>70139900</v>
      </c>
      <c r="H248" s="255" t="n">
        <v>0.18</v>
      </c>
      <c r="I248" s="2">
        <f>D249*H249</f>
        <v/>
      </c>
      <c r="K248" s="152" t="n">
        <v>400</v>
      </c>
      <c r="L248" s="135">
        <f>K249+J249+I249+F249+E249+D249</f>
        <v/>
      </c>
      <c r="M248" s="2">
        <f>D249*1%</f>
        <v/>
      </c>
      <c r="N248" s="12">
        <f>L249*8%</f>
        <v/>
      </c>
      <c r="O248" s="12">
        <f>L249*10%</f>
        <v/>
      </c>
      <c r="P248" s="12">
        <f>L249*5%</f>
        <v/>
      </c>
      <c r="Q248" s="12">
        <f>L249*2%</f>
        <v/>
      </c>
      <c r="R248" s="12">
        <f>AC249*0.5%</f>
        <v/>
      </c>
      <c r="S248" s="12">
        <f>L249*1%</f>
        <v/>
      </c>
      <c r="T248" s="60">
        <f>S249+Q249+P249+O249+N249+M249</f>
        <v/>
      </c>
      <c r="U248" s="2">
        <f>AC249*1%</f>
        <v/>
      </c>
      <c r="V248" s="44">
        <f>AC249*5%</f>
        <v/>
      </c>
      <c r="W248" s="2">
        <f>AC249*1%</f>
        <v/>
      </c>
      <c r="X248" s="2">
        <f>AC249*8%</f>
        <v/>
      </c>
      <c r="Y248" s="2">
        <f>U249+V249+W249+X249</f>
        <v/>
      </c>
      <c r="Z248" s="60">
        <f>Y249+T249+L249</f>
        <v/>
      </c>
      <c r="AA248" s="11">
        <f>Z249*20%</f>
        <v/>
      </c>
      <c r="AB248" s="12">
        <f>Z249+AA249</f>
        <v/>
      </c>
      <c r="AC248" s="2">
        <f>D249*2.1</f>
        <v/>
      </c>
      <c r="AD248" s="12">
        <f>AB249-AC249</f>
        <v/>
      </c>
      <c r="AE248" s="12">
        <f>AD249/AB249*100</f>
        <v/>
      </c>
      <c r="AF248" s="92" t="n">
        <v>13250</v>
      </c>
      <c r="AG248" s="62">
        <f>((AF249-L249)/L249)*100</f>
        <v/>
      </c>
      <c r="AH248" s="106">
        <f>AJ249-AF249</f>
        <v/>
      </c>
      <c r="AI248" s="65" t="n">
        <v>20990</v>
      </c>
      <c r="AJ248" s="65" t="n">
        <v>17450</v>
      </c>
      <c r="AK248" s="66">
        <f>(AJ249-L249)/L249*100</f>
        <v/>
      </c>
      <c r="AL248" s="66" t="n"/>
      <c r="AM248" s="14">
        <f>AH249/AJ249%</f>
        <v/>
      </c>
      <c r="AN248" s="67">
        <f>AK249-AG249</f>
        <v/>
      </c>
      <c r="AO248" s="68">
        <f>AJ249/L249</f>
        <v/>
      </c>
      <c r="AP248" s="69">
        <f>(AJ249-AB249)/100</f>
        <v/>
      </c>
      <c r="AQ248" s="70">
        <f>(AJ249-AC249)/100</f>
        <v/>
      </c>
      <c r="AR248" s="71">
        <f>AI249/94</f>
        <v/>
      </c>
      <c r="AS248" s="71">
        <f>AJ249/94</f>
        <v/>
      </c>
      <c r="AT248" s="72">
        <f>AI249/24</f>
        <v/>
      </c>
      <c r="AU248" s="72">
        <f>AJ249/24</f>
        <v/>
      </c>
      <c r="AV248" s="73">
        <f>AI249/125</f>
        <v/>
      </c>
      <c r="AW248" s="73">
        <f>AJ249/125</f>
        <v/>
      </c>
    </row>
    <row r="249" ht="15.75" customHeight="1" s="258">
      <c r="A249" s="2" t="n"/>
      <c r="B249" s="2" t="inlineStr">
        <is>
          <t>12 in</t>
        </is>
      </c>
      <c r="C249" s="2" t="inlineStr">
        <is>
          <t>MI-CB-C-12</t>
        </is>
      </c>
      <c r="D249" s="134" t="n">
        <v>11500</v>
      </c>
      <c r="F249" s="2" t="n">
        <v>140</v>
      </c>
      <c r="G249" s="118" t="n">
        <v>70139900</v>
      </c>
      <c r="H249" s="255" t="n">
        <v>0.18</v>
      </c>
      <c r="I249" s="2">
        <f>D250*H250</f>
        <v/>
      </c>
      <c r="K249" s="152" t="n">
        <v>400</v>
      </c>
      <c r="L249" s="135">
        <f>K250+J250+I250+F250+E250+D250</f>
        <v/>
      </c>
      <c r="M249" s="2">
        <f>D250*1%</f>
        <v/>
      </c>
      <c r="N249" s="12">
        <f>L250*8%</f>
        <v/>
      </c>
      <c r="O249" s="12">
        <f>L250*10%</f>
        <v/>
      </c>
      <c r="P249" s="12">
        <f>L250*5%</f>
        <v/>
      </c>
      <c r="Q249" s="12">
        <f>L250*2%</f>
        <v/>
      </c>
      <c r="R249" s="12">
        <f>AC250*0.5%</f>
        <v/>
      </c>
      <c r="S249" s="12">
        <f>L250*1%</f>
        <v/>
      </c>
      <c r="T249" s="60">
        <f>S250+Q250+P250+O250+N250+M250</f>
        <v/>
      </c>
      <c r="U249" s="2">
        <f>AC250*1%</f>
        <v/>
      </c>
      <c r="V249" s="44">
        <f>AC250*5%</f>
        <v/>
      </c>
      <c r="W249" s="2">
        <f>AC250*1%</f>
        <v/>
      </c>
      <c r="X249" s="2">
        <f>AC250*8%</f>
        <v/>
      </c>
      <c r="Y249" s="2">
        <f>U250+V250+W250+X250</f>
        <v/>
      </c>
      <c r="Z249" s="60">
        <f>Y250+T250+L250</f>
        <v/>
      </c>
      <c r="AA249" s="11">
        <f>Z250*20%</f>
        <v/>
      </c>
      <c r="AB249" s="12">
        <f>Z250+AA250</f>
        <v/>
      </c>
      <c r="AC249" s="2">
        <f>D250*2.1</f>
        <v/>
      </c>
      <c r="AD249" s="12">
        <f>AB250-AC250</f>
        <v/>
      </c>
      <c r="AE249" s="12">
        <f>AD250/AB250*100</f>
        <v/>
      </c>
      <c r="AF249" s="92" t="n">
        <v>14650</v>
      </c>
      <c r="AG249" s="62">
        <f>((AF250-L250)/L250)*100</f>
        <v/>
      </c>
      <c r="AH249" s="106">
        <f>AJ250-AF250</f>
        <v/>
      </c>
      <c r="AI249" s="65" t="n">
        <v>23990</v>
      </c>
      <c r="AJ249" s="65" t="n">
        <v>19950</v>
      </c>
      <c r="AK249" s="66">
        <f>(AJ250-L250)/L250*100</f>
        <v/>
      </c>
      <c r="AL249" s="66" t="n"/>
      <c r="AM249" s="14">
        <f>AH250/AJ250%</f>
        <v/>
      </c>
      <c r="AN249" s="67">
        <f>AK250-AG250</f>
        <v/>
      </c>
      <c r="AO249" s="68">
        <f>AJ250/L250</f>
        <v/>
      </c>
      <c r="AP249" s="69">
        <f>(AJ250-AB250)/100</f>
        <v/>
      </c>
      <c r="AQ249" s="70">
        <f>(AJ250-AC250)/100</f>
        <v/>
      </c>
      <c r="AR249" s="71">
        <f>AI250/94</f>
        <v/>
      </c>
      <c r="AS249" s="71">
        <f>AJ250/94</f>
        <v/>
      </c>
      <c r="AT249" s="72">
        <f>AI250/24</f>
        <v/>
      </c>
      <c r="AU249" s="72">
        <f>AJ250/24</f>
        <v/>
      </c>
      <c r="AV249" s="73">
        <f>AI250/125</f>
        <v/>
      </c>
      <c r="AW249" s="73">
        <f>AJ250/125</f>
        <v/>
      </c>
    </row>
    <row r="250" ht="15.75" customHeight="1" s="258">
      <c r="A250" s="136" t="n"/>
      <c r="B250" s="136" t="inlineStr">
        <is>
          <t>13 in</t>
        </is>
      </c>
      <c r="C250" s="136" t="inlineStr">
        <is>
          <t>MI-CB-C-13</t>
        </is>
      </c>
      <c r="D250" s="114" t="n">
        <v>13500</v>
      </c>
      <c r="E250" s="137" t="n"/>
      <c r="F250" s="136" t="n">
        <v>140</v>
      </c>
      <c r="G250" s="114" t="n">
        <v>70139900</v>
      </c>
      <c r="H250" s="138" t="n">
        <v>0.18</v>
      </c>
      <c r="I250" s="136">
        <f>D251*H251</f>
        <v/>
      </c>
      <c r="J250" s="137" t="n"/>
      <c r="K250" s="136" t="n">
        <v>400</v>
      </c>
      <c r="L250" s="139">
        <f>K251+J251+I251+F251+E251+D251</f>
        <v/>
      </c>
      <c r="M250" s="136">
        <f>D251*1%</f>
        <v/>
      </c>
      <c r="N250" s="140">
        <f>L251*8%</f>
        <v/>
      </c>
      <c r="O250" s="140">
        <f>L251*10%</f>
        <v/>
      </c>
      <c r="P250" s="140">
        <f>L251*5%</f>
        <v/>
      </c>
      <c r="Q250" s="140">
        <f>L251*2%</f>
        <v/>
      </c>
      <c r="R250" s="140">
        <f>AC251*0.5%</f>
        <v/>
      </c>
      <c r="S250" s="140">
        <f>L251*1%</f>
        <v/>
      </c>
      <c r="T250" s="141">
        <f>S251+Q251+P251+O251+N251+M251</f>
        <v/>
      </c>
      <c r="U250" s="136">
        <f>AC251*1%</f>
        <v/>
      </c>
      <c r="V250" s="44">
        <f>AC251*5%</f>
        <v/>
      </c>
      <c r="W250" s="136">
        <f>AC251*1%</f>
        <v/>
      </c>
      <c r="X250" s="136">
        <f>AC251*8%</f>
        <v/>
      </c>
      <c r="Y250" s="136">
        <f>U251+V251+W251+X251</f>
        <v/>
      </c>
      <c r="Z250" s="141">
        <f>Y251+T251+L251</f>
        <v/>
      </c>
      <c r="AA250" s="142">
        <f>Z251*20%</f>
        <v/>
      </c>
      <c r="AB250" s="140">
        <f>Z251+AA251</f>
        <v/>
      </c>
      <c r="AC250" s="136">
        <f>D251*2.1</f>
        <v/>
      </c>
      <c r="AD250" s="140">
        <f>AB251-AC251</f>
        <v/>
      </c>
      <c r="AE250" s="140">
        <f>AD251/AB251*100</f>
        <v/>
      </c>
      <c r="AF250" s="137" t="n">
        <v>17750</v>
      </c>
      <c r="AG250" s="143">
        <f>((AF251-L251)/L251)*100</f>
        <v/>
      </c>
      <c r="AH250" s="145">
        <f>AJ251-AF251</f>
        <v/>
      </c>
      <c r="AI250" s="145">
        <f>AB251</f>
        <v/>
      </c>
      <c r="AJ250" s="145" t="n">
        <v>23250</v>
      </c>
      <c r="AK250" s="146">
        <f>(AJ251-L251)/L251*100</f>
        <v/>
      </c>
      <c r="AL250" s="146" t="n"/>
      <c r="AM250" s="146">
        <f>AH251/AJ251%</f>
        <v/>
      </c>
      <c r="AN250" s="146">
        <f>AK251-AG251</f>
        <v/>
      </c>
      <c r="AO250" s="147">
        <f>AJ251/L251</f>
        <v/>
      </c>
      <c r="AP250" s="146">
        <f>(AJ251-AB251)/100</f>
        <v/>
      </c>
      <c r="AQ250" s="146">
        <f>(AJ251-AC251)/100</f>
        <v/>
      </c>
      <c r="AR250" s="148">
        <f>AI251/94</f>
        <v/>
      </c>
      <c r="AS250" s="148">
        <f>AJ251/94</f>
        <v/>
      </c>
      <c r="AT250" s="149">
        <f>AI251/24</f>
        <v/>
      </c>
      <c r="AU250" s="149">
        <f>AJ251/24</f>
        <v/>
      </c>
      <c r="AV250" s="149">
        <f>AI251/125</f>
        <v/>
      </c>
      <c r="AW250" s="149">
        <f>AJ251/125</f>
        <v/>
      </c>
      <c r="AX250" s="137" t="n"/>
      <c r="AY250" s="137" t="n"/>
    </row>
    <row r="251" ht="15.75" customHeight="1" s="258">
      <c r="A251" s="136" t="n"/>
      <c r="B251" s="136" t="inlineStr">
        <is>
          <t>14 in</t>
        </is>
      </c>
      <c r="C251" s="136" t="inlineStr">
        <is>
          <t>MI-CB-C-14</t>
        </is>
      </c>
      <c r="D251" s="114" t="n">
        <v>14500</v>
      </c>
      <c r="E251" s="137" t="n"/>
      <c r="F251" s="136" t="n">
        <v>140</v>
      </c>
      <c r="G251" s="114" t="n">
        <v>70139900</v>
      </c>
      <c r="H251" s="138" t="n">
        <v>0.18</v>
      </c>
      <c r="I251" s="136">
        <f>D252*H252</f>
        <v/>
      </c>
      <c r="J251" s="137" t="n"/>
      <c r="K251" s="136" t="n">
        <v>400</v>
      </c>
      <c r="L251" s="139">
        <f>K252+J252+I252+F252+E252+D252</f>
        <v/>
      </c>
      <c r="M251" s="136">
        <f>D252*1%</f>
        <v/>
      </c>
      <c r="N251" s="140">
        <f>L252*8%</f>
        <v/>
      </c>
      <c r="O251" s="140">
        <f>L252*10%</f>
        <v/>
      </c>
      <c r="P251" s="140">
        <f>L252*5%</f>
        <v/>
      </c>
      <c r="Q251" s="140">
        <f>L252*2%</f>
        <v/>
      </c>
      <c r="R251" s="140">
        <f>AC252*0.5%</f>
        <v/>
      </c>
      <c r="S251" s="140">
        <f>L252*1%</f>
        <v/>
      </c>
      <c r="T251" s="141">
        <f>S252+Q252+P252+O252+N252+M252</f>
        <v/>
      </c>
      <c r="U251" s="136">
        <f>AC252*1%</f>
        <v/>
      </c>
      <c r="V251" s="44">
        <f>AC252*5%</f>
        <v/>
      </c>
      <c r="W251" s="136">
        <f>AC252*1%</f>
        <v/>
      </c>
      <c r="X251" s="136">
        <f>AC252*8%</f>
        <v/>
      </c>
      <c r="Y251" s="136">
        <f>U252+V252+W252+X252</f>
        <v/>
      </c>
      <c r="Z251" s="141">
        <f>Y252+T252+L252</f>
        <v/>
      </c>
      <c r="AA251" s="142">
        <f>Z252*20%</f>
        <v/>
      </c>
      <c r="AB251" s="140">
        <f>Z252+AA252</f>
        <v/>
      </c>
      <c r="AC251" s="136">
        <f>D252*2.1</f>
        <v/>
      </c>
      <c r="AD251" s="140">
        <f>AB252-AC252</f>
        <v/>
      </c>
      <c r="AE251" s="140">
        <f>AD252/AB252*100</f>
        <v/>
      </c>
      <c r="AF251" s="137" t="n">
        <v>19750</v>
      </c>
      <c r="AG251" s="143">
        <f>((AF252-L252)/L252)*100</f>
        <v/>
      </c>
      <c r="AH251" s="145">
        <f>AJ252-AF252</f>
        <v/>
      </c>
      <c r="AI251" s="145">
        <f>AB252</f>
        <v/>
      </c>
      <c r="AJ251" s="145" t="n">
        <v>24900</v>
      </c>
      <c r="AK251" s="146">
        <f>(AJ252-L252)/L252*100</f>
        <v/>
      </c>
      <c r="AL251" s="146" t="n"/>
      <c r="AM251" s="146">
        <f>AH252/AJ252%</f>
        <v/>
      </c>
      <c r="AN251" s="146">
        <f>AK252-AG252</f>
        <v/>
      </c>
      <c r="AO251" s="147">
        <f>AJ252/L252</f>
        <v/>
      </c>
      <c r="AP251" s="146">
        <f>(AJ252-AB252)/100</f>
        <v/>
      </c>
      <c r="AQ251" s="146">
        <f>(AJ252-AC252)/100</f>
        <v/>
      </c>
      <c r="AR251" s="148">
        <f>AI252/94</f>
        <v/>
      </c>
      <c r="AS251" s="148">
        <f>AJ252/94</f>
        <v/>
      </c>
      <c r="AT251" s="149">
        <f>AI252/24</f>
        <v/>
      </c>
      <c r="AU251" s="149">
        <f>AJ252/24</f>
        <v/>
      </c>
      <c r="AV251" s="149">
        <f>AI252/125</f>
        <v/>
      </c>
      <c r="AW251" s="149">
        <f>AJ252/125</f>
        <v/>
      </c>
      <c r="AX251" s="137" t="n"/>
      <c r="AY251" s="137" t="n"/>
    </row>
    <row r="252" ht="15.75" customHeight="1" s="258">
      <c r="A252" s="2" t="inlineStr">
        <is>
          <t>Crystal Bowls - Set of 7</t>
        </is>
      </c>
      <c r="B252" s="2" t="inlineStr">
        <is>
          <t>6-12-in-set / Frosted White</t>
        </is>
      </c>
      <c r="C252" s="2" t="inlineStr">
        <is>
          <t>MI-CB-W-6-12-SET</t>
        </is>
      </c>
      <c r="D252" s="118" t="n">
        <v>50000</v>
      </c>
      <c r="F252" s="2" t="n">
        <v>300</v>
      </c>
      <c r="G252" s="150" t="n">
        <v>70139900</v>
      </c>
      <c r="H252" s="151" t="n">
        <v>0.18</v>
      </c>
      <c r="I252" s="2">
        <f>D253*H253</f>
        <v/>
      </c>
      <c r="K252" s="152">
        <f>D253*4%</f>
        <v/>
      </c>
      <c r="L252" s="4">
        <f>K253+J253+I253+F253+E253+D253</f>
        <v/>
      </c>
      <c r="M252" s="2">
        <f>D253*1%</f>
        <v/>
      </c>
      <c r="N252" s="12">
        <f>L253*8%</f>
        <v/>
      </c>
      <c r="O252" s="12">
        <f>L253*10%</f>
        <v/>
      </c>
      <c r="P252" s="12">
        <f>L253*5%</f>
        <v/>
      </c>
      <c r="Q252" s="12">
        <f>L253*2%</f>
        <v/>
      </c>
      <c r="R252" s="12">
        <f>AC253*0.5%</f>
        <v/>
      </c>
      <c r="S252" s="12">
        <f>L253*1%</f>
        <v/>
      </c>
      <c r="T252" s="60">
        <f>S253+Q253+P253+O253+N253+M253</f>
        <v/>
      </c>
      <c r="U252" s="2">
        <f>AC253*1%</f>
        <v/>
      </c>
      <c r="V252" s="44">
        <f>AC253*5%</f>
        <v/>
      </c>
      <c r="W252" s="2">
        <f>AC253*1%</f>
        <v/>
      </c>
      <c r="X252" s="2">
        <f>AC253*8%</f>
        <v/>
      </c>
      <c r="Y252" s="2">
        <f>U253+V253+W253+X253</f>
        <v/>
      </c>
      <c r="Z252" s="60">
        <f>Y253+T253+L253</f>
        <v/>
      </c>
      <c r="AA252" s="11">
        <f>Z253*20%</f>
        <v/>
      </c>
      <c r="AB252" s="12">
        <f>Z253+AA253</f>
        <v/>
      </c>
      <c r="AC252" s="2">
        <f>D253*2.1</f>
        <v/>
      </c>
      <c r="AD252" s="12">
        <f>AB253-AC253</f>
        <v/>
      </c>
      <c r="AE252" s="12">
        <f>AD253/AB253*100</f>
        <v/>
      </c>
      <c r="AF252" s="92" t="n">
        <v>78500</v>
      </c>
      <c r="AG252" s="62">
        <f>((AF253-L253)/L253)*100</f>
        <v/>
      </c>
      <c r="AH252" s="106">
        <f>AJ253-AF253</f>
        <v/>
      </c>
      <c r="AI252" s="65">
        <f>AB253</f>
        <v/>
      </c>
      <c r="AJ252" s="65" t="n">
        <v>81500</v>
      </c>
      <c r="AK252" s="66">
        <f>(AJ253-L253)/L253*100</f>
        <v/>
      </c>
      <c r="AL252" s="66" t="n"/>
      <c r="AM252" s="14">
        <f>AH253/AJ253%</f>
        <v/>
      </c>
      <c r="AN252" s="67">
        <f>AK253-AG253</f>
        <v/>
      </c>
      <c r="AO252" s="68">
        <f>AJ253/L253</f>
        <v/>
      </c>
      <c r="AP252" s="69">
        <f>(AJ253-AB253)/100</f>
        <v/>
      </c>
      <c r="AQ252" s="70">
        <f>(AJ253-AC253)/100</f>
        <v/>
      </c>
      <c r="AR252" s="71">
        <f>AI253/94</f>
        <v/>
      </c>
      <c r="AS252" s="71">
        <f>AJ253/94</f>
        <v/>
      </c>
      <c r="AT252" s="72">
        <f>AI253/24</f>
        <v/>
      </c>
      <c r="AU252" s="72">
        <f>AJ253/24</f>
        <v/>
      </c>
      <c r="AV252" s="73">
        <f>AI253/125</f>
        <v/>
      </c>
      <c r="AW252" s="73">
        <f>AJ253/125</f>
        <v/>
      </c>
    </row>
    <row r="253" ht="15" customHeight="1" s="258">
      <c r="A253" s="2" t="n"/>
      <c r="B253" s="2" t="inlineStr">
        <is>
          <t>8-14-in-set / Frosted White</t>
        </is>
      </c>
      <c r="C253" s="2" t="inlineStr">
        <is>
          <t>MI-CB-W-8-14-SET</t>
        </is>
      </c>
      <c r="D253" s="118" t="n">
        <v>60000</v>
      </c>
      <c r="F253" s="2" t="n">
        <v>300</v>
      </c>
      <c r="G253" s="150" t="n">
        <v>70139900</v>
      </c>
      <c r="H253" s="151" t="n">
        <v>0.18</v>
      </c>
      <c r="I253" s="2">
        <f>D254*H254</f>
        <v/>
      </c>
      <c r="K253" s="152">
        <f>D254*4%</f>
        <v/>
      </c>
      <c r="L253" s="4">
        <f>K254+J254+I254+F254+E254+D254</f>
        <v/>
      </c>
      <c r="M253" s="2">
        <f>D254*1%</f>
        <v/>
      </c>
      <c r="N253" s="12">
        <f>L254*8%</f>
        <v/>
      </c>
      <c r="O253" s="12">
        <f>L254*10%</f>
        <v/>
      </c>
      <c r="P253" s="12">
        <f>L254*5%</f>
        <v/>
      </c>
      <c r="Q253" s="12">
        <f>L254*2%</f>
        <v/>
      </c>
      <c r="R253" s="12">
        <f>AC254*0.5%</f>
        <v/>
      </c>
      <c r="S253" s="12">
        <f>L254*1%</f>
        <v/>
      </c>
      <c r="T253" s="60">
        <f>S254+Q254+P254+O254+N254+M254</f>
        <v/>
      </c>
      <c r="U253" s="2">
        <f>AC254*1%</f>
        <v/>
      </c>
      <c r="V253" s="44">
        <f>AC254*5%</f>
        <v/>
      </c>
      <c r="W253" s="2">
        <f>AC254*1%</f>
        <v/>
      </c>
      <c r="X253" s="2">
        <f>AC254*8%</f>
        <v/>
      </c>
      <c r="Y253" s="2">
        <f>U254+V254+W254+X254</f>
        <v/>
      </c>
      <c r="Z253" s="60">
        <f>Y254+T254+L254</f>
        <v/>
      </c>
      <c r="AA253" s="11">
        <f>Z254*20%</f>
        <v/>
      </c>
      <c r="AB253" s="12">
        <f>Z254+AA254</f>
        <v/>
      </c>
      <c r="AC253" s="2">
        <f>D254*2.1</f>
        <v/>
      </c>
      <c r="AD253" s="12">
        <f>AB254-AC254</f>
        <v/>
      </c>
      <c r="AE253" s="12">
        <f>AD254/AB254*100</f>
        <v/>
      </c>
      <c r="AF253" s="92" t="n">
        <v>89500</v>
      </c>
      <c r="AG253" s="62">
        <f>((AF254-L254)/L254)*100</f>
        <v/>
      </c>
      <c r="AH253" s="106">
        <f>AJ254-AF254</f>
        <v/>
      </c>
      <c r="AI253" s="65">
        <f>AB254</f>
        <v/>
      </c>
      <c r="AJ253" s="65" t="n">
        <v>97500</v>
      </c>
      <c r="AK253" s="66">
        <f>(AJ254-L254)/L254*100</f>
        <v/>
      </c>
      <c r="AL253" s="66" t="n"/>
      <c r="AM253" s="14">
        <f>AH254/AJ254%</f>
        <v/>
      </c>
      <c r="AN253" s="67">
        <f>AK254-AG254</f>
        <v/>
      </c>
      <c r="AO253" s="68">
        <f>AJ254/L254</f>
        <v/>
      </c>
      <c r="AP253" s="69">
        <f>(AJ254-AB254)/100</f>
        <v/>
      </c>
      <c r="AQ253" s="70">
        <f>(AJ254-AC254)/100</f>
        <v/>
      </c>
      <c r="AR253" s="71">
        <f>AI254/94</f>
        <v/>
      </c>
      <c r="AS253" s="71">
        <f>AJ254/94</f>
        <v/>
      </c>
      <c r="AT253" s="72">
        <f>AI254/24</f>
        <v/>
      </c>
      <c r="AU253" s="72">
        <f>AJ254/24</f>
        <v/>
      </c>
      <c r="AV253" s="73">
        <f>AI254/125</f>
        <v/>
      </c>
      <c r="AW253" s="73">
        <f>AJ254/125</f>
        <v/>
      </c>
    </row>
    <row r="254" ht="15.75" customHeight="1" s="258">
      <c r="A254" s="2" t="n"/>
      <c r="B254" s="2" t="inlineStr">
        <is>
          <t>8-14-in-set / Chakra Coloured</t>
        </is>
      </c>
      <c r="C254" s="2" t="inlineStr">
        <is>
          <t>MI-CB-CL-8-14-SET</t>
        </is>
      </c>
      <c r="D254" s="118" t="n">
        <v>65000</v>
      </c>
      <c r="F254" s="2" t="n">
        <v>300</v>
      </c>
      <c r="G254" s="150" t="n">
        <v>70139900</v>
      </c>
      <c r="H254" s="151" t="n">
        <v>0.18</v>
      </c>
      <c r="I254" s="2">
        <f>D255*H255</f>
        <v/>
      </c>
      <c r="K254" s="152">
        <f>D255*4%</f>
        <v/>
      </c>
      <c r="L254" s="4">
        <f>K255+J255+I255+F255+E255+D255</f>
        <v/>
      </c>
      <c r="M254" s="2">
        <f>D255*1%</f>
        <v/>
      </c>
      <c r="N254" s="12">
        <f>L255*8%</f>
        <v/>
      </c>
      <c r="O254" s="12">
        <f>L255*10%</f>
        <v/>
      </c>
      <c r="P254" s="12">
        <f>L255*5%</f>
        <v/>
      </c>
      <c r="Q254" s="12">
        <f>L255*2%</f>
        <v/>
      </c>
      <c r="R254" s="12">
        <f>AC255*0.5%</f>
        <v/>
      </c>
      <c r="S254" s="12">
        <f>L255*1%</f>
        <v/>
      </c>
      <c r="T254" s="60">
        <f>S255+Q255+P255+O255+N255+M255</f>
        <v/>
      </c>
      <c r="U254" s="2">
        <f>AC255*1%</f>
        <v/>
      </c>
      <c r="V254" s="44">
        <f>AC255*5%</f>
        <v/>
      </c>
      <c r="W254" s="2">
        <f>AC255*1%</f>
        <v/>
      </c>
      <c r="X254" s="2">
        <f>AC255*8%</f>
        <v/>
      </c>
      <c r="Y254" s="2">
        <f>U255+V255+W255+X255</f>
        <v/>
      </c>
      <c r="Z254" s="60">
        <f>Y255+T255+L255</f>
        <v/>
      </c>
      <c r="AA254" s="11">
        <f>Z255*20%</f>
        <v/>
      </c>
      <c r="AB254" s="12">
        <f>Z255+AA255</f>
        <v/>
      </c>
      <c r="AC254" s="2">
        <f>D255*2.1</f>
        <v/>
      </c>
      <c r="AD254" s="12">
        <f>AB255-AC255</f>
        <v/>
      </c>
      <c r="AE254" s="12">
        <f>AD255/AB255*100</f>
        <v/>
      </c>
      <c r="AF254" s="92" t="n">
        <v>99500</v>
      </c>
      <c r="AG254" s="62">
        <f>((AF255-L255)/L255)*100</f>
        <v/>
      </c>
      <c r="AH254" s="106">
        <f>AJ255-AF255</f>
        <v/>
      </c>
      <c r="AI254" s="65">
        <f>AB255</f>
        <v/>
      </c>
      <c r="AJ254" s="65" t="n">
        <v>105500</v>
      </c>
      <c r="AK254" s="66">
        <f>(AJ255-L255)/L255*100</f>
        <v/>
      </c>
      <c r="AL254" s="66" t="n"/>
      <c r="AM254" s="14">
        <f>AH255/AJ255%</f>
        <v/>
      </c>
      <c r="AN254" s="67">
        <f>AK255-AG255</f>
        <v/>
      </c>
      <c r="AO254" s="68">
        <f>AJ255/L255</f>
        <v/>
      </c>
      <c r="AP254" s="69">
        <f>(AJ255-AB255)/100</f>
        <v/>
      </c>
      <c r="AQ254" s="70">
        <f>(AJ255-AC255)/100</f>
        <v/>
      </c>
      <c r="AR254" s="71">
        <f>AI255/94</f>
        <v/>
      </c>
      <c r="AS254" s="71">
        <f>AJ255/94</f>
        <v/>
      </c>
      <c r="AT254" s="72">
        <f>AI255/24</f>
        <v/>
      </c>
      <c r="AU254" s="72">
        <f>AJ255/24</f>
        <v/>
      </c>
      <c r="AV254" s="73">
        <f>AI255/125</f>
        <v/>
      </c>
      <c r="AW254" s="73">
        <f>AJ255/125</f>
        <v/>
      </c>
    </row>
    <row r="255" ht="15.75" customHeight="1" s="258">
      <c r="A255" s="2" t="n"/>
      <c r="B255" s="2" t="inlineStr">
        <is>
          <t>6-12-in-set / Chakra Coloured</t>
        </is>
      </c>
      <c r="C255" s="2" t="inlineStr">
        <is>
          <t>MI-CB-CL-6-12-SET</t>
        </is>
      </c>
      <c r="D255" s="118" t="n">
        <v>55000</v>
      </c>
      <c r="F255" s="2" t="n">
        <v>300</v>
      </c>
      <c r="G255" s="150" t="n">
        <v>70139900</v>
      </c>
      <c r="H255" s="151" t="n">
        <v>0.18</v>
      </c>
      <c r="I255" s="2">
        <f>D256*H256</f>
        <v/>
      </c>
      <c r="K255" s="152">
        <f>D256*4%</f>
        <v/>
      </c>
      <c r="L255" s="4">
        <f>K256+J256+I256+F256+E256+D256</f>
        <v/>
      </c>
      <c r="M255" s="2">
        <f>D256*1%</f>
        <v/>
      </c>
      <c r="N255" s="12">
        <f>L256*8%</f>
        <v/>
      </c>
      <c r="O255" s="12">
        <f>L256*10%</f>
        <v/>
      </c>
      <c r="P255" s="12">
        <f>L256*5%</f>
        <v/>
      </c>
      <c r="Q255" s="12">
        <f>L256*2%</f>
        <v/>
      </c>
      <c r="R255" s="12">
        <f>AC256*0.5%</f>
        <v/>
      </c>
      <c r="S255" s="12">
        <f>L256*1%</f>
        <v/>
      </c>
      <c r="T255" s="60">
        <f>S256+Q256+P256+O256+N256+M256</f>
        <v/>
      </c>
      <c r="U255" s="2">
        <f>AC256*1%</f>
        <v/>
      </c>
      <c r="V255" s="44">
        <f>AC256*5%</f>
        <v/>
      </c>
      <c r="W255" s="2">
        <f>AC256*1%</f>
        <v/>
      </c>
      <c r="X255" s="2">
        <f>AC256*8%</f>
        <v/>
      </c>
      <c r="Y255" s="2">
        <f>U256+V256+W256+X256</f>
        <v/>
      </c>
      <c r="Z255" s="60">
        <f>Y256+T256+L256</f>
        <v/>
      </c>
      <c r="AA255" s="11">
        <f>Z256*20%</f>
        <v/>
      </c>
      <c r="AB255" s="12">
        <f>Z256+AA256</f>
        <v/>
      </c>
      <c r="AC255" s="2">
        <f>D256*2.1</f>
        <v/>
      </c>
      <c r="AD255" s="12">
        <f>AB256-AC256</f>
        <v/>
      </c>
      <c r="AE255" s="12">
        <f>AD256/AB256*100</f>
        <v/>
      </c>
      <c r="AF255" s="92" t="n">
        <v>88500</v>
      </c>
      <c r="AG255" s="62">
        <f>((AF256-L256)/L256)*100</f>
        <v/>
      </c>
      <c r="AH255" s="106">
        <f>AJ256-AF256</f>
        <v/>
      </c>
      <c r="AI255" s="65">
        <f>AB256</f>
        <v/>
      </c>
      <c r="AJ255" s="65" t="n">
        <v>89500</v>
      </c>
      <c r="AK255" s="66">
        <f>(AJ256-L256)/L256*100</f>
        <v/>
      </c>
      <c r="AL255" s="66" t="n"/>
      <c r="AM255" s="14">
        <f>AH256/AJ256%</f>
        <v/>
      </c>
      <c r="AN255" s="67">
        <f>AK256-AG256</f>
        <v/>
      </c>
      <c r="AO255" s="68">
        <f>AJ256/L256</f>
        <v/>
      </c>
      <c r="AP255" s="69">
        <f>(AJ256-AB256)/100</f>
        <v/>
      </c>
      <c r="AQ255" s="70">
        <f>(AJ256-AC256)/100</f>
        <v/>
      </c>
      <c r="AR255" s="71">
        <f>AI256/94</f>
        <v/>
      </c>
      <c r="AS255" s="71">
        <f>AJ256/94</f>
        <v/>
      </c>
      <c r="AT255" s="72">
        <f>AI256/24</f>
        <v/>
      </c>
      <c r="AU255" s="72">
        <f>AJ256/24</f>
        <v/>
      </c>
      <c r="AV255" s="73">
        <f>AI256/125</f>
        <v/>
      </c>
      <c r="AW255" s="73">
        <f>AJ256/125</f>
        <v/>
      </c>
    </row>
    <row r="256" ht="15.75" customHeight="1" s="258">
      <c r="A256" s="44" t="inlineStr">
        <is>
          <t>Triad Crystal Bowl Set</t>
        </is>
      </c>
      <c r="B256" s="44" t="inlineStr">
        <is>
          <t>CEG</t>
        </is>
      </c>
      <c r="C256" s="111" t="inlineStr">
        <is>
          <t>MI-TCB-CEG</t>
        </is>
      </c>
      <c r="D256" s="153" t="n">
        <v>24000</v>
      </c>
      <c r="E256" s="113" t="n"/>
      <c r="F256" s="44" t="n">
        <v>145</v>
      </c>
      <c r="G256" s="154" t="n">
        <v>70139900</v>
      </c>
      <c r="H256" s="155" t="n">
        <v>0.18</v>
      </c>
      <c r="I256" s="44">
        <f>D257*H257</f>
        <v/>
      </c>
      <c r="J256" s="113" t="n"/>
      <c r="K256" s="44" t="n">
        <v>800</v>
      </c>
      <c r="L256" s="156">
        <f>K257+J257+I257+F257+E257+D257</f>
        <v/>
      </c>
      <c r="M256" s="44">
        <f>D257*1%</f>
        <v/>
      </c>
      <c r="N256" s="49">
        <f>L257*8%</f>
        <v/>
      </c>
      <c r="O256" s="49">
        <f>L257*10%</f>
        <v/>
      </c>
      <c r="P256" s="49">
        <f>L257*5%</f>
        <v/>
      </c>
      <c r="Q256" s="49">
        <f>L257*2%</f>
        <v/>
      </c>
      <c r="R256" s="49">
        <f>AC257*0.5%</f>
        <v/>
      </c>
      <c r="S256" s="49">
        <f>L257*1%</f>
        <v/>
      </c>
      <c r="T256" s="50">
        <f>S257+Q257+P257+O257+N257+M257</f>
        <v/>
      </c>
      <c r="U256" s="44">
        <f>AC257*1%</f>
        <v/>
      </c>
      <c r="V256" s="44">
        <f>AC257*5%</f>
        <v/>
      </c>
      <c r="W256" s="44">
        <f>AC257*1%</f>
        <v/>
      </c>
      <c r="X256" s="44">
        <f>AC257*8%</f>
        <v/>
      </c>
      <c r="Y256" s="44">
        <f>U257+V257+W257+X257</f>
        <v/>
      </c>
      <c r="Z256" s="50">
        <f>Y257+T257+L257</f>
        <v/>
      </c>
      <c r="AA256" s="51">
        <f>Z257*20%</f>
        <v/>
      </c>
      <c r="AB256" s="49">
        <f>Z257+AA257</f>
        <v/>
      </c>
      <c r="AC256" s="44">
        <f>D257*2.1</f>
        <v/>
      </c>
      <c r="AD256" s="49">
        <f>AB257-AC257</f>
        <v/>
      </c>
      <c r="AE256" s="49">
        <f>AD257/AB257*100</f>
        <v/>
      </c>
      <c r="AF256" s="113" t="n"/>
      <c r="AG256" s="116">
        <f>((AF257-L257)/L257)*100</f>
        <v/>
      </c>
      <c r="AH256" s="54">
        <f>AJ257-AF257</f>
        <v/>
      </c>
      <c r="AI256" s="54" t="n">
        <v>49990</v>
      </c>
      <c r="AJ256" s="54" t="n">
        <v>41990</v>
      </c>
      <c r="AK256" s="55">
        <f>(AJ257-L257)/L257*100</f>
        <v/>
      </c>
      <c r="AL256" s="55" t="n"/>
      <c r="AM256" s="55">
        <f>AH257/AJ257%</f>
        <v/>
      </c>
      <c r="AN256" s="55">
        <f>AK257-AG257</f>
        <v/>
      </c>
      <c r="AO256" s="56">
        <f>AJ257/L257</f>
        <v/>
      </c>
      <c r="AP256" s="55">
        <f>(AJ257-AB257)/100</f>
        <v/>
      </c>
      <c r="AQ256" s="55">
        <f>(AJ257-AC257)/100</f>
        <v/>
      </c>
      <c r="AR256" s="57">
        <f>AI257/94</f>
        <v/>
      </c>
      <c r="AS256" s="57">
        <f>AJ257/94</f>
        <v/>
      </c>
      <c r="AT256" s="58">
        <f>AI257/24</f>
        <v/>
      </c>
      <c r="AU256" s="58">
        <f>AJ257/24</f>
        <v/>
      </c>
      <c r="AV256" s="58">
        <f>AI257/125</f>
        <v/>
      </c>
      <c r="AW256" s="58">
        <f>AJ257/125</f>
        <v/>
      </c>
      <c r="AX256" s="113" t="n"/>
      <c r="AY256" s="113" t="n"/>
    </row>
    <row r="257" ht="15" customHeight="1" s="258">
      <c r="A257" s="44" t="n"/>
      <c r="B257" s="44" t="inlineStr">
        <is>
          <t>DFA</t>
        </is>
      </c>
      <c r="C257" s="111" t="inlineStr">
        <is>
          <t>MI-TCB-DFA</t>
        </is>
      </c>
      <c r="D257" s="153" t="n">
        <v>21000</v>
      </c>
      <c r="E257" s="113" t="n"/>
      <c r="F257" s="44" t="n">
        <v>145</v>
      </c>
      <c r="G257" s="154" t="n">
        <v>70139900</v>
      </c>
      <c r="H257" s="155" t="n">
        <v>0.18</v>
      </c>
      <c r="I257" s="44">
        <f>D258*H258</f>
        <v/>
      </c>
      <c r="J257" s="113" t="n"/>
      <c r="K257" s="44" t="n">
        <v>800</v>
      </c>
      <c r="L257" s="156">
        <f>K258+J258+I258+F258+E258+D258</f>
        <v/>
      </c>
      <c r="M257" s="44">
        <f>D258*1%</f>
        <v/>
      </c>
      <c r="N257" s="49">
        <f>L258*8%</f>
        <v/>
      </c>
      <c r="O257" s="49">
        <f>L258*10%</f>
        <v/>
      </c>
      <c r="P257" s="49">
        <f>L258*5%</f>
        <v/>
      </c>
      <c r="Q257" s="49">
        <f>L258*2%</f>
        <v/>
      </c>
      <c r="R257" s="49">
        <f>AC258*0.5%</f>
        <v/>
      </c>
      <c r="S257" s="49">
        <f>L258*1%</f>
        <v/>
      </c>
      <c r="T257" s="50">
        <f>S258+Q258+P258+O258+N258+M258</f>
        <v/>
      </c>
      <c r="U257" s="44">
        <f>AC258*1%</f>
        <v/>
      </c>
      <c r="V257" s="44">
        <f>AC258*5%</f>
        <v/>
      </c>
      <c r="W257" s="44">
        <f>AC258*1%</f>
        <v/>
      </c>
      <c r="X257" s="44">
        <f>AC258*8%</f>
        <v/>
      </c>
      <c r="Y257" s="44">
        <f>U258+V258+W258+X258</f>
        <v/>
      </c>
      <c r="Z257" s="50">
        <f>Y258+T258+L258</f>
        <v/>
      </c>
      <c r="AA257" s="51">
        <f>Z258*20%</f>
        <v/>
      </c>
      <c r="AB257" s="49">
        <f>Z258+AA258</f>
        <v/>
      </c>
      <c r="AC257" s="44">
        <f>D258*2.1</f>
        <v/>
      </c>
      <c r="AD257" s="49">
        <f>AB258-AC258</f>
        <v/>
      </c>
      <c r="AE257" s="49">
        <f>AD258/AB258*100</f>
        <v/>
      </c>
      <c r="AF257" s="113" t="n"/>
      <c r="AG257" s="116">
        <f>((AF258-L258)/L258)*100</f>
        <v/>
      </c>
      <c r="AH257" s="54">
        <f>AJ258-AF258</f>
        <v/>
      </c>
      <c r="AI257" s="54" t="n">
        <v>47990</v>
      </c>
      <c r="AJ257" s="54" t="n">
        <v>36990</v>
      </c>
      <c r="AK257" s="55">
        <f>(AJ258-L258)/L258*100</f>
        <v/>
      </c>
      <c r="AL257" s="55" t="n"/>
      <c r="AM257" s="55">
        <f>AH258/AJ258%</f>
        <v/>
      </c>
      <c r="AN257" s="55">
        <f>AK258-AG258</f>
        <v/>
      </c>
      <c r="AO257" s="56">
        <f>AJ258/L258</f>
        <v/>
      </c>
      <c r="AP257" s="55">
        <f>(AJ258-AB258)/100</f>
        <v/>
      </c>
      <c r="AQ257" s="55">
        <f>(AJ258-AC258)/100</f>
        <v/>
      </c>
      <c r="AR257" s="57">
        <f>AI258/94</f>
        <v/>
      </c>
      <c r="AS257" s="57">
        <f>AJ258/94</f>
        <v/>
      </c>
      <c r="AT257" s="58">
        <f>AI258/24</f>
        <v/>
      </c>
      <c r="AU257" s="58">
        <f>AJ258/24</f>
        <v/>
      </c>
      <c r="AV257" s="58">
        <f>AI258/125</f>
        <v/>
      </c>
      <c r="AW257" s="58">
        <f>AJ258/125</f>
        <v/>
      </c>
      <c r="AX257" s="113" t="n"/>
      <c r="AY257" s="113" t="n"/>
    </row>
    <row r="258" ht="15.75" customHeight="1" s="258">
      <c r="A258" s="44" t="n"/>
      <c r="B258" s="44" t="inlineStr">
        <is>
          <t>EGB</t>
        </is>
      </c>
      <c r="C258" s="111" t="inlineStr">
        <is>
          <t>MI-TCB-EGB</t>
        </is>
      </c>
      <c r="D258" s="153" t="n">
        <v>19500</v>
      </c>
      <c r="E258" s="113" t="n"/>
      <c r="F258" s="44" t="n">
        <v>145</v>
      </c>
      <c r="G258" s="154" t="n">
        <v>70139900</v>
      </c>
      <c r="H258" s="155" t="n">
        <v>0.18</v>
      </c>
      <c r="I258" s="44">
        <f>D259*H259</f>
        <v/>
      </c>
      <c r="J258" s="113" t="n"/>
      <c r="K258" s="44" t="n">
        <v>800</v>
      </c>
      <c r="L258" s="156">
        <f>K259+J259+I259+F259+E259+D259</f>
        <v/>
      </c>
      <c r="M258" s="44">
        <f>D259*1%</f>
        <v/>
      </c>
      <c r="N258" s="49">
        <f>L259*8%</f>
        <v/>
      </c>
      <c r="O258" s="49">
        <f>L259*10%</f>
        <v/>
      </c>
      <c r="P258" s="49">
        <f>L259*5%</f>
        <v/>
      </c>
      <c r="Q258" s="49">
        <f>L259*2%</f>
        <v/>
      </c>
      <c r="R258" s="49">
        <f>AC259*0.5%</f>
        <v/>
      </c>
      <c r="S258" s="49">
        <f>L259*1%</f>
        <v/>
      </c>
      <c r="T258" s="50">
        <f>S259+Q259+P259+O259+N259+M259</f>
        <v/>
      </c>
      <c r="U258" s="44">
        <f>AC259*1%</f>
        <v/>
      </c>
      <c r="V258" s="44">
        <f>AC259*5%</f>
        <v/>
      </c>
      <c r="W258" s="44">
        <f>AC259*1%</f>
        <v/>
      </c>
      <c r="X258" s="44">
        <f>AC259*8%</f>
        <v/>
      </c>
      <c r="Y258" s="44">
        <f>U259+V259+W259+X259</f>
        <v/>
      </c>
      <c r="Z258" s="50">
        <f>Y259+T259+L259</f>
        <v/>
      </c>
      <c r="AA258" s="51">
        <f>Z259*20%</f>
        <v/>
      </c>
      <c r="AB258" s="49">
        <f>Z259+AA259</f>
        <v/>
      </c>
      <c r="AC258" s="44">
        <f>D259*2.1</f>
        <v/>
      </c>
      <c r="AD258" s="49">
        <f>AB259-AC259</f>
        <v/>
      </c>
      <c r="AE258" s="49">
        <f>AD259/AB259*100</f>
        <v/>
      </c>
      <c r="AF258" s="113" t="n"/>
      <c r="AG258" s="116">
        <f>((AF259-L259)/L259)*100</f>
        <v/>
      </c>
      <c r="AH258" s="54">
        <f>AJ259-AF259</f>
        <v/>
      </c>
      <c r="AI258" s="54" t="n">
        <v>46990</v>
      </c>
      <c r="AJ258" s="54" t="n">
        <v>34490</v>
      </c>
      <c r="AK258" s="55">
        <f>(AJ259-L259)/L259*100</f>
        <v/>
      </c>
      <c r="AL258" s="55" t="n"/>
      <c r="AM258" s="55">
        <f>AH259/AJ259%</f>
        <v/>
      </c>
      <c r="AN258" s="55">
        <f>AK259-AG259</f>
        <v/>
      </c>
      <c r="AO258" s="56">
        <f>AJ259/L259</f>
        <v/>
      </c>
      <c r="AP258" s="55">
        <f>(AJ259-AB259)/100</f>
        <v/>
      </c>
      <c r="AQ258" s="55">
        <f>(AJ259-AC259)/100</f>
        <v/>
      </c>
      <c r="AR258" s="57">
        <f>AI259/94</f>
        <v/>
      </c>
      <c r="AS258" s="57">
        <f>AJ259/94</f>
        <v/>
      </c>
      <c r="AT258" s="58">
        <f>AI259/24</f>
        <v/>
      </c>
      <c r="AU258" s="58">
        <f>AJ259/24</f>
        <v/>
      </c>
      <c r="AV258" s="58">
        <f>AI259/125</f>
        <v/>
      </c>
      <c r="AW258" s="58">
        <f>AJ259/125</f>
        <v/>
      </c>
      <c r="AX258" s="113" t="n"/>
      <c r="AY258" s="113" t="n"/>
    </row>
    <row r="259" ht="15.75" customHeight="1" s="258">
      <c r="A259" s="2" t="inlineStr">
        <is>
          <t>Crystal Pyramid</t>
        </is>
      </c>
      <c r="B259" s="2" t="inlineStr">
        <is>
          <t>6 in</t>
        </is>
      </c>
      <c r="C259" s="2" t="inlineStr">
        <is>
          <t>MI-CP-6</t>
        </is>
      </c>
      <c r="D259" s="253" t="n">
        <v>4950</v>
      </c>
      <c r="F259" s="2" t="n">
        <v>140</v>
      </c>
      <c r="G259" s="118" t="n">
        <v>70139900</v>
      </c>
      <c r="H259" s="255" t="n">
        <v>0.18</v>
      </c>
      <c r="I259" s="2">
        <f>D260*H260</f>
        <v/>
      </c>
      <c r="K259" s="152" t="n">
        <v>500</v>
      </c>
      <c r="L259" s="4">
        <f>K260+J260+I260+F260+E260+D260</f>
        <v/>
      </c>
      <c r="M259" s="2">
        <f>D260*1%</f>
        <v/>
      </c>
      <c r="N259" s="12">
        <f>L260*8%</f>
        <v/>
      </c>
      <c r="O259" s="12">
        <f>L260*10%</f>
        <v/>
      </c>
      <c r="P259" s="12">
        <f>L260*5%</f>
        <v/>
      </c>
      <c r="Q259" s="12">
        <f>L260*2%</f>
        <v/>
      </c>
      <c r="R259" s="12">
        <f>AC260*0.5%</f>
        <v/>
      </c>
      <c r="S259" s="12">
        <f>L260*1%</f>
        <v/>
      </c>
      <c r="T259" s="60">
        <f>S260+Q260+P260+O260+N260+M260</f>
        <v/>
      </c>
      <c r="U259" s="2">
        <f>AC260*1%</f>
        <v/>
      </c>
      <c r="V259" s="44">
        <f>AC260*5%</f>
        <v/>
      </c>
      <c r="W259" s="2">
        <f>AC260*1%</f>
        <v/>
      </c>
      <c r="X259" s="2">
        <f>AC260*8%</f>
        <v/>
      </c>
      <c r="Y259" s="2">
        <f>U260+V260+W260+X260</f>
        <v/>
      </c>
      <c r="Z259" s="60">
        <f>Y260+T260+L260</f>
        <v/>
      </c>
      <c r="AA259" s="11">
        <f>Z260*20%</f>
        <v/>
      </c>
      <c r="AB259" s="12">
        <f>Z260+AA260</f>
        <v/>
      </c>
      <c r="AC259" s="2">
        <f>D260*2.1</f>
        <v/>
      </c>
      <c r="AD259" s="12">
        <f>AB260-AC260</f>
        <v/>
      </c>
      <c r="AE259" s="12">
        <f>AD260/AB260*100</f>
        <v/>
      </c>
      <c r="AF259" s="92" t="n">
        <v>8950</v>
      </c>
      <c r="AG259" s="62">
        <f>((AF260-L260)/L260)*100</f>
        <v/>
      </c>
      <c r="AH259" s="106">
        <f>AJ260-AF260</f>
        <v/>
      </c>
      <c r="AI259" s="65">
        <f>AB260</f>
        <v/>
      </c>
      <c r="AJ259" s="65" t="n">
        <v>9250</v>
      </c>
      <c r="AK259" s="66">
        <f>(AJ260-L260)/L260*100</f>
        <v/>
      </c>
      <c r="AL259" s="66" t="n"/>
      <c r="AM259" s="14">
        <f>AH260/AJ260%</f>
        <v/>
      </c>
      <c r="AN259" s="67">
        <f>AK260-AG260</f>
        <v/>
      </c>
      <c r="AO259" s="68">
        <f>AJ260/L260</f>
        <v/>
      </c>
      <c r="AP259" s="69">
        <f>(AJ260-AB260)/100</f>
        <v/>
      </c>
      <c r="AQ259" s="70">
        <f>(AJ260-AC260)/100</f>
        <v/>
      </c>
      <c r="AR259" s="71">
        <f>AI260/94</f>
        <v/>
      </c>
      <c r="AS259" s="71">
        <f>AJ260/94</f>
        <v/>
      </c>
      <c r="AT259" s="72">
        <f>AI260/24</f>
        <v/>
      </c>
      <c r="AU259" s="72">
        <f>AJ260/24</f>
        <v/>
      </c>
      <c r="AV259" s="73">
        <f>AI260/125</f>
        <v/>
      </c>
      <c r="AW259" s="73">
        <f>AJ260/125</f>
        <v/>
      </c>
    </row>
    <row r="260" ht="15" customHeight="1" s="258">
      <c r="A260" s="2" t="n"/>
      <c r="B260" s="2" t="inlineStr">
        <is>
          <t>8 in</t>
        </is>
      </c>
      <c r="C260" s="2" t="inlineStr">
        <is>
          <t>MI-CP-8</t>
        </is>
      </c>
      <c r="D260" s="253" t="n">
        <v>6200</v>
      </c>
      <c r="F260" s="2" t="n">
        <v>140</v>
      </c>
      <c r="G260" s="118" t="n">
        <v>70139900</v>
      </c>
      <c r="H260" s="255" t="n">
        <v>0.18</v>
      </c>
      <c r="I260" s="2">
        <f>D261*H261</f>
        <v/>
      </c>
      <c r="K260" s="152" t="n">
        <v>500</v>
      </c>
      <c r="L260" s="4">
        <f>K261+J261+I261+F261+E261+D261</f>
        <v/>
      </c>
      <c r="M260" s="2">
        <f>D261*1%</f>
        <v/>
      </c>
      <c r="N260" s="12">
        <f>L261*8%</f>
        <v/>
      </c>
      <c r="O260" s="12">
        <f>L261*10%</f>
        <v/>
      </c>
      <c r="P260" s="12">
        <f>L261*5%</f>
        <v/>
      </c>
      <c r="Q260" s="12">
        <f>L261*2%</f>
        <v/>
      </c>
      <c r="R260" s="12">
        <f>AC261*0.5%</f>
        <v/>
      </c>
      <c r="S260" s="12">
        <f>L261*1%</f>
        <v/>
      </c>
      <c r="T260" s="60">
        <f>S261+Q261+P261+O261+N261+M261</f>
        <v/>
      </c>
      <c r="U260" s="2">
        <f>AC261*1%</f>
        <v/>
      </c>
      <c r="V260" s="44">
        <f>AC261*5%</f>
        <v/>
      </c>
      <c r="W260" s="2">
        <f>AC261*1%</f>
        <v/>
      </c>
      <c r="X260" s="2">
        <f>AC261*8%</f>
        <v/>
      </c>
      <c r="Y260" s="2">
        <f>U261+V261+W261+X261</f>
        <v/>
      </c>
      <c r="Z260" s="60">
        <f>Y261+T261+L261</f>
        <v/>
      </c>
      <c r="AA260" s="11">
        <f>Z261*20%</f>
        <v/>
      </c>
      <c r="AB260" s="12">
        <f>Z261+AA261</f>
        <v/>
      </c>
      <c r="AC260" s="2">
        <f>D261*2.1</f>
        <v/>
      </c>
      <c r="AD260" s="12">
        <f>AB261-AC261</f>
        <v/>
      </c>
      <c r="AE260" s="12">
        <f>AD261/AB261*100</f>
        <v/>
      </c>
      <c r="AF260" s="92" t="n">
        <v>10950</v>
      </c>
      <c r="AG260" s="62">
        <f>((AF261-L261)/L261)*100</f>
        <v/>
      </c>
      <c r="AH260" s="106">
        <f>AJ261-AF261</f>
        <v/>
      </c>
      <c r="AI260" s="65">
        <f>AB261</f>
        <v/>
      </c>
      <c r="AJ260" s="65" t="n">
        <v>11450</v>
      </c>
      <c r="AK260" s="66">
        <f>(AJ261-L261)/L261*100</f>
        <v/>
      </c>
      <c r="AL260" s="66" t="n"/>
      <c r="AM260" s="14">
        <f>AH261/AJ261%</f>
        <v/>
      </c>
      <c r="AN260" s="67">
        <f>AK261-AG261</f>
        <v/>
      </c>
      <c r="AO260" s="68">
        <f>AJ261/L261</f>
        <v/>
      </c>
      <c r="AP260" s="69">
        <f>(AJ261-AB261)/100</f>
        <v/>
      </c>
      <c r="AQ260" s="70">
        <f>(AJ261-AC261)/100</f>
        <v/>
      </c>
      <c r="AR260" s="71">
        <f>AI261/94</f>
        <v/>
      </c>
      <c r="AS260" s="71">
        <f>AJ261/94</f>
        <v/>
      </c>
      <c r="AT260" s="72">
        <f>AI261/24</f>
        <v/>
      </c>
      <c r="AU260" s="72">
        <f>AJ261/24</f>
        <v/>
      </c>
      <c r="AV260" s="73">
        <f>AI261/125</f>
        <v/>
      </c>
      <c r="AW260" s="73">
        <f>AJ261/125</f>
        <v/>
      </c>
    </row>
    <row r="261" ht="15.75" customHeight="1" s="258">
      <c r="A261" s="2" t="inlineStr">
        <is>
          <t>Djembe Drums</t>
        </is>
      </c>
      <c r="B261" s="2" t="inlineStr">
        <is>
          <t>8in / Ivory</t>
        </is>
      </c>
      <c r="C261" s="2" t="inlineStr">
        <is>
          <t>MI-DJB-I-8</t>
        </is>
      </c>
      <c r="D261" s="118" t="n">
        <v>2050</v>
      </c>
      <c r="F261" s="2" t="n">
        <v>200</v>
      </c>
      <c r="G261" s="118" t="n">
        <v>92060000</v>
      </c>
      <c r="H261" s="255" t="n">
        <v>0.18</v>
      </c>
      <c r="I261" s="2">
        <f>D262*H262</f>
        <v/>
      </c>
      <c r="K261" s="158" t="n">
        <v>400</v>
      </c>
      <c r="L261" s="4">
        <f>K262+J262+I262+F262+E262+D262</f>
        <v/>
      </c>
      <c r="M261" s="2">
        <f>D262*1%</f>
        <v/>
      </c>
      <c r="N261" s="12">
        <f>L262*8%</f>
        <v/>
      </c>
      <c r="O261" s="12">
        <f>L262*10%</f>
        <v/>
      </c>
      <c r="P261" s="12">
        <f>L262*5%</f>
        <v/>
      </c>
      <c r="Q261" s="12">
        <f>L262*2%</f>
        <v/>
      </c>
      <c r="R261" s="12">
        <f>AC262*0.5%</f>
        <v/>
      </c>
      <c r="S261" s="12">
        <f>L262*1%</f>
        <v/>
      </c>
      <c r="T261" s="60">
        <f>S262+Q262+P262+O262+N262+M262</f>
        <v/>
      </c>
      <c r="U261" s="2">
        <f>AC262*1%</f>
        <v/>
      </c>
      <c r="V261" s="44">
        <f>AC262*5%</f>
        <v/>
      </c>
      <c r="W261" s="2">
        <f>AC262*1%</f>
        <v/>
      </c>
      <c r="X261" s="2">
        <f>AC262*8%</f>
        <v/>
      </c>
      <c r="Y261" s="2">
        <f>U262+V262+W262+X262</f>
        <v/>
      </c>
      <c r="Z261" s="60">
        <f>Y262+T262+L262</f>
        <v/>
      </c>
      <c r="AA261" s="11">
        <f>Z262*20%</f>
        <v/>
      </c>
      <c r="AB261" s="12">
        <f>Z262+AA262</f>
        <v/>
      </c>
      <c r="AC261" s="2">
        <f>D262*2.1</f>
        <v/>
      </c>
      <c r="AD261" s="12">
        <f>AB262-AC262</f>
        <v/>
      </c>
      <c r="AE261" s="12">
        <f>AD262/AB262*100</f>
        <v/>
      </c>
      <c r="AF261" s="92" t="n">
        <v>3950</v>
      </c>
      <c r="AG261" s="62">
        <f>((AF262-L262)/L262)*100</f>
        <v/>
      </c>
      <c r="AH261" s="106">
        <f>AJ262-AF262</f>
        <v/>
      </c>
      <c r="AI261" s="65">
        <f>AB262</f>
        <v/>
      </c>
      <c r="AJ261" s="65" t="n">
        <v>4450</v>
      </c>
      <c r="AK261" s="66">
        <f>(AJ262-L262)/L262*100</f>
        <v/>
      </c>
      <c r="AL261" s="66" t="n"/>
      <c r="AM261" s="14">
        <f>AH262/AJ262%</f>
        <v/>
      </c>
      <c r="AN261" s="67">
        <f>AK262-AG262</f>
        <v/>
      </c>
      <c r="AO261" s="68">
        <f>AJ262/L262</f>
        <v/>
      </c>
      <c r="AP261" s="69">
        <f>(AJ262-AB262)/100</f>
        <v/>
      </c>
      <c r="AQ261" s="70">
        <f>(AJ262-AC262)/100</f>
        <v/>
      </c>
      <c r="AR261" s="71">
        <f>AI262/94</f>
        <v/>
      </c>
      <c r="AS261" s="71">
        <f>AJ262/94</f>
        <v/>
      </c>
      <c r="AT261" s="72">
        <f>AI262/24</f>
        <v/>
      </c>
      <c r="AU261" s="72">
        <f>AJ262/24</f>
        <v/>
      </c>
      <c r="AV261" s="73">
        <f>AI262/125</f>
        <v/>
      </c>
      <c r="AW261" s="73">
        <f>AJ262/125</f>
        <v/>
      </c>
    </row>
    <row r="262" ht="15" customHeight="1" s="258">
      <c r="A262" s="2" t="n"/>
      <c r="B262" s="2" t="inlineStr">
        <is>
          <t>8in / Mahogany</t>
        </is>
      </c>
      <c r="C262" s="2" t="inlineStr">
        <is>
          <t>MI-DJB-M-8</t>
        </is>
      </c>
      <c r="D262" s="118" t="n">
        <v>2050</v>
      </c>
      <c r="F262" s="2" t="n">
        <v>200</v>
      </c>
      <c r="G262" s="118" t="n">
        <v>92060000</v>
      </c>
      <c r="H262" s="255" t="n">
        <v>0.18</v>
      </c>
      <c r="I262" s="2">
        <f>D263*H263</f>
        <v/>
      </c>
      <c r="K262" s="158" t="n">
        <v>400</v>
      </c>
      <c r="L262" s="4">
        <f>K263+J263+I263+F263+E263+D263</f>
        <v/>
      </c>
      <c r="M262" s="2">
        <f>D263*1%</f>
        <v/>
      </c>
      <c r="N262" s="12">
        <f>L263*8%</f>
        <v/>
      </c>
      <c r="O262" s="12">
        <f>L263*10%</f>
        <v/>
      </c>
      <c r="P262" s="12">
        <f>L263*5%</f>
        <v/>
      </c>
      <c r="Q262" s="12">
        <f>L263*2%</f>
        <v/>
      </c>
      <c r="R262" s="12">
        <f>AC263*0.5%</f>
        <v/>
      </c>
      <c r="S262" s="12">
        <f>L263*1%</f>
        <v/>
      </c>
      <c r="T262" s="60">
        <f>S263+Q263+P263+O263+N263+M263</f>
        <v/>
      </c>
      <c r="U262" s="2">
        <f>AC263*1%</f>
        <v/>
      </c>
      <c r="V262" s="44">
        <f>AC263*5%</f>
        <v/>
      </c>
      <c r="W262" s="2">
        <f>AC263*1%</f>
        <v/>
      </c>
      <c r="X262" s="2">
        <f>AC263*8%</f>
        <v/>
      </c>
      <c r="Y262" s="2">
        <f>U263+V263+W263+X263</f>
        <v/>
      </c>
      <c r="Z262" s="60">
        <f>Y263+T263+L263</f>
        <v/>
      </c>
      <c r="AA262" s="11">
        <f>Z263*20%</f>
        <v/>
      </c>
      <c r="AB262" s="12">
        <f>Z263+AA263</f>
        <v/>
      </c>
      <c r="AC262" s="2">
        <f>D263*2.1</f>
        <v/>
      </c>
      <c r="AD262" s="12">
        <f>AB263-AC263</f>
        <v/>
      </c>
      <c r="AE262" s="12">
        <f>AD263/AB263*100</f>
        <v/>
      </c>
      <c r="AF262" s="92" t="n">
        <v>3950</v>
      </c>
      <c r="AG262" s="62">
        <f>((AF263-L263)/L263)*100</f>
        <v/>
      </c>
      <c r="AH262" s="106">
        <f>AJ263-AF263</f>
        <v/>
      </c>
      <c r="AI262" s="65">
        <f>AB263</f>
        <v/>
      </c>
      <c r="AJ262" s="65" t="n">
        <v>4450</v>
      </c>
      <c r="AK262" s="66">
        <f>(AJ263-L263)/L263*100</f>
        <v/>
      </c>
      <c r="AL262" s="66" t="n"/>
      <c r="AM262" s="14">
        <f>AH263/AJ263%</f>
        <v/>
      </c>
      <c r="AN262" s="67">
        <f>AK263-AG263</f>
        <v/>
      </c>
      <c r="AO262" s="68">
        <f>AJ263/L263</f>
        <v/>
      </c>
      <c r="AP262" s="69">
        <f>(AJ263-AB263)/100</f>
        <v/>
      </c>
      <c r="AQ262" s="70">
        <f>(AJ263-AC263)/100</f>
        <v/>
      </c>
      <c r="AR262" s="71">
        <f>AI263/94</f>
        <v/>
      </c>
      <c r="AS262" s="71">
        <f>AJ263/94</f>
        <v/>
      </c>
      <c r="AT262" s="72">
        <f>AI263/24</f>
        <v/>
      </c>
      <c r="AU262" s="72">
        <f>AJ263/24</f>
        <v/>
      </c>
      <c r="AV262" s="73">
        <f>AI263/125</f>
        <v/>
      </c>
      <c r="AW262" s="73">
        <f>AJ263/125</f>
        <v/>
      </c>
    </row>
    <row r="263" ht="15.75" customHeight="1" s="258">
      <c r="A263" s="2" t="n"/>
      <c r="B263" s="2" t="inlineStr">
        <is>
          <t>10in / Ivory</t>
        </is>
      </c>
      <c r="C263" s="2" t="inlineStr">
        <is>
          <t>MI-DJB-I-10</t>
        </is>
      </c>
      <c r="D263" s="118" t="n">
        <v>3150</v>
      </c>
      <c r="F263" s="2" t="n">
        <v>200</v>
      </c>
      <c r="G263" s="118" t="n">
        <v>92060000</v>
      </c>
      <c r="H263" s="255" t="n">
        <v>0.18</v>
      </c>
      <c r="I263" s="2">
        <f>D264*H264</f>
        <v/>
      </c>
      <c r="K263" s="158" t="n">
        <v>400</v>
      </c>
      <c r="L263" s="4">
        <f>K264+J264+I264+F264+E264+D264</f>
        <v/>
      </c>
      <c r="M263" s="2">
        <f>D264*1%</f>
        <v/>
      </c>
      <c r="N263" s="12">
        <f>L264*8%</f>
        <v/>
      </c>
      <c r="O263" s="12">
        <f>L264*10%</f>
        <v/>
      </c>
      <c r="P263" s="12">
        <f>L264*5%</f>
        <v/>
      </c>
      <c r="Q263" s="12">
        <f>L264*2%</f>
        <v/>
      </c>
      <c r="R263" s="12">
        <f>AC264*0.5%</f>
        <v/>
      </c>
      <c r="S263" s="12">
        <f>L264*1%</f>
        <v/>
      </c>
      <c r="T263" s="60">
        <f>S264+Q264+P264+O264+N264+M264</f>
        <v/>
      </c>
      <c r="U263" s="2">
        <f>AC264*1%</f>
        <v/>
      </c>
      <c r="V263" s="44">
        <f>AC264*5%</f>
        <v/>
      </c>
      <c r="W263" s="2">
        <f>AC264*1%</f>
        <v/>
      </c>
      <c r="X263" s="2">
        <f>AC264*8%</f>
        <v/>
      </c>
      <c r="Y263" s="2">
        <f>U264+V264+W264+X264</f>
        <v/>
      </c>
      <c r="Z263" s="60">
        <f>Y264+T264+L264</f>
        <v/>
      </c>
      <c r="AA263" s="11">
        <f>Z264*20%</f>
        <v/>
      </c>
      <c r="AB263" s="12">
        <f>Z264+AA264</f>
        <v/>
      </c>
      <c r="AC263" s="2">
        <f>D264*2.1</f>
        <v/>
      </c>
      <c r="AD263" s="12">
        <f>AB264-AC264</f>
        <v/>
      </c>
      <c r="AE263" s="12">
        <f>AD264/AB264*100</f>
        <v/>
      </c>
      <c r="AF263" s="92" t="n">
        <v>5350</v>
      </c>
      <c r="AG263" s="62">
        <f>((AF264-L264)/L264)*100</f>
        <v/>
      </c>
      <c r="AH263" s="106">
        <f>AJ264-AF264</f>
        <v/>
      </c>
      <c r="AI263" s="65">
        <f>AB264</f>
        <v/>
      </c>
      <c r="AJ263" s="65" t="n">
        <v>6350</v>
      </c>
      <c r="AK263" s="66">
        <f>(AJ264-L264)/L264*100</f>
        <v/>
      </c>
      <c r="AL263" s="66" t="n"/>
      <c r="AM263" s="14">
        <f>AH264/AJ264%</f>
        <v/>
      </c>
      <c r="AN263" s="67">
        <f>AK264-AG264</f>
        <v/>
      </c>
      <c r="AO263" s="68">
        <f>AJ264/L264</f>
        <v/>
      </c>
      <c r="AP263" s="69">
        <f>(AJ264-AB264)/100</f>
        <v/>
      </c>
      <c r="AQ263" s="70">
        <f>(AJ264-AC264)/100</f>
        <v/>
      </c>
      <c r="AR263" s="71">
        <f>AI264/94</f>
        <v/>
      </c>
      <c r="AS263" s="71">
        <f>AJ264/94</f>
        <v/>
      </c>
      <c r="AT263" s="72">
        <f>AI264/24</f>
        <v/>
      </c>
      <c r="AU263" s="72">
        <f>AJ264/24</f>
        <v/>
      </c>
      <c r="AV263" s="73">
        <f>AI264/125</f>
        <v/>
      </c>
      <c r="AW263" s="73">
        <f>AJ264/125</f>
        <v/>
      </c>
    </row>
    <row r="264" ht="15.75" customHeight="1" s="258">
      <c r="A264" s="2" t="n"/>
      <c r="B264" s="2" t="inlineStr">
        <is>
          <t>10in / Mahogany</t>
        </is>
      </c>
      <c r="C264" s="2" t="inlineStr">
        <is>
          <t>MI-DJB-M-10</t>
        </is>
      </c>
      <c r="D264" s="118" t="n">
        <v>3150</v>
      </c>
      <c r="F264" s="2" t="n">
        <v>200</v>
      </c>
      <c r="G264" s="118" t="n">
        <v>92060000</v>
      </c>
      <c r="H264" s="255" t="n">
        <v>0.18</v>
      </c>
      <c r="I264" s="2">
        <f>D265*H265</f>
        <v/>
      </c>
      <c r="K264" s="158" t="n">
        <v>400</v>
      </c>
      <c r="L264" s="4">
        <f>K265+J265+I265+F265+E265+D265</f>
        <v/>
      </c>
      <c r="M264" s="2">
        <f>D265*1%</f>
        <v/>
      </c>
      <c r="N264" s="12">
        <f>L265*8%</f>
        <v/>
      </c>
      <c r="O264" s="12">
        <f>L265*10%</f>
        <v/>
      </c>
      <c r="P264" s="12">
        <f>L265*5%</f>
        <v/>
      </c>
      <c r="Q264" s="12">
        <f>L265*2%</f>
        <v/>
      </c>
      <c r="R264" s="12">
        <f>AC265*0.5%</f>
        <v/>
      </c>
      <c r="S264" s="12">
        <f>L265*1%</f>
        <v/>
      </c>
      <c r="T264" s="60">
        <f>S265+Q265+P265+O265+N265+M265</f>
        <v/>
      </c>
      <c r="U264" s="2">
        <f>AC265*1%</f>
        <v/>
      </c>
      <c r="V264" s="44">
        <f>AC265*5%</f>
        <v/>
      </c>
      <c r="W264" s="2">
        <f>AC265*1%</f>
        <v/>
      </c>
      <c r="X264" s="2">
        <f>AC265*8%</f>
        <v/>
      </c>
      <c r="Y264" s="2">
        <f>U265+V265+W265+X265</f>
        <v/>
      </c>
      <c r="Z264" s="60">
        <f>Y265+T265+L265</f>
        <v/>
      </c>
      <c r="AA264" s="11">
        <f>Z265*20%</f>
        <v/>
      </c>
      <c r="AB264" s="12">
        <f>Z265+AA265</f>
        <v/>
      </c>
      <c r="AC264" s="2">
        <f>D265*2.1</f>
        <v/>
      </c>
      <c r="AD264" s="12">
        <f>AB265-AC265</f>
        <v/>
      </c>
      <c r="AE264" s="12">
        <f>AD265/AB265*100</f>
        <v/>
      </c>
      <c r="AF264" s="92" t="n">
        <v>5350</v>
      </c>
      <c r="AG264" s="62">
        <f>((AF265-L265)/L265)*100</f>
        <v/>
      </c>
      <c r="AH264" s="106">
        <f>AJ265-AF265</f>
        <v/>
      </c>
      <c r="AI264" s="65">
        <f>AB265</f>
        <v/>
      </c>
      <c r="AJ264" s="65" t="n">
        <v>6350</v>
      </c>
      <c r="AK264" s="66">
        <f>(AJ265-L265)/L265*100</f>
        <v/>
      </c>
      <c r="AL264" s="66" t="n"/>
      <c r="AM264" s="14">
        <f>AH265/AJ265%</f>
        <v/>
      </c>
      <c r="AN264" s="67">
        <f>AK265-AG265</f>
        <v/>
      </c>
      <c r="AO264" s="68">
        <f>AJ265/L265</f>
        <v/>
      </c>
      <c r="AP264" s="69">
        <f>(AJ265-AB265)/100</f>
        <v/>
      </c>
      <c r="AQ264" s="70">
        <f>(AJ265-AC265)/100</f>
        <v/>
      </c>
      <c r="AR264" s="71">
        <f>AI265/94</f>
        <v/>
      </c>
      <c r="AS264" s="71">
        <f>AJ265/94</f>
        <v/>
      </c>
      <c r="AT264" s="72">
        <f>AI265/24</f>
        <v/>
      </c>
      <c r="AU264" s="72">
        <f>AJ265/24</f>
        <v/>
      </c>
      <c r="AV264" s="73">
        <f>AI265/125</f>
        <v/>
      </c>
      <c r="AW264" s="73">
        <f>AJ265/125</f>
        <v/>
      </c>
    </row>
    <row r="265" ht="15.75" customHeight="1" s="258">
      <c r="A265" s="2" t="n"/>
      <c r="B265" s="2" t="inlineStr">
        <is>
          <t>12in / Ivory</t>
        </is>
      </c>
      <c r="C265" s="2" t="inlineStr">
        <is>
          <t>MI-DJB-I-12</t>
        </is>
      </c>
      <c r="D265" s="118" t="n">
        <v>3780</v>
      </c>
      <c r="F265" s="2" t="n">
        <v>200</v>
      </c>
      <c r="G265" s="118" t="n">
        <v>92060000</v>
      </c>
      <c r="H265" s="255" t="n">
        <v>0.18</v>
      </c>
      <c r="I265" s="2">
        <f>D266*H266</f>
        <v/>
      </c>
      <c r="K265" s="158" t="n">
        <v>400</v>
      </c>
      <c r="L265" s="4">
        <f>K266+J266+I266+F266+E266+D266</f>
        <v/>
      </c>
      <c r="M265" s="2">
        <f>D266*1%</f>
        <v/>
      </c>
      <c r="N265" s="12">
        <f>L266*8%</f>
        <v/>
      </c>
      <c r="O265" s="12">
        <f>L266*10%</f>
        <v/>
      </c>
      <c r="P265" s="12">
        <f>L266*5%</f>
        <v/>
      </c>
      <c r="Q265" s="12">
        <f>L266*2%</f>
        <v/>
      </c>
      <c r="R265" s="12">
        <f>AC266*0.5%</f>
        <v/>
      </c>
      <c r="S265" s="12">
        <f>L266*1%</f>
        <v/>
      </c>
      <c r="T265" s="60">
        <f>S266+Q266+P266+O266+N266+M266</f>
        <v/>
      </c>
      <c r="U265" s="2">
        <f>AC266*1%</f>
        <v/>
      </c>
      <c r="V265" s="44">
        <f>AC266*5%</f>
        <v/>
      </c>
      <c r="W265" s="2">
        <f>AC266*1%</f>
        <v/>
      </c>
      <c r="X265" s="2">
        <f>AC266*8%</f>
        <v/>
      </c>
      <c r="Y265" s="2">
        <f>U266+V266+W266+X266</f>
        <v/>
      </c>
      <c r="Z265" s="60">
        <f>Y266+T266+L266</f>
        <v/>
      </c>
      <c r="AA265" s="11">
        <f>Z266*20%</f>
        <v/>
      </c>
      <c r="AB265" s="12">
        <f>Z266+AA266</f>
        <v/>
      </c>
      <c r="AC265" s="2">
        <f>D266*2.1</f>
        <v/>
      </c>
      <c r="AD265" s="12">
        <f>AB266-AC266</f>
        <v/>
      </c>
      <c r="AE265" s="12">
        <f>AD266/AB266*100</f>
        <v/>
      </c>
      <c r="AF265" s="92" t="n">
        <v>6350</v>
      </c>
      <c r="AG265" s="62">
        <f>((AF266-L266)/L266)*100</f>
        <v/>
      </c>
      <c r="AH265" s="106">
        <f>AJ266-AF266</f>
        <v/>
      </c>
      <c r="AI265" s="65" t="n">
        <v>8990</v>
      </c>
      <c r="AJ265" s="65" t="n">
        <v>7350</v>
      </c>
      <c r="AK265" s="66">
        <f>(AJ266-L266)/L266*100</f>
        <v/>
      </c>
      <c r="AL265" s="66" t="n"/>
      <c r="AM265" s="14">
        <f>AH266/AJ266%</f>
        <v/>
      </c>
      <c r="AN265" s="67">
        <f>AK266-AG266</f>
        <v/>
      </c>
      <c r="AO265" s="68">
        <f>AJ266/L266</f>
        <v/>
      </c>
      <c r="AP265" s="69">
        <f>(AJ266-AB266)/100</f>
        <v/>
      </c>
      <c r="AQ265" s="70">
        <f>(AJ266-AC266)/100</f>
        <v/>
      </c>
      <c r="AR265" s="71">
        <f>AI266/94</f>
        <v/>
      </c>
      <c r="AS265" s="71">
        <f>AJ266/94</f>
        <v/>
      </c>
      <c r="AT265" s="72">
        <f>AI266/24</f>
        <v/>
      </c>
      <c r="AU265" s="72">
        <f>AJ266/24</f>
        <v/>
      </c>
      <c r="AV265" s="73">
        <f>AI266/125</f>
        <v/>
      </c>
      <c r="AW265" s="73">
        <f>AJ266/125</f>
        <v/>
      </c>
    </row>
    <row r="266" ht="15.75" customHeight="1" s="258">
      <c r="A266" s="2" t="n"/>
      <c r="B266" s="2" t="inlineStr">
        <is>
          <t>12in / Mahogany</t>
        </is>
      </c>
      <c r="C266" s="2" t="inlineStr">
        <is>
          <t>MI-DJB-M-12</t>
        </is>
      </c>
      <c r="D266" s="118" t="n">
        <v>3780</v>
      </c>
      <c r="F266" s="2" t="n">
        <v>200</v>
      </c>
      <c r="G266" s="118" t="n">
        <v>92060000</v>
      </c>
      <c r="H266" s="255" t="n">
        <v>0.18</v>
      </c>
      <c r="I266" s="2">
        <f>D267*H267</f>
        <v/>
      </c>
      <c r="K266" s="158" t="n">
        <v>400</v>
      </c>
      <c r="L266" s="4">
        <f>K267+J267+I267+F267+E267+D267</f>
        <v/>
      </c>
      <c r="M266" s="2">
        <f>D267*1%</f>
        <v/>
      </c>
      <c r="N266" s="12">
        <f>L267*8%</f>
        <v/>
      </c>
      <c r="O266" s="12">
        <f>L267*10%</f>
        <v/>
      </c>
      <c r="P266" s="12">
        <f>L267*5%</f>
        <v/>
      </c>
      <c r="Q266" s="12">
        <f>L267*2%</f>
        <v/>
      </c>
      <c r="R266" s="12">
        <f>AC267*0.5%</f>
        <v/>
      </c>
      <c r="S266" s="12">
        <f>L267*1%</f>
        <v/>
      </c>
      <c r="T266" s="60">
        <f>S267+Q267+P267+O267+N267+M267</f>
        <v/>
      </c>
      <c r="U266" s="2">
        <f>AC267*1%</f>
        <v/>
      </c>
      <c r="V266" s="44">
        <f>AC267*5%</f>
        <v/>
      </c>
      <c r="W266" s="2">
        <f>AC267*1%</f>
        <v/>
      </c>
      <c r="X266" s="2">
        <f>AC267*8%</f>
        <v/>
      </c>
      <c r="Y266" s="2">
        <f>U267+V267+W267+X267</f>
        <v/>
      </c>
      <c r="Z266" s="60">
        <f>Y267+T267+L267</f>
        <v/>
      </c>
      <c r="AA266" s="11">
        <f>Z267*20%</f>
        <v/>
      </c>
      <c r="AB266" s="12">
        <f>Z267+AA267</f>
        <v/>
      </c>
      <c r="AC266" s="2">
        <f>D267*2.1</f>
        <v/>
      </c>
      <c r="AD266" s="12">
        <f>AB267-AC267</f>
        <v/>
      </c>
      <c r="AE266" s="12">
        <f>AD267/AB267*100</f>
        <v/>
      </c>
      <c r="AF266" s="92" t="n">
        <v>6350</v>
      </c>
      <c r="AG266" s="62">
        <f>((AF267-L267)/L267)*100</f>
        <v/>
      </c>
      <c r="AH266" s="106">
        <f>AJ267-AF267</f>
        <v/>
      </c>
      <c r="AI266" s="65" t="n">
        <v>8990</v>
      </c>
      <c r="AJ266" s="65" t="n">
        <v>7350</v>
      </c>
      <c r="AK266" s="66">
        <f>(AJ267-L267)/L267*100</f>
        <v/>
      </c>
      <c r="AL266" s="66" t="n"/>
      <c r="AM266" s="14">
        <f>AH267/AJ267%</f>
        <v/>
      </c>
      <c r="AN266" s="67">
        <f>AK267-AG267</f>
        <v/>
      </c>
      <c r="AO266" s="68">
        <f>AJ267/L267</f>
        <v/>
      </c>
      <c r="AP266" s="69">
        <f>(AJ267-AB267)/100</f>
        <v/>
      </c>
      <c r="AQ266" s="70">
        <f>(AJ267-AC267)/100</f>
        <v/>
      </c>
      <c r="AR266" s="71">
        <f>AI267/94</f>
        <v/>
      </c>
      <c r="AS266" s="71">
        <f>AJ267/94</f>
        <v/>
      </c>
      <c r="AT266" s="72">
        <f>AI267/24</f>
        <v/>
      </c>
      <c r="AU266" s="72">
        <f>AJ267/24</f>
        <v/>
      </c>
      <c r="AV266" s="73">
        <f>AI267/125</f>
        <v/>
      </c>
      <c r="AW266" s="73">
        <f>AJ267/125</f>
        <v/>
      </c>
    </row>
    <row r="267" ht="15.75" customHeight="1" s="258">
      <c r="A267" s="2" t="n"/>
      <c r="B267" s="2" t="inlineStr">
        <is>
          <t>14in / Mahogany</t>
        </is>
      </c>
      <c r="C267" s="2" t="inlineStr">
        <is>
          <t>MI-DJB-M-14</t>
        </is>
      </c>
      <c r="D267" s="118" t="n">
        <v>4300</v>
      </c>
      <c r="F267" s="2" t="n">
        <v>200</v>
      </c>
      <c r="G267" s="118" t="n">
        <v>92060000</v>
      </c>
      <c r="H267" s="255" t="n">
        <v>0.18</v>
      </c>
      <c r="I267" s="2">
        <f>D268*H268</f>
        <v/>
      </c>
      <c r="K267" s="158" t="n">
        <v>400</v>
      </c>
      <c r="L267" s="4">
        <f>K268+J268+I268+F268+E268+D268</f>
        <v/>
      </c>
      <c r="M267" s="2">
        <f>D268*1%</f>
        <v/>
      </c>
      <c r="N267" s="12">
        <f>L268*8%</f>
        <v/>
      </c>
      <c r="O267" s="12">
        <f>L268*10%</f>
        <v/>
      </c>
      <c r="P267" s="12">
        <f>L268*5%</f>
        <v/>
      </c>
      <c r="Q267" s="12">
        <f>L268*2%</f>
        <v/>
      </c>
      <c r="R267" s="12">
        <f>AC268*0.5%</f>
        <v/>
      </c>
      <c r="S267" s="12">
        <f>L268*1%</f>
        <v/>
      </c>
      <c r="T267" s="60">
        <f>S268+Q268+P268+O268+N268+M268</f>
        <v/>
      </c>
      <c r="U267" s="2">
        <f>AC268*1%</f>
        <v/>
      </c>
      <c r="V267" s="44">
        <f>AC268*5%</f>
        <v/>
      </c>
      <c r="W267" s="2">
        <f>AC268*1%</f>
        <v/>
      </c>
      <c r="X267" s="2">
        <f>AC268*8%</f>
        <v/>
      </c>
      <c r="Y267" s="2">
        <f>U268+V268+W268+X268</f>
        <v/>
      </c>
      <c r="Z267" s="60">
        <f>Y268+T268+L268</f>
        <v/>
      </c>
      <c r="AA267" s="11">
        <f>Z268*20%</f>
        <v/>
      </c>
      <c r="AB267" s="12">
        <f>Z268+AA268</f>
        <v/>
      </c>
      <c r="AC267" s="2">
        <f>D268*2.1</f>
        <v/>
      </c>
      <c r="AD267" s="12">
        <f>AB268-AC268</f>
        <v/>
      </c>
      <c r="AE267" s="12">
        <f>AD268/AB268*100</f>
        <v/>
      </c>
      <c r="AF267" s="92" t="n">
        <v>7450</v>
      </c>
      <c r="AG267" s="62">
        <f>((AF268-L268)/L268)*100</f>
        <v/>
      </c>
      <c r="AH267" s="106">
        <f>AJ268-AF268</f>
        <v/>
      </c>
      <c r="AI267" s="65" t="n">
        <v>10900</v>
      </c>
      <c r="AJ267" s="65" t="n">
        <v>8250</v>
      </c>
      <c r="AK267" s="66">
        <f>(AJ268-L268)/L268*100</f>
        <v/>
      </c>
      <c r="AL267" s="66" t="n"/>
      <c r="AM267" s="14">
        <f>AH268/AJ268%</f>
        <v/>
      </c>
      <c r="AN267" s="67">
        <f>AK268-AG268</f>
        <v/>
      </c>
      <c r="AO267" s="68">
        <f>AJ268/L268</f>
        <v/>
      </c>
      <c r="AP267" s="69">
        <f>(AJ268-AB268)/100</f>
        <v/>
      </c>
      <c r="AQ267" s="70">
        <f>(AJ268-AC268)/100</f>
        <v/>
      </c>
      <c r="AR267" s="71">
        <f>AI268/94</f>
        <v/>
      </c>
      <c r="AS267" s="71">
        <f>AJ268/94</f>
        <v/>
      </c>
      <c r="AT267" s="72">
        <f>AI268/24</f>
        <v/>
      </c>
      <c r="AU267" s="72">
        <f>AJ268/24</f>
        <v/>
      </c>
      <c r="AV267" s="73">
        <f>AI268/125</f>
        <v/>
      </c>
      <c r="AW267" s="73">
        <f>AJ268/125</f>
        <v/>
      </c>
    </row>
    <row r="268" ht="15.75" customHeight="1" s="258">
      <c r="A268" s="2" t="n"/>
      <c r="B268" s="2" t="inlineStr">
        <is>
          <t>14in / Ivory</t>
        </is>
      </c>
      <c r="C268" s="2" t="inlineStr">
        <is>
          <t>MI-DJB-I-14</t>
        </is>
      </c>
      <c r="D268" s="118" t="n">
        <v>4300</v>
      </c>
      <c r="F268" s="2" t="n">
        <v>200</v>
      </c>
      <c r="G268" s="118" t="n">
        <v>92060000</v>
      </c>
      <c r="H268" s="255" t="n">
        <v>0.18</v>
      </c>
      <c r="I268" s="2">
        <f>D269*H269</f>
        <v/>
      </c>
      <c r="K268" s="158" t="n">
        <v>400</v>
      </c>
      <c r="L268" s="4">
        <f>K269+J269+I269+F269+E269+D269</f>
        <v/>
      </c>
      <c r="M268" s="2">
        <f>D269*1%</f>
        <v/>
      </c>
      <c r="N268" s="12">
        <f>L269*8%</f>
        <v/>
      </c>
      <c r="O268" s="12">
        <f>L269*10%</f>
        <v/>
      </c>
      <c r="P268" s="12">
        <f>L269*5%</f>
        <v/>
      </c>
      <c r="Q268" s="12">
        <f>L269*2%</f>
        <v/>
      </c>
      <c r="R268" s="12">
        <f>AC269*0.5%</f>
        <v/>
      </c>
      <c r="S268" s="12">
        <f>L269*1%</f>
        <v/>
      </c>
      <c r="T268" s="60">
        <f>S269+Q269+P269+O269+N269+M269</f>
        <v/>
      </c>
      <c r="U268" s="2">
        <f>AC269*1%</f>
        <v/>
      </c>
      <c r="V268" s="44">
        <f>AC269*5%</f>
        <v/>
      </c>
      <c r="W268" s="2">
        <f>AC269*1%</f>
        <v/>
      </c>
      <c r="X268" s="2">
        <f>AC269*8%</f>
        <v/>
      </c>
      <c r="Y268" s="2">
        <f>U269+V269+W269+X269</f>
        <v/>
      </c>
      <c r="Z268" s="60">
        <f>Y269+T269+L269</f>
        <v/>
      </c>
      <c r="AA268" s="11">
        <f>Z269*20%</f>
        <v/>
      </c>
      <c r="AB268" s="12">
        <f>Z269+AA269</f>
        <v/>
      </c>
      <c r="AC268" s="2">
        <f>D269*2.1</f>
        <v/>
      </c>
      <c r="AD268" s="12">
        <f>AB269-AC269</f>
        <v/>
      </c>
      <c r="AE268" s="12">
        <f>AD269/AB269*100</f>
        <v/>
      </c>
      <c r="AF268" s="92" t="n">
        <v>7450</v>
      </c>
      <c r="AG268" s="62">
        <f>((AF269-L269)/L269)*100</f>
        <v/>
      </c>
      <c r="AH268" s="106">
        <f>AJ269-AF269</f>
        <v/>
      </c>
      <c r="AI268" s="65" t="n">
        <v>10900</v>
      </c>
      <c r="AJ268" s="65" t="n">
        <v>8250</v>
      </c>
      <c r="AK268" s="66">
        <f>(AJ269-L269)/L269*100</f>
        <v/>
      </c>
      <c r="AL268" s="66" t="n"/>
      <c r="AM268" s="14">
        <f>AH269/AJ269%</f>
        <v/>
      </c>
      <c r="AN268" s="67">
        <f>AK269-AG269</f>
        <v/>
      </c>
      <c r="AO268" s="68">
        <f>AJ269/L269</f>
        <v/>
      </c>
      <c r="AP268" s="69">
        <f>(AJ269-AB269)/100</f>
        <v/>
      </c>
      <c r="AQ268" s="70">
        <f>(AJ269-AC269)/100</f>
        <v/>
      </c>
      <c r="AR268" s="71">
        <f>AI269/94</f>
        <v/>
      </c>
      <c r="AS268" s="71">
        <f>AJ269/94</f>
        <v/>
      </c>
      <c r="AT268" s="72">
        <f>AI269/24</f>
        <v/>
      </c>
      <c r="AU268" s="72">
        <f>AJ269/24</f>
        <v/>
      </c>
      <c r="AV268" s="73">
        <f>AI269/125</f>
        <v/>
      </c>
      <c r="AW268" s="73">
        <f>AJ269/125</f>
        <v/>
      </c>
    </row>
    <row r="269" ht="15.75" customHeight="1" s="258">
      <c r="A269" s="44" t="inlineStr">
        <is>
          <t>Dotted Singing Bowl</t>
        </is>
      </c>
      <c r="B269" s="44" t="inlineStr">
        <is>
          <t>4 inch Hand Made</t>
        </is>
      </c>
      <c r="C269" s="44" t="inlineStr">
        <is>
          <t>MI-SB-HH-4</t>
        </is>
      </c>
      <c r="D269" s="45" t="n">
        <v>575</v>
      </c>
      <c r="E269" s="113" t="n"/>
      <c r="F269" s="44" t="n">
        <v>75</v>
      </c>
      <c r="G269" s="45" t="n">
        <v>83061000</v>
      </c>
      <c r="H269" s="115" t="n">
        <v>0.05</v>
      </c>
      <c r="I269" s="44">
        <f>D270*H270</f>
        <v/>
      </c>
      <c r="J269" s="113" t="n"/>
      <c r="K269" s="159" t="n">
        <v>50</v>
      </c>
      <c r="L269" s="48">
        <f>K270+J270+I270+F270+E270+D270</f>
        <v/>
      </c>
      <c r="M269" s="44">
        <f>D270*1%</f>
        <v/>
      </c>
      <c r="N269" s="49">
        <f>L270*8%</f>
        <v/>
      </c>
      <c r="O269" s="49">
        <f>L270*10%</f>
        <v/>
      </c>
      <c r="P269" s="49">
        <f>L270*5%</f>
        <v/>
      </c>
      <c r="Q269" s="49">
        <f>L270*2%</f>
        <v/>
      </c>
      <c r="R269" s="49">
        <f>AC270*0.5%</f>
        <v/>
      </c>
      <c r="S269" s="49">
        <f>L270*1%</f>
        <v/>
      </c>
      <c r="T269" s="50">
        <f>S270+Q270+P270+O270+N270+M270</f>
        <v/>
      </c>
      <c r="U269" s="44">
        <f>AC270*1%</f>
        <v/>
      </c>
      <c r="V269" s="44">
        <f>AC270*5%</f>
        <v/>
      </c>
      <c r="W269" s="44">
        <f>AC270*1%</f>
        <v/>
      </c>
      <c r="X269" s="44">
        <f>AC270*8%</f>
        <v/>
      </c>
      <c r="Y269" s="44">
        <f>U270+V270+W270+X270</f>
        <v/>
      </c>
      <c r="Z269" s="50">
        <f>Y270+T270+L270</f>
        <v/>
      </c>
      <c r="AA269" s="51">
        <f>Z270*20%</f>
        <v/>
      </c>
      <c r="AB269" s="49">
        <f>Z270+AA270</f>
        <v/>
      </c>
      <c r="AC269" s="44">
        <f>D270*2.1</f>
        <v/>
      </c>
      <c r="AD269" s="49">
        <f>AB270-AC270</f>
        <v/>
      </c>
      <c r="AE269" s="49">
        <f>AD270/AB270*100</f>
        <v/>
      </c>
      <c r="AF269" s="113" t="n"/>
      <c r="AG269" s="116">
        <f>((AF270-L270)/L270)*100</f>
        <v/>
      </c>
      <c r="AH269" s="54">
        <f>AJ270-AF270</f>
        <v/>
      </c>
      <c r="AI269" s="54" t="n">
        <v>1290</v>
      </c>
      <c r="AJ269" s="54" t="n">
        <v>1395</v>
      </c>
      <c r="AK269" s="55">
        <f>(AJ270-L270)/L270*100</f>
        <v/>
      </c>
      <c r="AL269" s="55" t="n"/>
      <c r="AM269" s="55">
        <f>AH270/AJ270%</f>
        <v/>
      </c>
      <c r="AN269" s="55">
        <f>AK270-AG270</f>
        <v/>
      </c>
      <c r="AO269" s="56">
        <f>AJ270/L270</f>
        <v/>
      </c>
      <c r="AP269" s="55">
        <f>(AJ270-AB270)/100</f>
        <v/>
      </c>
      <c r="AQ269" s="55">
        <f>(AJ270-AC270)/100</f>
        <v/>
      </c>
      <c r="AR269" s="57">
        <f>AI270/94</f>
        <v/>
      </c>
      <c r="AS269" s="57">
        <f>AJ270/94</f>
        <v/>
      </c>
      <c r="AT269" s="58">
        <f>AI270/24</f>
        <v/>
      </c>
      <c r="AU269" s="58">
        <f>AJ270/24</f>
        <v/>
      </c>
      <c r="AV269" s="58">
        <f>AI270/125</f>
        <v/>
      </c>
      <c r="AW269" s="58">
        <f>AJ270/125</f>
        <v/>
      </c>
      <c r="AX269" s="113" t="n"/>
      <c r="AY269" s="113" t="n"/>
    </row>
    <row r="270" ht="15" customHeight="1" s="258">
      <c r="A270" s="44" t="n"/>
      <c r="B270" s="44" t="inlineStr">
        <is>
          <t>5.5 inch Hand Made</t>
        </is>
      </c>
      <c r="C270" s="44" t="inlineStr">
        <is>
          <t>MI-SB-HH-5.5</t>
        </is>
      </c>
      <c r="D270" s="45" t="n">
        <v>1150</v>
      </c>
      <c r="E270" s="113" t="n"/>
      <c r="F270" s="44" t="n">
        <v>85</v>
      </c>
      <c r="G270" s="45" t="n">
        <v>83061001</v>
      </c>
      <c r="H270" s="115" t="n">
        <v>0.05</v>
      </c>
      <c r="I270" s="44">
        <f>D271*H271</f>
        <v/>
      </c>
      <c r="J270" s="113" t="n"/>
      <c r="K270" s="44">
        <f>D271*4%</f>
        <v/>
      </c>
      <c r="L270" s="48">
        <f>K271+J271+I271+F271+E271+D271</f>
        <v/>
      </c>
      <c r="M270" s="44">
        <f>D271*1%</f>
        <v/>
      </c>
      <c r="N270" s="49">
        <f>L271*8%</f>
        <v/>
      </c>
      <c r="O270" s="49">
        <f>L271*10%</f>
        <v/>
      </c>
      <c r="P270" s="49">
        <f>L271*5%</f>
        <v/>
      </c>
      <c r="Q270" s="49">
        <f>L271*2%</f>
        <v/>
      </c>
      <c r="R270" s="49">
        <f>AC271*0.5%</f>
        <v/>
      </c>
      <c r="S270" s="49">
        <f>L271*1%</f>
        <v/>
      </c>
      <c r="T270" s="50">
        <f>S271+Q271+P271+O271+N271+M271</f>
        <v/>
      </c>
      <c r="U270" s="44">
        <f>AC271*1%</f>
        <v/>
      </c>
      <c r="V270" s="44">
        <f>AC271*5%</f>
        <v/>
      </c>
      <c r="W270" s="44">
        <f>AC271*1%</f>
        <v/>
      </c>
      <c r="X270" s="44">
        <f>AC271*8%</f>
        <v/>
      </c>
      <c r="Y270" s="44">
        <f>U271+V271+W271+X271</f>
        <v/>
      </c>
      <c r="Z270" s="50">
        <f>Y271+T271+L271</f>
        <v/>
      </c>
      <c r="AA270" s="51">
        <f>Z271*20%</f>
        <v/>
      </c>
      <c r="AB270" s="49">
        <f>Z271+AA271</f>
        <v/>
      </c>
      <c r="AC270" s="44">
        <f>D271*2.1</f>
        <v/>
      </c>
      <c r="AD270" s="49">
        <f>AB271-AC271</f>
        <v/>
      </c>
      <c r="AE270" s="49">
        <f>AD271/AB271*100</f>
        <v/>
      </c>
      <c r="AF270" s="113" t="n"/>
      <c r="AG270" s="116">
        <f>((AF271-L271)/L271)*100</f>
        <v/>
      </c>
      <c r="AH270" s="54">
        <f>AJ271-AF271</f>
        <v/>
      </c>
      <c r="AI270" s="54" t="n">
        <v>2490</v>
      </c>
      <c r="AJ270" s="54" t="n">
        <v>2395</v>
      </c>
      <c r="AK270" s="55">
        <f>(AJ271-L271)/L271*100</f>
        <v/>
      </c>
      <c r="AL270" s="55" t="n"/>
      <c r="AM270" s="55">
        <f>AH271/AJ271%</f>
        <v/>
      </c>
      <c r="AN270" s="55">
        <f>AK271-AG271</f>
        <v/>
      </c>
      <c r="AO270" s="56">
        <f>AJ271/L271</f>
        <v/>
      </c>
      <c r="AP270" s="55">
        <f>(AJ271-AB271)/100</f>
        <v/>
      </c>
      <c r="AQ270" s="55">
        <f>(AJ271-AC271)/100</f>
        <v/>
      </c>
      <c r="AR270" s="57">
        <f>AI271/94</f>
        <v/>
      </c>
      <c r="AS270" s="57">
        <f>AJ271/94</f>
        <v/>
      </c>
      <c r="AT270" s="58">
        <f>AI271/24</f>
        <v/>
      </c>
      <c r="AU270" s="58">
        <f>AJ271/24</f>
        <v/>
      </c>
      <c r="AV270" s="58">
        <f>AI271/125</f>
        <v/>
      </c>
      <c r="AW270" s="58">
        <f>AJ271/125</f>
        <v/>
      </c>
      <c r="AX270" s="113" t="n"/>
      <c r="AY270" s="113" t="n"/>
    </row>
    <row r="271" ht="15.75" customHeight="1" s="258">
      <c r="A271" s="44" t="n"/>
      <c r="B271" s="44" t="inlineStr">
        <is>
          <t xml:space="preserve">Deep 5.5 Inch </t>
        </is>
      </c>
      <c r="C271" s="44" t="inlineStr">
        <is>
          <t>MI-SB-HH-D-5.5</t>
        </is>
      </c>
      <c r="D271" s="45" t="n">
        <v>1265</v>
      </c>
      <c r="E271" s="113" t="n"/>
      <c r="F271" s="44" t="n">
        <v>85</v>
      </c>
      <c r="G271" s="45" t="n">
        <v>83061001</v>
      </c>
      <c r="H271" s="115" t="n">
        <v>0.05</v>
      </c>
      <c r="I271" s="44">
        <f>D272*H272</f>
        <v/>
      </c>
      <c r="J271" s="113" t="n"/>
      <c r="K271" s="44" t="n">
        <v>50</v>
      </c>
      <c r="L271" s="48">
        <f>K272+J272+I272+F272+E272+D272</f>
        <v/>
      </c>
      <c r="M271" s="44">
        <f>D272*1%</f>
        <v/>
      </c>
      <c r="N271" s="49">
        <f>L272*8%</f>
        <v/>
      </c>
      <c r="O271" s="49">
        <f>L272*10%</f>
        <v/>
      </c>
      <c r="P271" s="49">
        <f>L272*5%</f>
        <v/>
      </c>
      <c r="Q271" s="49">
        <f>L272*2%</f>
        <v/>
      </c>
      <c r="R271" s="49">
        <f>AC272*0.5%</f>
        <v/>
      </c>
      <c r="S271" s="49">
        <f>L272*1%</f>
        <v/>
      </c>
      <c r="T271" s="50">
        <f>S272+Q272+P272+O272+N272+M272</f>
        <v/>
      </c>
      <c r="U271" s="44">
        <f>AC272*1%</f>
        <v/>
      </c>
      <c r="V271" s="44">
        <f>AC272*5%</f>
        <v/>
      </c>
      <c r="W271" s="44">
        <f>AC272*1%</f>
        <v/>
      </c>
      <c r="X271" s="44">
        <f>AC272*8%</f>
        <v/>
      </c>
      <c r="Y271" s="44">
        <f>U272+V272+W272+X272</f>
        <v/>
      </c>
      <c r="Z271" s="50">
        <f>Y272+T272+L272</f>
        <v/>
      </c>
      <c r="AA271" s="51">
        <f>Z272*20%</f>
        <v/>
      </c>
      <c r="AB271" s="49">
        <f>Z272+AA272</f>
        <v/>
      </c>
      <c r="AC271" s="44">
        <f>D272*2.1</f>
        <v/>
      </c>
      <c r="AD271" s="49">
        <f>AB272-AC272</f>
        <v/>
      </c>
      <c r="AE271" s="49">
        <f>AD272/AB272*100</f>
        <v/>
      </c>
      <c r="AF271" s="113" t="n"/>
      <c r="AG271" s="116">
        <f>((AF272-L272)/L272)*100</f>
        <v/>
      </c>
      <c r="AH271" s="54">
        <f>AJ272-AF272</f>
        <v/>
      </c>
      <c r="AI271" s="54" t="n">
        <v>2790</v>
      </c>
      <c r="AJ271" s="54" t="n">
        <v>2590</v>
      </c>
      <c r="AK271" s="55">
        <f>(AJ272-L272)/L272*100</f>
        <v/>
      </c>
      <c r="AL271" s="55" t="n"/>
      <c r="AM271" s="55">
        <f>AH272/AJ272%</f>
        <v/>
      </c>
      <c r="AN271" s="55">
        <f>AK272-AG272</f>
        <v/>
      </c>
      <c r="AO271" s="56">
        <f>AJ272/L272</f>
        <v/>
      </c>
      <c r="AP271" s="55">
        <f>(AJ272-AB272)/100</f>
        <v/>
      </c>
      <c r="AQ271" s="55">
        <f>(AJ272-AC272)/100</f>
        <v/>
      </c>
      <c r="AR271" s="57">
        <f>AI272/94</f>
        <v/>
      </c>
      <c r="AS271" s="57">
        <f>AJ272/94</f>
        <v/>
      </c>
      <c r="AT271" s="58">
        <f>AI272/24</f>
        <v/>
      </c>
      <c r="AU271" s="58">
        <f>AJ272/24</f>
        <v/>
      </c>
      <c r="AV271" s="58">
        <f>AI272/125</f>
        <v/>
      </c>
      <c r="AW271" s="58">
        <f>AJ272/125</f>
        <v/>
      </c>
      <c r="AX271" s="113" t="n"/>
      <c r="AY271" s="113" t="n"/>
    </row>
    <row r="272" ht="15.75" customHeight="1" s="258">
      <c r="A272" s="2" t="inlineStr">
        <is>
          <t>Singing Bowl with Mantra - Rustic Blue Colour</t>
        </is>
      </c>
      <c r="B272" s="2" t="inlineStr">
        <is>
          <t>6 inches</t>
        </is>
      </c>
      <c r="C272" s="2" t="inlineStr">
        <is>
          <t>MI-SB-RB-6</t>
        </is>
      </c>
      <c r="D272" s="118" t="n">
        <v>450</v>
      </c>
      <c r="E272" s="2" t="n">
        <v>55</v>
      </c>
      <c r="F272" s="2" t="n">
        <v>85</v>
      </c>
      <c r="G272" s="118" t="n">
        <v>83061000</v>
      </c>
      <c r="H272" s="255" t="n">
        <v>0.05</v>
      </c>
      <c r="I272" s="2">
        <f>D273*H273</f>
        <v/>
      </c>
      <c r="K272" s="2" t="n">
        <v>50</v>
      </c>
      <c r="L272" s="123">
        <f>K273+J273+I273+F273+E273+D273</f>
        <v/>
      </c>
      <c r="M272" s="2">
        <f>D273*1%</f>
        <v/>
      </c>
      <c r="N272" s="12">
        <f>L273*8%</f>
        <v/>
      </c>
      <c r="O272" s="12">
        <f>L273*10%</f>
        <v/>
      </c>
      <c r="P272" s="12">
        <f>L273*5%</f>
        <v/>
      </c>
      <c r="Q272" s="12">
        <f>L273*2%</f>
        <v/>
      </c>
      <c r="R272" s="12">
        <f>AC273*0.5%</f>
        <v/>
      </c>
      <c r="S272" s="12">
        <f>L273*1%</f>
        <v/>
      </c>
      <c r="T272" s="124">
        <f>S273+Q273+P273+O273+N273+M273</f>
        <v/>
      </c>
      <c r="U272" s="2">
        <f>AC273*1%</f>
        <v/>
      </c>
      <c r="V272" s="44">
        <f>AC273*5%</f>
        <v/>
      </c>
      <c r="W272" s="2">
        <f>AC273*1%</f>
        <v/>
      </c>
      <c r="X272" s="2">
        <f>AC273*8%</f>
        <v/>
      </c>
      <c r="Y272" s="2">
        <f>U273+V273+W273+X273</f>
        <v/>
      </c>
      <c r="Z272" s="124">
        <f>Y273+T273+L273</f>
        <v/>
      </c>
      <c r="AA272" s="125">
        <f>Z273*20%</f>
        <v/>
      </c>
      <c r="AB272" s="12">
        <f>Z273+AA273</f>
        <v/>
      </c>
      <c r="AC272" s="2">
        <f>D273*2.1</f>
        <v/>
      </c>
      <c r="AD272" s="12">
        <f>AB273-AC273</f>
        <v/>
      </c>
      <c r="AE272" s="12">
        <f>AD273/AB273*100</f>
        <v/>
      </c>
      <c r="AF272" s="92" t="n">
        <v>1445</v>
      </c>
      <c r="AG272" s="126">
        <f>((AF273-L273)/L273)*100</f>
        <v/>
      </c>
      <c r="AH272" s="132">
        <f>AJ273-AF273</f>
        <v/>
      </c>
      <c r="AI272" s="132">
        <f>AB273</f>
        <v/>
      </c>
      <c r="AJ272" s="132" t="n">
        <v>1295</v>
      </c>
      <c r="AK272" s="128">
        <f>(AJ273-L273)/L273*100</f>
        <v/>
      </c>
      <c r="AL272" s="128" t="n"/>
      <c r="AM272" s="128">
        <f>AH273/AJ273%</f>
        <v/>
      </c>
      <c r="AN272" s="128">
        <f>AK273-AG273</f>
        <v/>
      </c>
      <c r="AO272" s="129">
        <f>AJ273/L273</f>
        <v/>
      </c>
      <c r="AP272" s="128">
        <f>(AJ273-AB273)/100</f>
        <v/>
      </c>
      <c r="AQ272" s="128">
        <f>(AJ273-AC273)/100</f>
        <v/>
      </c>
      <c r="AR272" s="130">
        <f>AI273/94</f>
        <v/>
      </c>
      <c r="AS272" s="130">
        <f>AJ273/94</f>
        <v/>
      </c>
      <c r="AT272" s="131">
        <f>AI273/24</f>
        <v/>
      </c>
      <c r="AU272" s="131">
        <f>AJ273/24</f>
        <v/>
      </c>
      <c r="AV272" s="131">
        <f>AI273/125</f>
        <v/>
      </c>
      <c r="AW272" s="131">
        <f>AJ273/125</f>
        <v/>
      </c>
    </row>
    <row r="273" ht="15" customHeight="1" s="258">
      <c r="A273" s="2" t="n"/>
      <c r="B273" s="2" t="inlineStr">
        <is>
          <t>7 Inches</t>
        </is>
      </c>
      <c r="C273" s="2" t="inlineStr">
        <is>
          <t>MI-SB-RB-7</t>
        </is>
      </c>
      <c r="D273" s="118" t="n">
        <v>550</v>
      </c>
      <c r="E273" s="2" t="n">
        <v>55</v>
      </c>
      <c r="F273" s="2" t="n">
        <v>85</v>
      </c>
      <c r="G273" s="118" t="n">
        <v>83061000</v>
      </c>
      <c r="H273" s="255" t="n">
        <v>0.05</v>
      </c>
      <c r="I273" s="2">
        <f>D274*H274</f>
        <v/>
      </c>
      <c r="K273" s="2" t="n">
        <v>50</v>
      </c>
      <c r="L273" s="123">
        <f>K274+J274+I274+F274+E274+D274</f>
        <v/>
      </c>
      <c r="M273" s="2">
        <f>D274*1%</f>
        <v/>
      </c>
      <c r="N273" s="12">
        <f>L274*8%</f>
        <v/>
      </c>
      <c r="O273" s="12">
        <f>L274*10%</f>
        <v/>
      </c>
      <c r="P273" s="12">
        <f>L274*5%</f>
        <v/>
      </c>
      <c r="Q273" s="12">
        <f>L274*2%</f>
        <v/>
      </c>
      <c r="R273" s="12">
        <f>AC274*0.5%</f>
        <v/>
      </c>
      <c r="S273" s="12">
        <f>L274*1%</f>
        <v/>
      </c>
      <c r="T273" s="124">
        <f>S274+Q274+P274+O274+N274+M274</f>
        <v/>
      </c>
      <c r="U273" s="2">
        <f>AC274*1%</f>
        <v/>
      </c>
      <c r="V273" s="44">
        <f>AC274*5%</f>
        <v/>
      </c>
      <c r="W273" s="2">
        <f>AC274*1%</f>
        <v/>
      </c>
      <c r="X273" s="2">
        <f>AC274*8%</f>
        <v/>
      </c>
      <c r="Y273" s="2">
        <f>U274+V274+W274+X274</f>
        <v/>
      </c>
      <c r="Z273" s="124">
        <f>Y274+T274+L274</f>
        <v/>
      </c>
      <c r="AA273" s="125">
        <f>Z274*20%</f>
        <v/>
      </c>
      <c r="AB273" s="12">
        <f>Z274+AA274</f>
        <v/>
      </c>
      <c r="AC273" s="2">
        <f>D274*2.1</f>
        <v/>
      </c>
      <c r="AD273" s="12">
        <f>AB274-AC274</f>
        <v/>
      </c>
      <c r="AE273" s="12">
        <f>AD274/AB274*100</f>
        <v/>
      </c>
      <c r="AF273" s="92" t="n">
        <v>1745</v>
      </c>
      <c r="AG273" s="126">
        <f>((AF274-L274)/L274)*100</f>
        <v/>
      </c>
      <c r="AH273" s="132">
        <f>AJ274-AF274</f>
        <v/>
      </c>
      <c r="AI273" s="132">
        <f>AB274</f>
        <v/>
      </c>
      <c r="AJ273" s="132" t="n">
        <v>1495</v>
      </c>
      <c r="AK273" s="128">
        <f>(AJ274-L274)/L274*100</f>
        <v/>
      </c>
      <c r="AL273" s="128" t="n"/>
      <c r="AM273" s="128">
        <f>AH274/AJ274%</f>
        <v/>
      </c>
      <c r="AN273" s="128">
        <f>AK274-AG274</f>
        <v/>
      </c>
      <c r="AO273" s="129">
        <f>AJ274/L274</f>
        <v/>
      </c>
      <c r="AP273" s="128">
        <f>(AJ274-AB274)/100</f>
        <v/>
      </c>
      <c r="AQ273" s="128">
        <f>(AJ274-AC274)/100</f>
        <v/>
      </c>
      <c r="AR273" s="130">
        <f>AI274/94</f>
        <v/>
      </c>
      <c r="AS273" s="130">
        <f>AJ274/94</f>
        <v/>
      </c>
      <c r="AT273" s="131">
        <f>AI274/24</f>
        <v/>
      </c>
      <c r="AU273" s="131">
        <f>AJ274/24</f>
        <v/>
      </c>
      <c r="AV273" s="131">
        <f>AI274/125</f>
        <v/>
      </c>
      <c r="AW273" s="131">
        <f>AJ274/125</f>
        <v/>
      </c>
    </row>
    <row r="274" ht="15.75" customHeight="1" s="258">
      <c r="A274" s="2" t="inlineStr">
        <is>
          <t>Dumru/Dumroo Indian Handmade Percussion Instrument</t>
        </is>
      </c>
      <c r="B274" s="2" t="inlineStr">
        <is>
          <t>Plain</t>
        </is>
      </c>
      <c r="C274" s="2" t="inlineStr">
        <is>
          <t>MI-D-P</t>
        </is>
      </c>
      <c r="D274" s="121" t="n">
        <v>200</v>
      </c>
      <c r="F274" s="2" t="n">
        <v>50</v>
      </c>
      <c r="G274" s="118" t="n">
        <v>92060000</v>
      </c>
      <c r="H274" s="255" t="n">
        <v>0.18</v>
      </c>
      <c r="I274" s="2">
        <f>D275*H275</f>
        <v/>
      </c>
      <c r="K274" s="2" t="n">
        <v>200</v>
      </c>
      <c r="L274" s="4">
        <f>K275+J275+I275+F275+E275+D275</f>
        <v/>
      </c>
      <c r="M274" s="2">
        <f>D275*1%</f>
        <v/>
      </c>
      <c r="N274" s="12">
        <f>L275*8%</f>
        <v/>
      </c>
      <c r="O274" s="12">
        <f>L275*10%</f>
        <v/>
      </c>
      <c r="P274" s="12">
        <f>L275*5%</f>
        <v/>
      </c>
      <c r="Q274" s="12">
        <f>L275*2%</f>
        <v/>
      </c>
      <c r="R274" s="12">
        <f>AC275*0.5%</f>
        <v/>
      </c>
      <c r="S274" s="12">
        <f>L275*1%</f>
        <v/>
      </c>
      <c r="T274" s="60">
        <f>S275+Q275+P275+O275+N275+M275</f>
        <v/>
      </c>
      <c r="U274" s="2">
        <f>AC275*1%</f>
        <v/>
      </c>
      <c r="V274" s="44">
        <f>AC275*5%</f>
        <v/>
      </c>
      <c r="W274" s="2">
        <f>AC275*1%</f>
        <v/>
      </c>
      <c r="X274" s="2">
        <f>AC275*8%</f>
        <v/>
      </c>
      <c r="Y274" s="2">
        <f>U275+V275+W275+X275</f>
        <v/>
      </c>
      <c r="Z274" s="60">
        <f>Y275+T275+L275</f>
        <v/>
      </c>
      <c r="AA274" s="11">
        <f>Z275*20%</f>
        <v/>
      </c>
      <c r="AB274" s="12">
        <f>Z275+AA275</f>
        <v/>
      </c>
      <c r="AC274" s="2">
        <f>D275*2.1</f>
        <v/>
      </c>
      <c r="AD274" s="12">
        <f>AB275-AC275</f>
        <v/>
      </c>
      <c r="AE274" s="12">
        <f>AD275/AB275*100</f>
        <v/>
      </c>
      <c r="AF274" s="92" t="n">
        <v>275</v>
      </c>
      <c r="AG274" s="62">
        <f>((AF275-L275)/L275)*100</f>
        <v/>
      </c>
      <c r="AH274" s="106">
        <f>AJ275-AF275</f>
        <v/>
      </c>
      <c r="AI274" s="65" t="n">
        <v>299</v>
      </c>
      <c r="AJ274" s="65" t="n">
        <v>290</v>
      </c>
      <c r="AK274" s="66">
        <f>(AJ275-L275)/L275*100</f>
        <v/>
      </c>
      <c r="AL274" s="66" t="n"/>
      <c r="AM274" s="14">
        <f>AH275/AJ275%</f>
        <v/>
      </c>
      <c r="AN274" s="67">
        <f>AK275-AG275</f>
        <v/>
      </c>
      <c r="AO274" s="68">
        <f>AJ275/L275</f>
        <v/>
      </c>
      <c r="AP274" s="69">
        <f>(AJ275-AB275)/100</f>
        <v/>
      </c>
      <c r="AQ274" s="70">
        <f>(AJ275-AC275)/100</f>
        <v/>
      </c>
      <c r="AR274" s="71">
        <f>AI275/94</f>
        <v/>
      </c>
      <c r="AS274" s="71">
        <f>AJ275/94</f>
        <v/>
      </c>
      <c r="AT274" s="72">
        <f>AI275/24</f>
        <v/>
      </c>
      <c r="AU274" s="72">
        <f>AJ275/24</f>
        <v/>
      </c>
      <c r="AV274" s="73">
        <f>AI275/125</f>
        <v/>
      </c>
      <c r="AW274" s="73">
        <f>AJ275/125</f>
        <v/>
      </c>
    </row>
    <row r="275" ht="15" customHeight="1" s="258">
      <c r="A275" s="2" t="n"/>
      <c r="B275" s="2" t="inlineStr">
        <is>
          <t>Dot Painted</t>
        </is>
      </c>
      <c r="C275" s="2" t="inlineStr">
        <is>
          <t>MI-D-DP</t>
        </is>
      </c>
      <c r="D275" s="121" t="n">
        <v>250</v>
      </c>
      <c r="F275" s="2" t="n">
        <v>50</v>
      </c>
      <c r="G275" s="118" t="n">
        <v>92060000</v>
      </c>
      <c r="H275" s="255" t="n">
        <v>0.18</v>
      </c>
      <c r="I275" s="2">
        <f>D276*H276</f>
        <v/>
      </c>
      <c r="K275" s="2" t="n">
        <v>200</v>
      </c>
      <c r="L275" s="4">
        <f>K276+J276+I276+F276+E276+D276</f>
        <v/>
      </c>
      <c r="M275" s="2">
        <f>D276*1%</f>
        <v/>
      </c>
      <c r="N275" s="12">
        <f>L276*8%</f>
        <v/>
      </c>
      <c r="O275" s="12">
        <f>L276*10%</f>
        <v/>
      </c>
      <c r="P275" s="12">
        <f>L276*5%</f>
        <v/>
      </c>
      <c r="Q275" s="12">
        <f>L276*2%</f>
        <v/>
      </c>
      <c r="R275" s="12">
        <f>AC276*0.5%</f>
        <v/>
      </c>
      <c r="S275" s="12">
        <f>L276*1%</f>
        <v/>
      </c>
      <c r="T275" s="60">
        <f>S276+Q276+P276+O276+N276+M276</f>
        <v/>
      </c>
      <c r="U275" s="2">
        <f>AC276*1%</f>
        <v/>
      </c>
      <c r="V275" s="44">
        <f>AC276*5%</f>
        <v/>
      </c>
      <c r="W275" s="2">
        <f>AC276*1%</f>
        <v/>
      </c>
      <c r="X275" s="2">
        <f>AC276*8%</f>
        <v/>
      </c>
      <c r="Y275" s="2">
        <f>U276+V276+W276+X276</f>
        <v/>
      </c>
      <c r="Z275" s="60">
        <f>Y276+T276+L276</f>
        <v/>
      </c>
      <c r="AA275" s="11">
        <f>Z276*20%</f>
        <v/>
      </c>
      <c r="AB275" s="12">
        <f>Z276+AA276</f>
        <v/>
      </c>
      <c r="AC275" s="2">
        <f>D276*2.1</f>
        <v/>
      </c>
      <c r="AD275" s="12">
        <f>AB276-AC276</f>
        <v/>
      </c>
      <c r="AE275" s="12">
        <f>AD276/AB276*100</f>
        <v/>
      </c>
      <c r="AF275" s="92" t="n">
        <v>325</v>
      </c>
      <c r="AG275" s="62">
        <f>((AF276-L276)/L276)*100</f>
        <v/>
      </c>
      <c r="AH275" s="106">
        <f>AJ276-AF276</f>
        <v/>
      </c>
      <c r="AI275" s="65" t="n">
        <v>349</v>
      </c>
      <c r="AJ275" s="65" t="n">
        <v>320</v>
      </c>
      <c r="AK275" s="66">
        <f>(AJ276-L276)/L276*100</f>
        <v/>
      </c>
      <c r="AL275" s="66" t="n"/>
      <c r="AM275" s="14">
        <f>AH276/AJ276%</f>
        <v/>
      </c>
      <c r="AN275" s="67">
        <f>AK276-AG276</f>
        <v/>
      </c>
      <c r="AO275" s="68">
        <f>AJ276/L276</f>
        <v/>
      </c>
      <c r="AP275" s="69">
        <f>(AJ276-AB276)/100</f>
        <v/>
      </c>
      <c r="AQ275" s="70">
        <f>(AJ276-AC276)/100</f>
        <v/>
      </c>
      <c r="AR275" s="71">
        <f>AI276/94</f>
        <v/>
      </c>
      <c r="AS275" s="71">
        <f>AJ276/94</f>
        <v/>
      </c>
      <c r="AT275" s="72">
        <f>AI276/24</f>
        <v/>
      </c>
      <c r="AU275" s="72">
        <f>AJ276/24</f>
        <v/>
      </c>
      <c r="AV275" s="73">
        <f>AI276/125</f>
        <v/>
      </c>
      <c r="AW275" s="73">
        <f>AJ276/125</f>
        <v/>
      </c>
    </row>
    <row r="276" ht="15.75" customHeight="1" s="258">
      <c r="A276" s="2" t="inlineStr">
        <is>
          <t>Eco-Friendly Neem Wood Toothbrush</t>
        </is>
      </c>
      <c r="B276" s="2" t="inlineStr">
        <is>
          <t>pack-of-2</t>
        </is>
      </c>
      <c r="C276" s="2" t="inlineStr">
        <is>
          <t>NTB-2</t>
        </is>
      </c>
      <c r="D276" s="118" t="n">
        <v>70</v>
      </c>
      <c r="F276" s="2" t="n">
        <v>40</v>
      </c>
      <c r="G276" s="118" t="n">
        <v>9603</v>
      </c>
      <c r="H276" s="255" t="n">
        <v>0.18</v>
      </c>
      <c r="I276" s="2">
        <f>D277*H277</f>
        <v/>
      </c>
      <c r="K276" s="2" t="n">
        <v>5</v>
      </c>
      <c r="L276" s="4">
        <f>K277+J277+I277+F277+E277+D277</f>
        <v/>
      </c>
      <c r="M276" s="2">
        <f>D277*1%</f>
        <v/>
      </c>
      <c r="N276" s="12">
        <f>L277*8%</f>
        <v/>
      </c>
      <c r="O276" s="12">
        <f>L277*10%</f>
        <v/>
      </c>
      <c r="P276" s="12">
        <f>L277*5%</f>
        <v/>
      </c>
      <c r="Q276" s="12">
        <f>L277*2%</f>
        <v/>
      </c>
      <c r="R276" s="12">
        <f>AC277*0.5%</f>
        <v/>
      </c>
      <c r="S276" s="12">
        <f>L277*1%</f>
        <v/>
      </c>
      <c r="T276" s="60">
        <f>S277+Q277+P277+O277+N277+M277</f>
        <v/>
      </c>
      <c r="U276" s="2">
        <f>AC277*1%</f>
        <v/>
      </c>
      <c r="V276" s="44">
        <f>AC277*5%</f>
        <v/>
      </c>
      <c r="W276" s="2">
        <f>AC277*1%</f>
        <v/>
      </c>
      <c r="X276" s="2">
        <f>AC277*8%</f>
        <v/>
      </c>
      <c r="Y276" s="2">
        <f>U277+V277+W277+X277</f>
        <v/>
      </c>
      <c r="Z276" s="60">
        <f>Y277+T277+L277</f>
        <v/>
      </c>
      <c r="AA276" s="11">
        <f>Z277*20%</f>
        <v/>
      </c>
      <c r="AB276" s="12">
        <f>Z277+AA277</f>
        <v/>
      </c>
      <c r="AC276" s="2">
        <f>D277*2.1</f>
        <v/>
      </c>
      <c r="AD276" s="12">
        <f>AB277-AC277</f>
        <v/>
      </c>
      <c r="AE276" s="12">
        <f>AD277/AB277*100</f>
        <v/>
      </c>
      <c r="AF276" s="92" t="n">
        <v>225</v>
      </c>
      <c r="AG276" s="62">
        <f>((AF277-L277)/L277)*100</f>
        <v/>
      </c>
      <c r="AH276" s="106">
        <f>AJ277-AF277</f>
        <v/>
      </c>
      <c r="AI276" s="65" t="n">
        <v>299</v>
      </c>
      <c r="AJ276" s="65" t="n">
        <v>219</v>
      </c>
      <c r="AK276" s="66">
        <f>(AJ277-L277)/L277*100</f>
        <v/>
      </c>
      <c r="AL276" s="66" t="n"/>
      <c r="AM276" s="14">
        <f>AH277/AJ277%</f>
        <v/>
      </c>
      <c r="AN276" s="67">
        <f>AK277-AG277</f>
        <v/>
      </c>
      <c r="AO276" s="68">
        <f>AJ277/L277</f>
        <v/>
      </c>
      <c r="AP276" s="69">
        <f>(AJ277-AB277)/100</f>
        <v/>
      </c>
      <c r="AQ276" s="70">
        <f>(AJ277-AC277)/100</f>
        <v/>
      </c>
      <c r="AR276" s="71" t="inlineStr">
        <is>
          <t>x</t>
        </is>
      </c>
      <c r="AS276" s="71">
        <f>AJ277/94</f>
        <v/>
      </c>
      <c r="AT276" s="72">
        <f>AI277/24</f>
        <v/>
      </c>
      <c r="AU276" s="72">
        <f>AJ277/24</f>
        <v/>
      </c>
      <c r="AV276" s="73">
        <f>AI277/125</f>
        <v/>
      </c>
      <c r="AW276" s="73">
        <f>AJ277/125</f>
        <v/>
      </c>
    </row>
    <row r="277" ht="15" customHeight="1" s="258">
      <c r="A277" s="2" t="n"/>
      <c r="B277" s="2" t="inlineStr">
        <is>
          <t>pack-of-4</t>
        </is>
      </c>
      <c r="C277" s="2" t="inlineStr">
        <is>
          <t>NTB-4</t>
        </is>
      </c>
      <c r="D277" s="118" t="n">
        <v>140</v>
      </c>
      <c r="F277" s="2" t="n">
        <v>40</v>
      </c>
      <c r="G277" s="118" t="n">
        <v>9603</v>
      </c>
      <c r="H277" s="255" t="n">
        <v>0.18</v>
      </c>
      <c r="I277" s="2">
        <f>D278*H278</f>
        <v/>
      </c>
      <c r="K277" s="2" t="n">
        <v>5</v>
      </c>
      <c r="L277" s="4">
        <f>K278+J278+I278+F278+E278+D278</f>
        <v/>
      </c>
      <c r="M277" s="2">
        <f>D278*1%</f>
        <v/>
      </c>
      <c r="N277" s="12">
        <f>L278*8%</f>
        <v/>
      </c>
      <c r="O277" s="12">
        <f>L278*10%</f>
        <v/>
      </c>
      <c r="P277" s="12">
        <f>L278*5%</f>
        <v/>
      </c>
      <c r="Q277" s="12">
        <f>L278*2%</f>
        <v/>
      </c>
      <c r="R277" s="12">
        <f>AC278*0.5%</f>
        <v/>
      </c>
      <c r="S277" s="12">
        <f>L278*1%</f>
        <v/>
      </c>
      <c r="T277" s="60">
        <f>S278+Q278+P278+O278+N278+M278</f>
        <v/>
      </c>
      <c r="U277" s="2">
        <f>AC278*1%</f>
        <v/>
      </c>
      <c r="V277" s="44">
        <f>AC278*5%</f>
        <v/>
      </c>
      <c r="W277" s="2">
        <f>AC278*1%</f>
        <v/>
      </c>
      <c r="X277" s="2">
        <f>AC278*8%</f>
        <v/>
      </c>
      <c r="Y277" s="2">
        <f>U278+V278+W278+X278</f>
        <v/>
      </c>
      <c r="Z277" s="60">
        <f>Y278+T278+L278</f>
        <v/>
      </c>
      <c r="AA277" s="11">
        <f>Z278*20%</f>
        <v/>
      </c>
      <c r="AB277" s="12">
        <f>Z278+AA278</f>
        <v/>
      </c>
      <c r="AC277" s="2">
        <f>D278*2.1</f>
        <v/>
      </c>
      <c r="AD277" s="12">
        <f>AB278-AC278</f>
        <v/>
      </c>
      <c r="AE277" s="12">
        <f>AD278/AB278*100</f>
        <v/>
      </c>
      <c r="AF277" s="92" t="n">
        <v>365</v>
      </c>
      <c r="AG277" s="62">
        <f>((AF278-L278)/L278)*100</f>
        <v/>
      </c>
      <c r="AH277" s="106">
        <f>AJ278-AF278</f>
        <v/>
      </c>
      <c r="AI277" s="65" t="n">
        <v>399</v>
      </c>
      <c r="AJ277" s="65" t="n">
        <v>349</v>
      </c>
      <c r="AK277" s="66">
        <f>(AJ278-L278)/L278*100</f>
        <v/>
      </c>
      <c r="AL277" s="66" t="n"/>
      <c r="AM277" s="14">
        <f>AH278/AJ278%</f>
        <v/>
      </c>
      <c r="AN277" s="67">
        <f>AK278-AG278</f>
        <v/>
      </c>
      <c r="AO277" s="68">
        <f>AJ278/L278</f>
        <v/>
      </c>
      <c r="AP277" s="69">
        <f>(AJ278-AB278)/100</f>
        <v/>
      </c>
      <c r="AQ277" s="70">
        <f>(AJ278-AC278)/100</f>
        <v/>
      </c>
      <c r="AR277" s="71">
        <f>AI278/94</f>
        <v/>
      </c>
      <c r="AS277" s="71">
        <f>AJ278/94</f>
        <v/>
      </c>
      <c r="AT277" s="72">
        <f>AI278/24</f>
        <v/>
      </c>
      <c r="AU277" s="72">
        <f>AJ278/24</f>
        <v/>
      </c>
      <c r="AV277" s="73">
        <f>AI278/125</f>
        <v/>
      </c>
      <c r="AW277" s="73">
        <f>AJ278/125</f>
        <v/>
      </c>
    </row>
    <row r="278" ht="15.75" customHeight="1" s="258">
      <c r="A278" s="2" t="inlineStr">
        <is>
          <t>Egg Shaker with Handle</t>
        </is>
      </c>
      <c r="B278" s="2" t="inlineStr">
        <is>
          <t>Standard</t>
        </is>
      </c>
      <c r="C278" s="2" t="inlineStr">
        <is>
          <t>MI-ES-H</t>
        </is>
      </c>
      <c r="D278" s="121" t="n">
        <v>190</v>
      </c>
      <c r="E278" s="2" t="n">
        <v>50</v>
      </c>
      <c r="F278" s="2" t="n">
        <v>50</v>
      </c>
      <c r="G278" s="118" t="n">
        <v>44201900</v>
      </c>
      <c r="H278" s="255" t="n">
        <v>0.05</v>
      </c>
      <c r="I278" s="2">
        <f>D279*H279</f>
        <v/>
      </c>
      <c r="K278" s="158" t="n">
        <v>200</v>
      </c>
      <c r="L278" s="4">
        <f>K279+J279+I279+F279+E279+D279</f>
        <v/>
      </c>
      <c r="M278" s="2">
        <f>D279*1%</f>
        <v/>
      </c>
      <c r="N278" s="12">
        <f>L279*8%</f>
        <v/>
      </c>
      <c r="O278" s="12">
        <f>L279*10%</f>
        <v/>
      </c>
      <c r="P278" s="12">
        <f>L279*5%</f>
        <v/>
      </c>
      <c r="Q278" s="12">
        <f>L279*2%</f>
        <v/>
      </c>
      <c r="R278" s="12">
        <f>AC279*0.5%</f>
        <v/>
      </c>
      <c r="S278" s="12">
        <f>L279*1%</f>
        <v/>
      </c>
      <c r="T278" s="60">
        <f>S279+Q279+P279+O279+N279+M279</f>
        <v/>
      </c>
      <c r="U278" s="2">
        <f>AC279*1%</f>
        <v/>
      </c>
      <c r="V278" s="44">
        <f>AC279*5%</f>
        <v/>
      </c>
      <c r="W278" s="2">
        <f>AC279*1%</f>
        <v/>
      </c>
      <c r="X278" s="2">
        <f>AC279*8%</f>
        <v/>
      </c>
      <c r="Y278" s="2">
        <f>U279+V279+W279+X279</f>
        <v/>
      </c>
      <c r="Z278" s="60">
        <f>Y279+T279+L279</f>
        <v/>
      </c>
      <c r="AA278" s="11">
        <f>Z279*20%</f>
        <v/>
      </c>
      <c r="AB278" s="12">
        <f>Z279+AA279</f>
        <v/>
      </c>
      <c r="AC278" s="2">
        <f>D279*2.1</f>
        <v/>
      </c>
      <c r="AD278" s="12">
        <f>AB279-AC279</f>
        <v/>
      </c>
      <c r="AE278" s="12">
        <f>AD279/AB279*100</f>
        <v/>
      </c>
      <c r="AF278" s="92" t="n">
        <v>895</v>
      </c>
      <c r="AG278" s="62">
        <f>((AF279-L279)/L279)*100</f>
        <v/>
      </c>
      <c r="AH278" s="106">
        <f>AJ279-AF279</f>
        <v/>
      </c>
      <c r="AI278" s="65" t="n">
        <v>990</v>
      </c>
      <c r="AJ278" s="65" t="n">
        <v>890</v>
      </c>
      <c r="AK278" s="66">
        <f>(AJ279-L279)/L279*100</f>
        <v/>
      </c>
      <c r="AL278" s="66" t="n"/>
      <c r="AM278" s="14">
        <f>AH279/AJ279%</f>
        <v/>
      </c>
      <c r="AN278" s="67">
        <f>AK279-AG279</f>
        <v/>
      </c>
      <c r="AO278" s="68">
        <f>AJ279/L279</f>
        <v/>
      </c>
      <c r="AP278" s="69">
        <f>(AJ279-AB279)/100</f>
        <v/>
      </c>
      <c r="AQ278" s="70">
        <f>(AJ279-AC279)/100</f>
        <v/>
      </c>
      <c r="AR278" s="71">
        <f>AI279/94</f>
        <v/>
      </c>
      <c r="AS278" s="71">
        <f>AJ279/94</f>
        <v/>
      </c>
      <c r="AT278" s="72">
        <f>AI279/24</f>
        <v/>
      </c>
      <c r="AU278" s="72">
        <f>AJ279/24</f>
        <v/>
      </c>
      <c r="AV278" s="73">
        <f>AI279/125</f>
        <v/>
      </c>
      <c r="AW278" s="73">
        <f>AJ279/125</f>
        <v/>
      </c>
    </row>
    <row r="279" ht="15.75" customHeight="1" s="258">
      <c r="A279" s="96" t="inlineStr">
        <is>
          <t>Handheld Natural Coconut Shaker</t>
        </is>
      </c>
      <c r="B279" s="96" t="inlineStr">
        <is>
          <t>Standard</t>
        </is>
      </c>
      <c r="C279" s="96" t="inlineStr">
        <is>
          <t>MI-CS-H</t>
        </is>
      </c>
      <c r="D279" s="94" t="n"/>
      <c r="E279" s="107" t="n"/>
      <c r="F279" s="96" t="n">
        <v>10</v>
      </c>
      <c r="G279" s="94" t="n">
        <v>44201900</v>
      </c>
      <c r="H279" s="97" t="n">
        <v>0.05</v>
      </c>
      <c r="I279" s="96">
        <f>D280*H280</f>
        <v/>
      </c>
      <c r="J279" s="107" t="n"/>
      <c r="K279" s="96">
        <f>D280*4%</f>
        <v/>
      </c>
      <c r="L279" s="98">
        <f>K280+J280+I280+F280+E280+D280</f>
        <v/>
      </c>
      <c r="M279" s="96">
        <f>D280*1%</f>
        <v/>
      </c>
      <c r="N279" s="99">
        <f>L280*8%</f>
        <v/>
      </c>
      <c r="O279" s="99">
        <f>L280*10%</f>
        <v/>
      </c>
      <c r="P279" s="99">
        <f>L280*5%</f>
        <v/>
      </c>
      <c r="Q279" s="99">
        <f>L280*2%</f>
        <v/>
      </c>
      <c r="R279" s="99">
        <f>AC280*0.5%</f>
        <v/>
      </c>
      <c r="S279" s="99">
        <f>L280*1%</f>
        <v/>
      </c>
      <c r="T279" s="100">
        <f>S280+Q280+P280+O280+N280+M280</f>
        <v/>
      </c>
      <c r="U279" s="96">
        <f>AC280*1%</f>
        <v/>
      </c>
      <c r="V279" s="44">
        <f>AC280*5%</f>
        <v/>
      </c>
      <c r="W279" s="96">
        <f>AC280*1%</f>
        <v/>
      </c>
      <c r="X279" s="96">
        <f>AC280*8%</f>
        <v/>
      </c>
      <c r="Y279" s="96">
        <f>U280+V280+W280+X280</f>
        <v/>
      </c>
      <c r="Z279" s="100">
        <f>Y280+T280+L280</f>
        <v/>
      </c>
      <c r="AA279" s="101">
        <f>Z280*20%</f>
        <v/>
      </c>
      <c r="AB279" s="99">
        <f>Z280+AA280</f>
        <v/>
      </c>
      <c r="AC279" s="96">
        <f>D280*2.1</f>
        <v/>
      </c>
      <c r="AD279" s="99">
        <f>AB280-AC280</f>
        <v/>
      </c>
      <c r="AE279" s="99">
        <f>AD280/AB280*100</f>
        <v/>
      </c>
      <c r="AF279" s="107" t="n">
        <v>945</v>
      </c>
      <c r="AG279" s="102">
        <f>((AF280-L280)/L280)*100</f>
        <v/>
      </c>
      <c r="AH279" s="106">
        <f>AJ280-AF280</f>
        <v/>
      </c>
      <c r="AI279" s="106" t="n">
        <v>1190</v>
      </c>
      <c r="AJ279" s="106" t="n">
        <v>990</v>
      </c>
      <c r="AK279" s="14">
        <f>(AJ280-L280)/L280*100</f>
        <v/>
      </c>
      <c r="AL279" s="14" t="n"/>
      <c r="AM279" s="14">
        <f>AH280/AJ280%</f>
        <v/>
      </c>
      <c r="AN279" s="14">
        <f>AK280-AG280</f>
        <v/>
      </c>
      <c r="AO279" s="103">
        <f>AJ280/L280</f>
        <v/>
      </c>
      <c r="AP279" s="14">
        <f>(AJ280-AB280)/100</f>
        <v/>
      </c>
      <c r="AQ279" s="14">
        <f>(AJ280-AC280)/100</f>
        <v/>
      </c>
      <c r="AR279" s="104">
        <f>AI280/94</f>
        <v/>
      </c>
      <c r="AS279" s="104">
        <f>AJ280/94</f>
        <v/>
      </c>
      <c r="AT279" s="105">
        <f>AI280/24</f>
        <v/>
      </c>
      <c r="AU279" s="105">
        <f>AJ280/24</f>
        <v/>
      </c>
      <c r="AV279" s="105">
        <f>AI280/125</f>
        <v/>
      </c>
      <c r="AW279" s="105">
        <f>AJ280/125</f>
        <v/>
      </c>
      <c r="AX279" s="107" t="n"/>
      <c r="AY279" s="107" t="n"/>
    </row>
    <row r="280" ht="15.75" customHeight="1" s="258">
      <c r="A280" s="2" t="inlineStr">
        <is>
          <t>Element Chimes</t>
        </is>
      </c>
      <c r="B280" s="2" t="inlineStr">
        <is>
          <t>Standard</t>
        </is>
      </c>
      <c r="C280" s="2" t="inlineStr">
        <is>
          <t>MI-Ch-KS</t>
        </is>
      </c>
      <c r="D280" s="118" t="n">
        <v>2000</v>
      </c>
      <c r="E280" s="2" t="n">
        <v>100</v>
      </c>
      <c r="F280" s="2" t="n">
        <v>10</v>
      </c>
      <c r="G280" s="118" t="n">
        <v>83061000</v>
      </c>
      <c r="H280" s="255" t="n">
        <v>0.05</v>
      </c>
      <c r="I280" s="2">
        <f>D281*H281</f>
        <v/>
      </c>
      <c r="K280" s="2">
        <f>D281*4%</f>
        <v/>
      </c>
      <c r="L280" s="4">
        <f>K281+J281+I281+F281+E281+D281</f>
        <v/>
      </c>
      <c r="M280" s="2">
        <f>D281*1%</f>
        <v/>
      </c>
      <c r="N280" s="12">
        <f>L281*8%</f>
        <v/>
      </c>
      <c r="O280" s="12">
        <f>L281*10%</f>
        <v/>
      </c>
      <c r="P280" s="12">
        <f>L281*5%</f>
        <v/>
      </c>
      <c r="Q280" s="12">
        <f>L281*2%</f>
        <v/>
      </c>
      <c r="R280" s="12">
        <f>AC281*0.5%</f>
        <v/>
      </c>
      <c r="S280" s="12">
        <f>L281*1%</f>
        <v/>
      </c>
      <c r="T280" s="60">
        <f>S281+Q281+P281+O281+N281+M281</f>
        <v/>
      </c>
      <c r="U280" s="2">
        <f>AC281*1%</f>
        <v/>
      </c>
      <c r="V280" s="44">
        <f>AC281*5%</f>
        <v/>
      </c>
      <c r="W280" s="2">
        <f>AC281*1%</f>
        <v/>
      </c>
      <c r="X280" s="2">
        <f>AC281*8%</f>
        <v/>
      </c>
      <c r="Y280" s="2">
        <f>U281+V281+W281+X281</f>
        <v/>
      </c>
      <c r="Z280" s="60">
        <f>Y281+T281+L281</f>
        <v/>
      </c>
      <c r="AA280" s="11">
        <f>Z281*20%</f>
        <v/>
      </c>
      <c r="AB280" s="12">
        <f>Z281+AA281</f>
        <v/>
      </c>
      <c r="AC280" s="2">
        <f>D281*2.1</f>
        <v/>
      </c>
      <c r="AD280" s="12">
        <f>AB281-AC281</f>
        <v/>
      </c>
      <c r="AE280" s="12">
        <f>AD281/AB281*100</f>
        <v/>
      </c>
      <c r="AF280" s="92" t="n">
        <v>3850</v>
      </c>
      <c r="AG280" s="62">
        <f>((AF281-L281)/L281)*100</f>
        <v/>
      </c>
      <c r="AH280" s="106">
        <f>AJ281-AF281</f>
        <v/>
      </c>
      <c r="AI280" s="65" t="n">
        <v>4290</v>
      </c>
      <c r="AJ280" s="65" t="n">
        <v>3850</v>
      </c>
      <c r="AK280" s="66">
        <f>(AJ281-L281)/L281*100</f>
        <v/>
      </c>
      <c r="AL280" s="66" t="n"/>
      <c r="AM280" s="14">
        <f>AH281/AJ281%</f>
        <v/>
      </c>
      <c r="AN280" s="67">
        <f>AK281-AG281</f>
        <v/>
      </c>
      <c r="AO280" s="68">
        <f>AJ281/L281</f>
        <v/>
      </c>
      <c r="AP280" s="69">
        <f>(AJ281-AB281)/100</f>
        <v/>
      </c>
      <c r="AQ280" s="70">
        <f>(AJ281-AC281)/100</f>
        <v/>
      </c>
      <c r="AR280" s="71">
        <f>AI281/94</f>
        <v/>
      </c>
      <c r="AS280" s="71">
        <f>AJ281/94</f>
        <v/>
      </c>
      <c r="AT280" s="72">
        <f>AI281/24</f>
        <v/>
      </c>
      <c r="AU280" s="72">
        <f>AJ281/24</f>
        <v/>
      </c>
      <c r="AV280" s="73">
        <f>AI281/125</f>
        <v/>
      </c>
      <c r="AW280" s="73">
        <f>AJ281/125</f>
        <v/>
      </c>
    </row>
    <row r="281" ht="15.75" customHeight="1" s="258">
      <c r="A281" s="160" t="inlineStr">
        <is>
          <t>Chau Gongs</t>
        </is>
      </c>
      <c r="B281" s="160" t="inlineStr">
        <is>
          <t>18 in</t>
        </is>
      </c>
      <c r="C281" s="108" t="inlineStr">
        <is>
          <t>MI-CG-18</t>
        </is>
      </c>
      <c r="D281" s="161">
        <f>2.5*5200</f>
        <v/>
      </c>
      <c r="E281" s="161" t="n">
        <v>200</v>
      </c>
      <c r="F281" s="96" t="n">
        <v>100</v>
      </c>
      <c r="G281" s="94" t="n">
        <v>83061000</v>
      </c>
      <c r="H281" s="97" t="n">
        <v>0.05</v>
      </c>
      <c r="I281" s="96">
        <f>E282*H282</f>
        <v/>
      </c>
      <c r="J281" s="107" t="n"/>
      <c r="K281" s="162" t="n">
        <v>300</v>
      </c>
      <c r="L281" s="163">
        <f>K282+J282+I282+F282+E282+D282</f>
        <v/>
      </c>
      <c r="M281" s="96">
        <f>E282*1%</f>
        <v/>
      </c>
      <c r="N281" s="99">
        <f>L282*8%</f>
        <v/>
      </c>
      <c r="O281" s="99">
        <f>L282*10%</f>
        <v/>
      </c>
      <c r="P281" s="99">
        <f>L282*5%</f>
        <v/>
      </c>
      <c r="Q281" s="99">
        <f>L282*2%</f>
        <v/>
      </c>
      <c r="R281" s="99">
        <f>AC282*0.5%</f>
        <v/>
      </c>
      <c r="S281" s="99">
        <f>L282*1%</f>
        <v/>
      </c>
      <c r="T281" s="100">
        <f>S282+Q282+P282+O282+N282+M282</f>
        <v/>
      </c>
      <c r="U281" s="96">
        <f>AC282*1%</f>
        <v/>
      </c>
      <c r="V281" s="44">
        <f>AC282*5%</f>
        <v/>
      </c>
      <c r="W281" s="96">
        <f>AC282*1%</f>
        <v/>
      </c>
      <c r="X281" s="96">
        <f>AC282*8%</f>
        <v/>
      </c>
      <c r="Y281" s="96">
        <f>U282+V282+W282+X282</f>
        <v/>
      </c>
      <c r="Z281" s="100">
        <f>Y282+T282+L282</f>
        <v/>
      </c>
      <c r="AA281" s="101">
        <f>Z282*20%</f>
        <v/>
      </c>
      <c r="AB281" s="99">
        <f>Z282+AA282</f>
        <v/>
      </c>
      <c r="AC281" s="96">
        <f>E282*2.1</f>
        <v/>
      </c>
      <c r="AD281" s="99">
        <f>AB282-AC282</f>
        <v/>
      </c>
      <c r="AE281" s="99">
        <f>AD282/AB282*100</f>
        <v/>
      </c>
      <c r="AF281" s="107" t="n">
        <v>23250</v>
      </c>
      <c r="AG281" s="102">
        <f>((AF282-L282)/L282)*100</f>
        <v/>
      </c>
      <c r="AH281" s="106">
        <f>AJ282-AF282</f>
        <v/>
      </c>
      <c r="AI281" s="106" t="n">
        <v>24990</v>
      </c>
      <c r="AJ281" s="106" t="n">
        <v>23990</v>
      </c>
      <c r="AK281" s="14">
        <f>(AJ282-L282)/L282*100</f>
        <v/>
      </c>
      <c r="AL281" s="14" t="n"/>
      <c r="AM281" s="14">
        <f>AH282/AJ282%</f>
        <v/>
      </c>
      <c r="AN281" s="14">
        <f>AK282-AG282</f>
        <v/>
      </c>
      <c r="AO281" s="103">
        <f>AJ282/L282</f>
        <v/>
      </c>
      <c r="AP281" s="14">
        <f>(AJ282-AB282)/100</f>
        <v/>
      </c>
      <c r="AQ281" s="14">
        <f>(AJ282-AC282)/100</f>
        <v/>
      </c>
      <c r="AR281" s="104">
        <f>AI282/94</f>
        <v/>
      </c>
      <c r="AS281" s="104">
        <f>AJ282/94</f>
        <v/>
      </c>
      <c r="AT281" s="105">
        <f>AI282/24</f>
        <v/>
      </c>
      <c r="AU281" s="105">
        <f>AJ282/24</f>
        <v/>
      </c>
      <c r="AV281" s="105">
        <f>AI282/125</f>
        <v/>
      </c>
      <c r="AW281" s="105">
        <f>AJ282/125</f>
        <v/>
      </c>
      <c r="AX281" s="107" t="n"/>
      <c r="AY281" s="107" t="n"/>
    </row>
    <row r="282" ht="15.75" customHeight="1" s="258">
      <c r="A282" s="160" t="n"/>
      <c r="B282" s="160" t="inlineStr">
        <is>
          <t>20 in</t>
        </is>
      </c>
      <c r="C282" s="108" t="inlineStr">
        <is>
          <t>MI-CG-2</t>
        </is>
      </c>
      <c r="D282" s="161">
        <f>3*5200</f>
        <v/>
      </c>
      <c r="E282" s="161" t="n">
        <v>200</v>
      </c>
      <c r="F282" s="96" t="n">
        <v>100</v>
      </c>
      <c r="G282" s="94" t="n">
        <v>83061000</v>
      </c>
      <c r="H282" s="97" t="n">
        <v>0.05</v>
      </c>
      <c r="I282" s="96">
        <f>E283*H283</f>
        <v/>
      </c>
      <c r="J282" s="107" t="n"/>
      <c r="K282" s="162" t="n">
        <v>300</v>
      </c>
      <c r="L282" s="163">
        <f>K283+J283+I283+F283+E283+D283</f>
        <v/>
      </c>
      <c r="M282" s="96">
        <f>E283*1%</f>
        <v/>
      </c>
      <c r="N282" s="99">
        <f>L283*8%</f>
        <v/>
      </c>
      <c r="O282" s="99">
        <f>L283*10%</f>
        <v/>
      </c>
      <c r="P282" s="99">
        <f>L283*5%</f>
        <v/>
      </c>
      <c r="Q282" s="99">
        <f>L283*2%</f>
        <v/>
      </c>
      <c r="R282" s="99">
        <f>AC283*0.5%</f>
        <v/>
      </c>
      <c r="S282" s="99">
        <f>L283*1%</f>
        <v/>
      </c>
      <c r="T282" s="100">
        <f>S283+Q283+P283+O283+N283+M283</f>
        <v/>
      </c>
      <c r="U282" s="96">
        <f>AC283*1%</f>
        <v/>
      </c>
      <c r="V282" s="44">
        <f>AC283*5%</f>
        <v/>
      </c>
      <c r="W282" s="96">
        <f>AC283*1%</f>
        <v/>
      </c>
      <c r="X282" s="96">
        <f>AC283*8%</f>
        <v/>
      </c>
      <c r="Y282" s="96">
        <f>U283+V283+W283+X283</f>
        <v/>
      </c>
      <c r="Z282" s="100">
        <f>Y283+T283+L283</f>
        <v/>
      </c>
      <c r="AA282" s="101">
        <f>Z283*20%</f>
        <v/>
      </c>
      <c r="AB282" s="99">
        <f>Z283+AA283</f>
        <v/>
      </c>
      <c r="AC282" s="96">
        <f>E283*2.1</f>
        <v/>
      </c>
      <c r="AD282" s="99">
        <f>AB283-AC283</f>
        <v/>
      </c>
      <c r="AE282" s="99">
        <f>AD283/AB283*100</f>
        <v/>
      </c>
      <c r="AF282" s="107" t="n">
        <v>27690</v>
      </c>
      <c r="AG282" s="102">
        <f>((AF283-L283)/L283)*100</f>
        <v/>
      </c>
      <c r="AH282" s="106">
        <f>AJ283-AF283</f>
        <v/>
      </c>
      <c r="AI282" s="106" t="n">
        <v>29990</v>
      </c>
      <c r="AJ282" s="106" t="n">
        <v>27990</v>
      </c>
      <c r="AK282" s="14">
        <f>(AJ283-L283)/L283*100</f>
        <v/>
      </c>
      <c r="AL282" s="14" t="n"/>
      <c r="AM282" s="14">
        <f>AH283/AJ283%</f>
        <v/>
      </c>
      <c r="AN282" s="14">
        <f>AK283-AG283</f>
        <v/>
      </c>
      <c r="AO282" s="103">
        <f>AJ283/L283</f>
        <v/>
      </c>
      <c r="AP282" s="14">
        <f>(AJ283-AB283)/100</f>
        <v/>
      </c>
      <c r="AQ282" s="14">
        <f>(AJ283-AC283)/100</f>
        <v/>
      </c>
      <c r="AR282" s="104">
        <f>AI283/94</f>
        <v/>
      </c>
      <c r="AS282" s="104">
        <f>AJ283/94</f>
        <v/>
      </c>
      <c r="AT282" s="105">
        <f>AI283/24</f>
        <v/>
      </c>
      <c r="AU282" s="105">
        <f>AJ283/24</f>
        <v/>
      </c>
      <c r="AV282" s="105">
        <f>AI283/125</f>
        <v/>
      </c>
      <c r="AW282" s="105">
        <f>AJ283/125</f>
        <v/>
      </c>
      <c r="AX282" s="107" t="n"/>
      <c r="AY282" s="107" t="n"/>
    </row>
    <row r="283" ht="15.75" customHeight="1" s="258">
      <c r="A283" s="160" t="n"/>
      <c r="B283" s="160" t="inlineStr">
        <is>
          <t>22 in</t>
        </is>
      </c>
      <c r="C283" s="108" t="inlineStr">
        <is>
          <t>MI-CG-22</t>
        </is>
      </c>
      <c r="D283" s="161">
        <f>4*5200</f>
        <v/>
      </c>
      <c r="E283" s="161" t="n">
        <v>300</v>
      </c>
      <c r="F283" s="96" t="n">
        <v>100</v>
      </c>
      <c r="G283" s="94" t="n">
        <v>83061000</v>
      </c>
      <c r="H283" s="97" t="n">
        <v>0.05</v>
      </c>
      <c r="I283" s="96">
        <f>E284*H284</f>
        <v/>
      </c>
      <c r="J283" s="107" t="n"/>
      <c r="K283" s="162" t="n">
        <v>300</v>
      </c>
      <c r="L283" s="163">
        <f>K284+J284+I284+F284+E284+D284</f>
        <v/>
      </c>
      <c r="M283" s="96">
        <f>E284*1%</f>
        <v/>
      </c>
      <c r="N283" s="99">
        <f>L284*8%</f>
        <v/>
      </c>
      <c r="O283" s="99">
        <f>L284*10%</f>
        <v/>
      </c>
      <c r="P283" s="99">
        <f>L284*5%</f>
        <v/>
      </c>
      <c r="Q283" s="99">
        <f>L284*2%</f>
        <v/>
      </c>
      <c r="R283" s="99">
        <f>AC284*0.5%</f>
        <v/>
      </c>
      <c r="S283" s="99">
        <f>L284*1%</f>
        <v/>
      </c>
      <c r="T283" s="100">
        <f>S284+Q284+P284+O284+N284+M284</f>
        <v/>
      </c>
      <c r="U283" s="96">
        <f>AC284*1%</f>
        <v/>
      </c>
      <c r="V283" s="44">
        <f>AC284*5%</f>
        <v/>
      </c>
      <c r="W283" s="96">
        <f>AC284*1%</f>
        <v/>
      </c>
      <c r="X283" s="96">
        <f>AC284*8%</f>
        <v/>
      </c>
      <c r="Y283" s="96">
        <f>U284+V284+W284+X284</f>
        <v/>
      </c>
      <c r="Z283" s="100">
        <f>Y284+T284+L284</f>
        <v/>
      </c>
      <c r="AA283" s="101">
        <f>Z284*20%</f>
        <v/>
      </c>
      <c r="AB283" s="99">
        <f>Z284+AA284</f>
        <v/>
      </c>
      <c r="AC283" s="96">
        <f>E284*2.1</f>
        <v/>
      </c>
      <c r="AD283" s="99">
        <f>AB284-AC284</f>
        <v/>
      </c>
      <c r="AE283" s="99">
        <f>AD284/AB284*100</f>
        <v/>
      </c>
      <c r="AF283" s="107" t="n">
        <v>32950</v>
      </c>
      <c r="AG283" s="102">
        <f>((AF284-L284)/L284)*100</f>
        <v/>
      </c>
      <c r="AH283" s="106">
        <f>AJ284-AF284</f>
        <v/>
      </c>
      <c r="AI283" s="106" t="n">
        <v>37990</v>
      </c>
      <c r="AJ283" s="106" t="n">
        <v>35990</v>
      </c>
      <c r="AK283" s="14">
        <f>(AJ284-L284)/L284*100</f>
        <v/>
      </c>
      <c r="AL283" s="14" t="n"/>
      <c r="AM283" s="14">
        <f>AH284/AJ284%</f>
        <v/>
      </c>
      <c r="AN283" s="14">
        <f>AK284-AG284</f>
        <v/>
      </c>
      <c r="AO283" s="103">
        <f>AJ284/L284</f>
        <v/>
      </c>
      <c r="AP283" s="14">
        <f>(AJ284-AB284)/100</f>
        <v/>
      </c>
      <c r="AQ283" s="14">
        <f>(AJ284-AC284)/100</f>
        <v/>
      </c>
      <c r="AR283" s="104">
        <f>AI284/94</f>
        <v/>
      </c>
      <c r="AS283" s="104">
        <f>AJ284/94</f>
        <v/>
      </c>
      <c r="AT283" s="105">
        <f>AI284/24</f>
        <v/>
      </c>
      <c r="AU283" s="105">
        <f>AJ284/24</f>
        <v/>
      </c>
      <c r="AV283" s="105">
        <f>AI284/125</f>
        <v/>
      </c>
      <c r="AW283" s="105">
        <f>AJ284/125</f>
        <v/>
      </c>
      <c r="AX283" s="107" t="n"/>
      <c r="AY283" s="107" t="n"/>
    </row>
    <row r="284" ht="15.75" customHeight="1" s="258">
      <c r="A284" s="160" t="n"/>
      <c r="B284" s="160" t="inlineStr">
        <is>
          <t>24 in</t>
        </is>
      </c>
      <c r="C284" s="108" t="inlineStr">
        <is>
          <t>MI-CG-24</t>
        </is>
      </c>
      <c r="D284" s="161">
        <f>5.5*5400</f>
        <v/>
      </c>
      <c r="E284" s="161" t="n">
        <v>300</v>
      </c>
      <c r="F284" s="96" t="n">
        <v>100</v>
      </c>
      <c r="G284" s="94" t="n">
        <v>83061000</v>
      </c>
      <c r="H284" s="97" t="n">
        <v>0.05</v>
      </c>
      <c r="I284" s="96">
        <f>E285*H285</f>
        <v/>
      </c>
      <c r="J284" s="107" t="n"/>
      <c r="K284" s="162" t="n">
        <v>300</v>
      </c>
      <c r="L284" s="163">
        <f>K285+J285+I285+F285+E285+D285</f>
        <v/>
      </c>
      <c r="M284" s="96">
        <f>E285*1%</f>
        <v/>
      </c>
      <c r="N284" s="99">
        <f>L285*8%</f>
        <v/>
      </c>
      <c r="O284" s="99">
        <f>L285*10%</f>
        <v/>
      </c>
      <c r="P284" s="99">
        <f>L285*5%</f>
        <v/>
      </c>
      <c r="Q284" s="99">
        <f>L285*2%</f>
        <v/>
      </c>
      <c r="R284" s="99">
        <f>AC285*0.5%</f>
        <v/>
      </c>
      <c r="S284" s="99">
        <f>L285*1%</f>
        <v/>
      </c>
      <c r="T284" s="100">
        <f>S285+Q285+P285+O285+N285+M285</f>
        <v/>
      </c>
      <c r="U284" s="96">
        <f>AC285*1%</f>
        <v/>
      </c>
      <c r="V284" s="44">
        <f>AC285*5%</f>
        <v/>
      </c>
      <c r="W284" s="96">
        <f>AC285*1%</f>
        <v/>
      </c>
      <c r="X284" s="96">
        <f>AC285*8%</f>
        <v/>
      </c>
      <c r="Y284" s="96">
        <f>U285+V285+W285+X285</f>
        <v/>
      </c>
      <c r="Z284" s="100">
        <f>Y285+T285+L285</f>
        <v/>
      </c>
      <c r="AA284" s="101">
        <f>Z285*20%</f>
        <v/>
      </c>
      <c r="AB284" s="99">
        <f>Z285+AA285</f>
        <v/>
      </c>
      <c r="AC284" s="96">
        <f>E285*2.1</f>
        <v/>
      </c>
      <c r="AD284" s="99">
        <f>AB285-AC285</f>
        <v/>
      </c>
      <c r="AE284" s="99">
        <f>AD285/AB285*100</f>
        <v/>
      </c>
      <c r="AF284" s="107" t="n">
        <v>42950</v>
      </c>
      <c r="AG284" s="102">
        <f>((AF285-L285)/L285)*100</f>
        <v/>
      </c>
      <c r="AH284" s="106">
        <f>AJ285-AF285</f>
        <v/>
      </c>
      <c r="AI284" s="106" t="n">
        <v>45990</v>
      </c>
      <c r="AJ284" s="106" t="n">
        <v>42990</v>
      </c>
      <c r="AK284" s="14">
        <f>(AJ285-L285)/L285*100</f>
        <v/>
      </c>
      <c r="AL284" s="14" t="n"/>
      <c r="AM284" s="14">
        <f>AH285/AJ285%</f>
        <v/>
      </c>
      <c r="AN284" s="14">
        <f>AK285-AG285</f>
        <v/>
      </c>
      <c r="AO284" s="103">
        <f>AJ285/L285</f>
        <v/>
      </c>
      <c r="AP284" s="14">
        <f>(AJ285-AB285)/100</f>
        <v/>
      </c>
      <c r="AQ284" s="14">
        <f>(AJ285-AC285)/100</f>
        <v/>
      </c>
      <c r="AR284" s="104">
        <f>AI285/94</f>
        <v/>
      </c>
      <c r="AS284" s="104">
        <f>AJ285/94</f>
        <v/>
      </c>
      <c r="AT284" s="105">
        <f>AI285/24</f>
        <v/>
      </c>
      <c r="AU284" s="105">
        <f>AJ285/24</f>
        <v/>
      </c>
      <c r="AV284" s="105">
        <f>AI285/125</f>
        <v/>
      </c>
      <c r="AW284" s="105">
        <f>AJ285/125</f>
        <v/>
      </c>
      <c r="AX284" s="107" t="n"/>
      <c r="AY284" s="107" t="n"/>
    </row>
    <row r="285" ht="15.75" customHeight="1" s="258">
      <c r="A285" s="160" t="n"/>
      <c r="B285" s="160" t="inlineStr">
        <is>
          <t>28 in</t>
        </is>
      </c>
      <c r="C285" s="108" t="inlineStr">
        <is>
          <t>MI-CG-28</t>
        </is>
      </c>
      <c r="D285" s="161" t="n"/>
      <c r="E285" s="161" t="n"/>
      <c r="F285" s="96" t="n"/>
      <c r="G285" s="94" t="n"/>
      <c r="H285" s="97" t="n"/>
      <c r="I285" s="96" t="n"/>
      <c r="J285" s="107" t="n"/>
      <c r="K285" s="162" t="n"/>
      <c r="L285" s="98" t="n"/>
      <c r="M285" s="96" t="n"/>
      <c r="N285" s="99" t="n"/>
      <c r="O285" s="99" t="n"/>
      <c r="P285" s="99" t="n"/>
      <c r="Q285" s="99" t="n"/>
      <c r="R285" s="99" t="n"/>
      <c r="S285" s="99" t="n"/>
      <c r="T285" s="98" t="n"/>
      <c r="U285" s="96" t="n"/>
      <c r="V285" s="44">
        <f>AC286*5%</f>
        <v/>
      </c>
      <c r="W285" s="96" t="n"/>
      <c r="X285" s="96" t="n"/>
      <c r="Y285" s="96" t="n"/>
      <c r="Z285" s="100" t="n"/>
      <c r="AA285" s="101" t="n"/>
      <c r="AB285" s="99" t="n"/>
      <c r="AC285" s="96" t="n"/>
      <c r="AD285" s="99" t="n"/>
      <c r="AE285" s="99" t="n"/>
      <c r="AF285" s="107" t="n"/>
      <c r="AG285" s="102" t="n"/>
      <c r="AH285" s="106" t="n"/>
      <c r="AI285" s="106" t="n"/>
      <c r="AJ285" s="106" t="n"/>
      <c r="AK285" s="14" t="n"/>
      <c r="AL285" s="14" t="n"/>
      <c r="AM285" s="14" t="n"/>
      <c r="AN285" s="14" t="n"/>
      <c r="AO285" s="103" t="n"/>
      <c r="AP285" s="14" t="n"/>
      <c r="AQ285" s="14" t="n"/>
      <c r="AR285" s="104" t="n"/>
      <c r="AS285" s="104" t="n"/>
      <c r="AT285" s="105" t="n"/>
      <c r="AU285" s="105" t="n"/>
      <c r="AV285" s="105" t="n"/>
      <c r="AW285" s="105" t="n"/>
      <c r="AX285" s="107" t="n"/>
      <c r="AY285" s="107" t="n"/>
    </row>
    <row r="286" ht="15.75" customHeight="1" s="258">
      <c r="A286" s="160" t="n"/>
      <c r="B286" s="160" t="inlineStr">
        <is>
          <t>32 in</t>
        </is>
      </c>
      <c r="C286" s="108" t="inlineStr">
        <is>
          <t>MI-CG-32</t>
        </is>
      </c>
      <c r="D286" s="161" t="n"/>
      <c r="E286" s="161" t="n"/>
      <c r="F286" s="96" t="n"/>
      <c r="G286" s="94" t="n"/>
      <c r="H286" s="97" t="n"/>
      <c r="I286" s="96" t="n"/>
      <c r="J286" s="107" t="n"/>
      <c r="K286" s="162" t="n"/>
      <c r="L286" s="98" t="n"/>
      <c r="M286" s="96" t="n"/>
      <c r="N286" s="99" t="n"/>
      <c r="O286" s="99" t="n"/>
      <c r="P286" s="99" t="n"/>
      <c r="Q286" s="99" t="n"/>
      <c r="R286" s="99" t="n"/>
      <c r="S286" s="99" t="n"/>
      <c r="T286" s="98" t="n"/>
      <c r="U286" s="96" t="n"/>
      <c r="V286" s="44">
        <f>AC287*5%</f>
        <v/>
      </c>
      <c r="W286" s="96" t="n"/>
      <c r="X286" s="96" t="n"/>
      <c r="Y286" s="96" t="n"/>
      <c r="Z286" s="100" t="n"/>
      <c r="AA286" s="101" t="n"/>
      <c r="AB286" s="99" t="n"/>
      <c r="AC286" s="96" t="n"/>
      <c r="AD286" s="99" t="n"/>
      <c r="AE286" s="99" t="n"/>
      <c r="AF286" s="107" t="n"/>
      <c r="AG286" s="102" t="n"/>
      <c r="AH286" s="106" t="n"/>
      <c r="AI286" s="106" t="n"/>
      <c r="AJ286" s="106" t="n"/>
      <c r="AK286" s="14" t="n"/>
      <c r="AL286" s="14" t="n"/>
      <c r="AM286" s="14" t="n"/>
      <c r="AN286" s="14" t="n"/>
      <c r="AO286" s="103" t="n"/>
      <c r="AP286" s="14" t="n"/>
      <c r="AQ286" s="14" t="n"/>
      <c r="AR286" s="104" t="n"/>
      <c r="AS286" s="104" t="n"/>
      <c r="AT286" s="105" t="n"/>
      <c r="AU286" s="105" t="n"/>
      <c r="AV286" s="105" t="n"/>
      <c r="AW286" s="105" t="n"/>
      <c r="AX286" s="107" t="n"/>
      <c r="AY286" s="107" t="n"/>
    </row>
    <row r="287" ht="15.75" customHeight="1" s="258">
      <c r="A287" s="160" t="n"/>
      <c r="B287" s="160" t="inlineStr">
        <is>
          <t>36 in</t>
        </is>
      </c>
      <c r="C287" s="108" t="inlineStr">
        <is>
          <t>MI-CG-36</t>
        </is>
      </c>
      <c r="D287" s="161" t="n"/>
      <c r="E287" s="161" t="n"/>
      <c r="F287" s="96" t="n"/>
      <c r="G287" s="94" t="n"/>
      <c r="H287" s="97" t="n"/>
      <c r="I287" s="96" t="n"/>
      <c r="J287" s="107" t="n"/>
      <c r="K287" s="162" t="n"/>
      <c r="L287" s="98" t="n"/>
      <c r="M287" s="96" t="n"/>
      <c r="N287" s="99" t="n"/>
      <c r="O287" s="99" t="n"/>
      <c r="P287" s="99" t="n"/>
      <c r="Q287" s="99" t="n"/>
      <c r="R287" s="99" t="n"/>
      <c r="S287" s="99" t="n"/>
      <c r="T287" s="98" t="n"/>
      <c r="U287" s="96" t="n"/>
      <c r="V287" s="44">
        <f>AC288*5%</f>
        <v/>
      </c>
      <c r="W287" s="96" t="n"/>
      <c r="X287" s="96" t="n"/>
      <c r="Y287" s="96" t="n"/>
      <c r="Z287" s="100" t="n"/>
      <c r="AA287" s="101" t="n"/>
      <c r="AB287" s="99" t="n"/>
      <c r="AC287" s="96" t="n"/>
      <c r="AD287" s="99" t="n"/>
      <c r="AE287" s="99" t="n"/>
      <c r="AF287" s="107" t="n"/>
      <c r="AG287" s="102" t="n"/>
      <c r="AH287" s="106" t="n"/>
      <c r="AI287" s="106" t="n"/>
      <c r="AJ287" s="106" t="n"/>
      <c r="AK287" s="14" t="n"/>
      <c r="AL287" s="14" t="n"/>
      <c r="AM287" s="14" t="n"/>
      <c r="AN287" s="14" t="n"/>
      <c r="AO287" s="103" t="n"/>
      <c r="AP287" s="14" t="n"/>
      <c r="AQ287" s="14" t="n"/>
      <c r="AR287" s="104" t="n"/>
      <c r="AS287" s="104" t="n"/>
      <c r="AT287" s="105" t="n"/>
      <c r="AU287" s="105" t="n"/>
      <c r="AV287" s="105" t="n"/>
      <c r="AW287" s="105" t="n"/>
      <c r="AX287" s="107" t="n"/>
      <c r="AY287" s="107" t="n"/>
    </row>
    <row r="288" ht="15.75" customHeight="1" s="258">
      <c r="A288" s="96" t="inlineStr">
        <is>
          <t>Etched Chau Gong</t>
        </is>
      </c>
      <c r="B288" s="96" t="inlineStr">
        <is>
          <t>18 in</t>
        </is>
      </c>
      <c r="C288" s="164" t="inlineStr">
        <is>
          <t>MI-ECG-18</t>
        </is>
      </c>
      <c r="D288" s="161">
        <f>3*4200</f>
        <v/>
      </c>
      <c r="E288" s="96" t="n">
        <v>190</v>
      </c>
      <c r="F288" s="96" t="n">
        <v>100</v>
      </c>
      <c r="G288" s="94" t="n">
        <v>83061000</v>
      </c>
      <c r="H288" s="97" t="n">
        <v>0.05</v>
      </c>
      <c r="I288" s="96">
        <f>D289*H289</f>
        <v/>
      </c>
      <c r="J288" s="107" t="n"/>
      <c r="K288" s="96" t="n">
        <v>300</v>
      </c>
      <c r="L288" s="163">
        <f>K289+J289+I289+F289+E289+D289</f>
        <v/>
      </c>
      <c r="M288" s="96">
        <f>D289*1%</f>
        <v/>
      </c>
      <c r="N288" s="99">
        <f>L289*8%</f>
        <v/>
      </c>
      <c r="O288" s="99">
        <f>L289*10%</f>
        <v/>
      </c>
      <c r="P288" s="99">
        <f>L289*5%</f>
        <v/>
      </c>
      <c r="Q288" s="99">
        <f>L289*2%</f>
        <v/>
      </c>
      <c r="R288" s="99">
        <f>AC289*0.5%</f>
        <v/>
      </c>
      <c r="S288" s="99">
        <f>L289*1%</f>
        <v/>
      </c>
      <c r="T288" s="100">
        <f>S289+Q289+P289+O289+N289+M289</f>
        <v/>
      </c>
      <c r="U288" s="96">
        <f>AC289*1%</f>
        <v/>
      </c>
      <c r="V288" s="44">
        <f>AC289*5%</f>
        <v/>
      </c>
      <c r="W288" s="96">
        <f>AC289*1%</f>
        <v/>
      </c>
      <c r="X288" s="96">
        <f>AC289*8%</f>
        <v/>
      </c>
      <c r="Y288" s="96">
        <f>U289+V289+W289+X289</f>
        <v/>
      </c>
      <c r="Z288" s="100">
        <f>Y289+T289+L289</f>
        <v/>
      </c>
      <c r="AA288" s="101">
        <f>Z289*20%</f>
        <v/>
      </c>
      <c r="AB288" s="99">
        <f>Z289+AA289</f>
        <v/>
      </c>
      <c r="AC288" s="96">
        <f>D289*2.1</f>
        <v/>
      </c>
      <c r="AD288" s="99">
        <f>AB289-AC289</f>
        <v/>
      </c>
      <c r="AE288" s="99">
        <f>AD289/AB289*100</f>
        <v/>
      </c>
      <c r="AF288" s="107" t="n"/>
      <c r="AG288" s="102">
        <f>((AF289-L289)/L289)*100</f>
        <v/>
      </c>
      <c r="AH288" s="106">
        <f>AJ289-AF289</f>
        <v/>
      </c>
      <c r="AI288" s="106">
        <f>AB289</f>
        <v/>
      </c>
      <c r="AJ288" s="106" t="n">
        <v>19990</v>
      </c>
      <c r="AK288" s="14">
        <f>(AJ289-L289)/L289*100</f>
        <v/>
      </c>
      <c r="AL288" s="14" t="n"/>
      <c r="AM288" s="14">
        <f>AH289/AJ289%</f>
        <v/>
      </c>
      <c r="AN288" s="14">
        <f>AK289-AG289</f>
        <v/>
      </c>
      <c r="AO288" s="103">
        <f>AJ289/L289</f>
        <v/>
      </c>
      <c r="AP288" s="14">
        <f>(AJ289-AB289)/100</f>
        <v/>
      </c>
      <c r="AQ288" s="14">
        <f>(AJ289-AC289)/100</f>
        <v/>
      </c>
      <c r="AR288" s="104">
        <f>AI289/94</f>
        <v/>
      </c>
      <c r="AS288" s="104">
        <f>AJ289/94</f>
        <v/>
      </c>
      <c r="AT288" s="105">
        <f>AI289/24</f>
        <v/>
      </c>
      <c r="AU288" s="105">
        <f>AJ289/24</f>
        <v/>
      </c>
      <c r="AV288" s="105">
        <f>AI289/125</f>
        <v/>
      </c>
      <c r="AW288" s="105">
        <f>AJ289/125</f>
        <v/>
      </c>
      <c r="AX288" s="107" t="n"/>
      <c r="AY288" s="107" t="n"/>
    </row>
    <row r="289" ht="15.75" customHeight="1" s="258">
      <c r="A289" s="96" t="n"/>
      <c r="B289" s="96" t="inlineStr">
        <is>
          <t>20 in</t>
        </is>
      </c>
      <c r="C289" s="164" t="inlineStr">
        <is>
          <t>MI-ECG-20</t>
        </is>
      </c>
      <c r="D289" s="161">
        <f>4*4200</f>
        <v/>
      </c>
      <c r="E289" s="96" t="n">
        <v>190</v>
      </c>
      <c r="F289" s="96" t="n">
        <v>100</v>
      </c>
      <c r="G289" s="94" t="n">
        <v>83061000</v>
      </c>
      <c r="H289" s="97" t="n">
        <v>0.05</v>
      </c>
      <c r="I289" s="96">
        <f>D290*H290</f>
        <v/>
      </c>
      <c r="J289" s="107" t="n"/>
      <c r="K289" s="96" t="n">
        <v>400</v>
      </c>
      <c r="L289" s="163">
        <f>K290+J290+I290+F290+E290+D290</f>
        <v/>
      </c>
      <c r="M289" s="96">
        <f>D290*1%</f>
        <v/>
      </c>
      <c r="N289" s="99">
        <f>L290*8%</f>
        <v/>
      </c>
      <c r="O289" s="99">
        <f>L290*10%</f>
        <v/>
      </c>
      <c r="P289" s="99">
        <f>L290*5%</f>
        <v/>
      </c>
      <c r="Q289" s="99">
        <f>L290*2%</f>
        <v/>
      </c>
      <c r="R289" s="99">
        <f>AC290*0.5%</f>
        <v/>
      </c>
      <c r="S289" s="99">
        <f>L290*1%</f>
        <v/>
      </c>
      <c r="T289" s="100">
        <f>S290+Q290+P290+O290+N290+M290</f>
        <v/>
      </c>
      <c r="U289" s="96">
        <f>AC290*1%</f>
        <v/>
      </c>
      <c r="V289" s="44">
        <f>AC290*5%</f>
        <v/>
      </c>
      <c r="W289" s="96">
        <f>AC290*1%</f>
        <v/>
      </c>
      <c r="X289" s="96">
        <f>AC290*8%</f>
        <v/>
      </c>
      <c r="Y289" s="96">
        <f>U290+V290+W290+X290</f>
        <v/>
      </c>
      <c r="Z289" s="100">
        <f>Y290+T290+L290</f>
        <v/>
      </c>
      <c r="AA289" s="101">
        <f>Z290*20%</f>
        <v/>
      </c>
      <c r="AB289" s="99">
        <f>Z290+AA290</f>
        <v/>
      </c>
      <c r="AC289" s="96">
        <f>D290*2.1</f>
        <v/>
      </c>
      <c r="AD289" s="99">
        <f>AB290-AC290</f>
        <v/>
      </c>
      <c r="AE289" s="99">
        <f>AD290/AB290*100</f>
        <v/>
      </c>
      <c r="AF289" s="107" t="n"/>
      <c r="AG289" s="102">
        <f>((AF290-L290)/L290)*100</f>
        <v/>
      </c>
      <c r="AH289" s="106">
        <f>AJ290-AF290</f>
        <v/>
      </c>
      <c r="AI289" s="106">
        <f>AB290</f>
        <v/>
      </c>
      <c r="AJ289" s="106" t="n">
        <v>24990</v>
      </c>
      <c r="AK289" s="14">
        <f>(AJ290-L290)/L290*100</f>
        <v/>
      </c>
      <c r="AL289" s="14" t="n"/>
      <c r="AM289" s="14">
        <f>AH290/AJ290%</f>
        <v/>
      </c>
      <c r="AN289" s="14">
        <f>AK290-AG290</f>
        <v/>
      </c>
      <c r="AO289" s="103">
        <f>AJ290/L290</f>
        <v/>
      </c>
      <c r="AP289" s="14">
        <f>(AJ290-AB290)/100</f>
        <v/>
      </c>
      <c r="AQ289" s="14">
        <f>(AJ290-AC290)/100</f>
        <v/>
      </c>
      <c r="AR289" s="104">
        <f>AI290/94</f>
        <v/>
      </c>
      <c r="AS289" s="104">
        <f>AJ290/94</f>
        <v/>
      </c>
      <c r="AT289" s="105">
        <f>AI290/24</f>
        <v/>
      </c>
      <c r="AU289" s="105">
        <f>AJ290/24</f>
        <v/>
      </c>
      <c r="AV289" s="105">
        <f>AI290/125</f>
        <v/>
      </c>
      <c r="AW289" s="105">
        <f>AJ290/125</f>
        <v/>
      </c>
      <c r="AX289" s="107" t="n"/>
      <c r="AY289" s="107" t="n"/>
    </row>
    <row r="290" ht="15.75" customHeight="1" s="258">
      <c r="A290" s="96" t="n"/>
      <c r="B290" s="96" t="inlineStr">
        <is>
          <t>22 in</t>
        </is>
      </c>
      <c r="C290" s="164" t="inlineStr">
        <is>
          <t>MI-ECG-22</t>
        </is>
      </c>
      <c r="D290" s="161">
        <f>5.5*4200</f>
        <v/>
      </c>
      <c r="E290" s="96" t="n">
        <v>190</v>
      </c>
      <c r="F290" s="96" t="n">
        <v>120</v>
      </c>
      <c r="G290" s="94" t="n">
        <v>83061000</v>
      </c>
      <c r="H290" s="97" t="n">
        <v>0.05</v>
      </c>
      <c r="I290" s="96">
        <f>D291*H291</f>
        <v/>
      </c>
      <c r="J290" s="107" t="n"/>
      <c r="K290" s="96" t="n">
        <v>500</v>
      </c>
      <c r="L290" s="163">
        <f>K291+J291+I291+F291+E291+D291</f>
        <v/>
      </c>
      <c r="M290" s="96">
        <f>D291*1%</f>
        <v/>
      </c>
      <c r="N290" s="99">
        <f>L291*8%</f>
        <v/>
      </c>
      <c r="O290" s="99">
        <f>L291*10%</f>
        <v/>
      </c>
      <c r="P290" s="99">
        <f>L291*5%</f>
        <v/>
      </c>
      <c r="Q290" s="99">
        <f>L291*2%</f>
        <v/>
      </c>
      <c r="R290" s="99">
        <f>AC291*0.5%</f>
        <v/>
      </c>
      <c r="S290" s="99">
        <f>L291*1%</f>
        <v/>
      </c>
      <c r="T290" s="100">
        <f>S291+Q291+P291+O291+N291+M291</f>
        <v/>
      </c>
      <c r="U290" s="96">
        <f>AC291*1%</f>
        <v/>
      </c>
      <c r="V290" s="44">
        <f>AC291*5%</f>
        <v/>
      </c>
      <c r="W290" s="96">
        <f>AC291*1%</f>
        <v/>
      </c>
      <c r="X290" s="96">
        <f>AC291*8%</f>
        <v/>
      </c>
      <c r="Y290" s="96">
        <f>U291+V291+W291+X291</f>
        <v/>
      </c>
      <c r="Z290" s="100">
        <f>Y291+T291+L291</f>
        <v/>
      </c>
      <c r="AA290" s="101">
        <f>Z291*20%</f>
        <v/>
      </c>
      <c r="AB290" s="99">
        <f>Z291+AA291</f>
        <v/>
      </c>
      <c r="AC290" s="96">
        <f>D291*2.1</f>
        <v/>
      </c>
      <c r="AD290" s="99">
        <f>AB291-AC291</f>
        <v/>
      </c>
      <c r="AE290" s="99">
        <f>AD291/AB291*100</f>
        <v/>
      </c>
      <c r="AF290" s="107" t="n"/>
      <c r="AG290" s="102">
        <f>((AF291-L291)/L291)*100</f>
        <v/>
      </c>
      <c r="AH290" s="106">
        <f>AJ291-AF291</f>
        <v/>
      </c>
      <c r="AI290" s="106">
        <f>AB291</f>
        <v/>
      </c>
      <c r="AJ290" s="106" t="n">
        <v>32990</v>
      </c>
      <c r="AK290" s="14">
        <f>(AJ291-L291)/L291*100</f>
        <v/>
      </c>
      <c r="AL290" s="14" t="n"/>
      <c r="AM290" s="14">
        <f>AH291/AJ291%</f>
        <v/>
      </c>
      <c r="AN290" s="14">
        <f>AK291-AG291</f>
        <v/>
      </c>
      <c r="AO290" s="103">
        <f>AJ291/L291</f>
        <v/>
      </c>
      <c r="AP290" s="14">
        <f>(AJ291-AB291)/100</f>
        <v/>
      </c>
      <c r="AQ290" s="14">
        <f>(AJ291-AC291)/100</f>
        <v/>
      </c>
      <c r="AR290" s="104">
        <f>AI291/94</f>
        <v/>
      </c>
      <c r="AS290" s="104">
        <f>AJ291/94</f>
        <v/>
      </c>
      <c r="AT290" s="105">
        <f>AI291/24</f>
        <v/>
      </c>
      <c r="AU290" s="105">
        <f>AJ291/24</f>
        <v/>
      </c>
      <c r="AV290" s="105">
        <f>AI291/125</f>
        <v/>
      </c>
      <c r="AW290" s="105">
        <f>AJ291/125</f>
        <v/>
      </c>
      <c r="AX290" s="107" t="n"/>
      <c r="AY290" s="107" t="n"/>
    </row>
    <row r="291" ht="15.75" customHeight="1" s="258">
      <c r="A291" s="96" t="n"/>
      <c r="B291" s="96" t="inlineStr">
        <is>
          <t>24 in</t>
        </is>
      </c>
      <c r="C291" s="164" t="inlineStr">
        <is>
          <t>MI-ECG-24</t>
        </is>
      </c>
      <c r="D291" s="161">
        <f>6.5*4400</f>
        <v/>
      </c>
      <c r="E291" s="96" t="n">
        <v>190</v>
      </c>
      <c r="F291" s="96" t="n">
        <v>140</v>
      </c>
      <c r="G291" s="94" t="n">
        <v>83061000</v>
      </c>
      <c r="H291" s="97" t="n">
        <v>0.05</v>
      </c>
      <c r="I291" s="96">
        <f>D292*H292</f>
        <v/>
      </c>
      <c r="J291" s="107" t="n"/>
      <c r="K291" s="96" t="n">
        <v>600</v>
      </c>
      <c r="L291" s="163">
        <f>K292+J292+I292+F292+E292+D292</f>
        <v/>
      </c>
      <c r="M291" s="96">
        <f>D292*1%</f>
        <v/>
      </c>
      <c r="N291" s="99">
        <f>L292*8%</f>
        <v/>
      </c>
      <c r="O291" s="99">
        <f>L292*10%</f>
        <v/>
      </c>
      <c r="P291" s="99">
        <f>L292*5%</f>
        <v/>
      </c>
      <c r="Q291" s="99">
        <f>L292*2%</f>
        <v/>
      </c>
      <c r="R291" s="99">
        <f>AC292*0.5%</f>
        <v/>
      </c>
      <c r="S291" s="99">
        <f>L292*1%</f>
        <v/>
      </c>
      <c r="T291" s="100">
        <f>S292+Q292+P292+O292+N292+M292</f>
        <v/>
      </c>
      <c r="U291" s="96">
        <f>AC292*1%</f>
        <v/>
      </c>
      <c r="V291" s="44">
        <f>AC292*5%</f>
        <v/>
      </c>
      <c r="W291" s="96">
        <f>AC292*1%</f>
        <v/>
      </c>
      <c r="X291" s="96">
        <f>AC292*8%</f>
        <v/>
      </c>
      <c r="Y291" s="96">
        <f>U292+V292+W292+X292</f>
        <v/>
      </c>
      <c r="Z291" s="100">
        <f>Y292+T292+L292</f>
        <v/>
      </c>
      <c r="AA291" s="101">
        <f>Z292*20%</f>
        <v/>
      </c>
      <c r="AB291" s="99">
        <f>Z292+AA292</f>
        <v/>
      </c>
      <c r="AC291" s="96">
        <f>D292*2.1</f>
        <v/>
      </c>
      <c r="AD291" s="99">
        <f>AB292-AC292</f>
        <v/>
      </c>
      <c r="AE291" s="99">
        <f>AD292/AB292*100</f>
        <v/>
      </c>
      <c r="AF291" s="107" t="n"/>
      <c r="AG291" s="102">
        <f>((AF292-L292)/L292)*100</f>
        <v/>
      </c>
      <c r="AH291" s="106">
        <f>AJ292-AF292</f>
        <v/>
      </c>
      <c r="AI291" s="106">
        <f>AB292</f>
        <v/>
      </c>
      <c r="AJ291" s="106" t="n">
        <v>39990</v>
      </c>
      <c r="AK291" s="14">
        <f>(AJ292-L292)/L292*100</f>
        <v/>
      </c>
      <c r="AL291" s="14" t="n"/>
      <c r="AM291" s="14">
        <f>AH292/AJ292%</f>
        <v/>
      </c>
      <c r="AN291" s="14">
        <f>AK292-AG292</f>
        <v/>
      </c>
      <c r="AO291" s="103">
        <f>AJ292/L292</f>
        <v/>
      </c>
      <c r="AP291" s="14">
        <f>(AJ292-AB292)/100</f>
        <v/>
      </c>
      <c r="AQ291" s="14">
        <f>(AJ292-AC292)/100</f>
        <v/>
      </c>
      <c r="AR291" s="104">
        <f>AI292/94</f>
        <v/>
      </c>
      <c r="AS291" s="104">
        <f>AJ292/94</f>
        <v/>
      </c>
      <c r="AT291" s="105">
        <f>AI292/24</f>
        <v/>
      </c>
      <c r="AU291" s="105">
        <f>AJ292/24</f>
        <v/>
      </c>
      <c r="AV291" s="105">
        <f>AI292/125</f>
        <v/>
      </c>
      <c r="AW291" s="105">
        <f>AJ292/125</f>
        <v/>
      </c>
      <c r="AX291" s="107" t="n"/>
      <c r="AY291" s="107" t="n"/>
    </row>
    <row r="292" ht="15.75" customHeight="1" s="258">
      <c r="A292" s="96" t="n"/>
      <c r="B292" s="96" t="inlineStr">
        <is>
          <t>28 in</t>
        </is>
      </c>
      <c r="C292" s="164" t="inlineStr">
        <is>
          <t>MI-ECG-28</t>
        </is>
      </c>
      <c r="D292" s="161">
        <f>8.5*5000</f>
        <v/>
      </c>
      <c r="E292" s="96" t="n">
        <v>350</v>
      </c>
      <c r="F292" s="96" t="n">
        <v>160</v>
      </c>
      <c r="G292" s="94" t="n">
        <v>83061000</v>
      </c>
      <c r="H292" s="97" t="n">
        <v>0.05</v>
      </c>
      <c r="I292" s="96">
        <f>D293*H293</f>
        <v/>
      </c>
      <c r="J292" s="107" t="n"/>
      <c r="K292" s="96" t="n">
        <v>700</v>
      </c>
      <c r="L292" s="163">
        <f>K293+J293+I293+F293+E293+D293</f>
        <v/>
      </c>
      <c r="M292" s="96">
        <f>D293*1%</f>
        <v/>
      </c>
      <c r="N292" s="99">
        <f>L293*8%</f>
        <v/>
      </c>
      <c r="O292" s="99">
        <f>L293*10%</f>
        <v/>
      </c>
      <c r="P292" s="99">
        <f>L293*5%</f>
        <v/>
      </c>
      <c r="Q292" s="99">
        <f>L293*2%</f>
        <v/>
      </c>
      <c r="R292" s="99">
        <f>AC293*0.5%</f>
        <v/>
      </c>
      <c r="S292" s="99">
        <f>L293*1%</f>
        <v/>
      </c>
      <c r="T292" s="100">
        <f>S293+Q293+P293+O293+N293+M293</f>
        <v/>
      </c>
      <c r="U292" s="96">
        <f>AC293*1%</f>
        <v/>
      </c>
      <c r="V292" s="44">
        <f>AC293*5%</f>
        <v/>
      </c>
      <c r="W292" s="96">
        <f>AC293*1%</f>
        <v/>
      </c>
      <c r="X292" s="96">
        <f>AC293*8%</f>
        <v/>
      </c>
      <c r="Y292" s="96">
        <f>U293+V293+W293+X293</f>
        <v/>
      </c>
      <c r="Z292" s="100">
        <f>Y293+T293+L293</f>
        <v/>
      </c>
      <c r="AA292" s="101">
        <f>Z293*20%</f>
        <v/>
      </c>
      <c r="AB292" s="99">
        <f>Z293+AA293</f>
        <v/>
      </c>
      <c r="AC292" s="96">
        <f>D293*2.1</f>
        <v/>
      </c>
      <c r="AD292" s="99">
        <f>AB293-AC293</f>
        <v/>
      </c>
      <c r="AE292" s="99">
        <f>AD293/AB293*100</f>
        <v/>
      </c>
      <c r="AF292" s="107" t="n"/>
      <c r="AG292" s="102">
        <f>((AF293-L293)/L293)*100</f>
        <v/>
      </c>
      <c r="AH292" s="106">
        <f>AJ293-AF293</f>
        <v/>
      </c>
      <c r="AI292" s="106">
        <f>AB293</f>
        <v/>
      </c>
      <c r="AJ292" s="106" t="n">
        <v>59990</v>
      </c>
      <c r="AK292" s="14">
        <f>(AJ293-L293)/L293*100</f>
        <v/>
      </c>
      <c r="AL292" s="14" t="n"/>
      <c r="AM292" s="14">
        <f>AH293/AJ293%</f>
        <v/>
      </c>
      <c r="AN292" s="14">
        <f>AK293-AG293</f>
        <v/>
      </c>
      <c r="AO292" s="103">
        <f>AJ293/L293</f>
        <v/>
      </c>
      <c r="AP292" s="14">
        <f>(AJ293-AB293)/100</f>
        <v/>
      </c>
      <c r="AQ292" s="14">
        <f>(AJ293-AC293)/100</f>
        <v/>
      </c>
      <c r="AR292" s="104">
        <f>AI293/94</f>
        <v/>
      </c>
      <c r="AS292" s="104">
        <f>AJ293/94</f>
        <v/>
      </c>
      <c r="AT292" s="105">
        <f>AI293/24</f>
        <v/>
      </c>
      <c r="AU292" s="105">
        <f>AJ293/24</f>
        <v/>
      </c>
      <c r="AV292" s="105">
        <f>AI293/125</f>
        <v/>
      </c>
      <c r="AW292" s="105">
        <f>AJ293/125</f>
        <v/>
      </c>
      <c r="AX292" s="107" t="n"/>
      <c r="AY292" s="107" t="n"/>
    </row>
    <row r="293" ht="15.75" customHeight="1" s="258">
      <c r="A293" s="96" t="n"/>
      <c r="B293" s="96" t="inlineStr">
        <is>
          <t>32 in</t>
        </is>
      </c>
      <c r="C293" s="164" t="inlineStr">
        <is>
          <t>MI-ECG-32</t>
        </is>
      </c>
      <c r="D293" s="161">
        <f>12.5*5500</f>
        <v/>
      </c>
      <c r="E293" s="96" t="n">
        <v>350</v>
      </c>
      <c r="F293" s="96" t="n">
        <v>180</v>
      </c>
      <c r="G293" s="94" t="n">
        <v>83061000</v>
      </c>
      <c r="H293" s="97" t="n">
        <v>0.05</v>
      </c>
      <c r="I293" s="96">
        <f>D294*H294</f>
        <v/>
      </c>
      <c r="J293" s="107" t="n"/>
      <c r="K293" s="96" t="n">
        <v>800</v>
      </c>
      <c r="L293" s="163">
        <f>K294+J294+I294+F294+E294+D294</f>
        <v/>
      </c>
      <c r="M293" s="96">
        <f>D294*1%</f>
        <v/>
      </c>
      <c r="N293" s="99">
        <f>L294*8%</f>
        <v/>
      </c>
      <c r="O293" s="99">
        <f>L294*10%</f>
        <v/>
      </c>
      <c r="P293" s="99">
        <f>L294*5%</f>
        <v/>
      </c>
      <c r="Q293" s="99">
        <f>L294*2%</f>
        <v/>
      </c>
      <c r="R293" s="99">
        <f>AC294*0.5%</f>
        <v/>
      </c>
      <c r="S293" s="99">
        <f>L294*1%</f>
        <v/>
      </c>
      <c r="T293" s="100">
        <f>S294+Q294+P294+O294+N294+M294</f>
        <v/>
      </c>
      <c r="U293" s="96">
        <f>AC294*1%</f>
        <v/>
      </c>
      <c r="V293" s="44">
        <f>AC294*5%</f>
        <v/>
      </c>
      <c r="W293" s="96">
        <f>AC294*1%</f>
        <v/>
      </c>
      <c r="X293" s="96">
        <f>AC294*8%</f>
        <v/>
      </c>
      <c r="Y293" s="96">
        <f>U294+V294+W294+X294</f>
        <v/>
      </c>
      <c r="Z293" s="100">
        <f>Y294+T294+L294</f>
        <v/>
      </c>
      <c r="AA293" s="101">
        <f>Z294*20%</f>
        <v/>
      </c>
      <c r="AB293" s="99">
        <f>Z294+AA294</f>
        <v/>
      </c>
      <c r="AC293" s="96">
        <f>D294*2.1</f>
        <v/>
      </c>
      <c r="AD293" s="99">
        <f>AB294-AC294</f>
        <v/>
      </c>
      <c r="AE293" s="99">
        <f>AD294/AB294*100</f>
        <v/>
      </c>
      <c r="AF293" s="107" t="n"/>
      <c r="AG293" s="102">
        <f>((AF294-L294)/L294)*100</f>
        <v/>
      </c>
      <c r="AH293" s="106">
        <f>AJ294-AF294</f>
        <v/>
      </c>
      <c r="AI293" s="106">
        <f>AB294</f>
        <v/>
      </c>
      <c r="AJ293" s="106" t="n">
        <v>99990</v>
      </c>
      <c r="AK293" s="14">
        <f>(AJ294-L294)/L294*100</f>
        <v/>
      </c>
      <c r="AL293" s="14" t="n"/>
      <c r="AM293" s="14">
        <f>AH294/AJ294%</f>
        <v/>
      </c>
      <c r="AN293" s="14">
        <f>AK294-AG294</f>
        <v/>
      </c>
      <c r="AO293" s="103">
        <f>AJ294/L294</f>
        <v/>
      </c>
      <c r="AP293" s="14">
        <f>(AJ294-AB294)/100</f>
        <v/>
      </c>
      <c r="AQ293" s="14">
        <f>(AJ294-AC294)/100</f>
        <v/>
      </c>
      <c r="AR293" s="104">
        <f>AI294/94</f>
        <v/>
      </c>
      <c r="AS293" s="104">
        <f>AJ294/94</f>
        <v/>
      </c>
      <c r="AT293" s="105">
        <f>AI294/24</f>
        <v/>
      </c>
      <c r="AU293" s="105">
        <f>AJ294/24</f>
        <v/>
      </c>
      <c r="AV293" s="105">
        <f>AI294/125</f>
        <v/>
      </c>
      <c r="AW293" s="105">
        <f>AJ294/125</f>
        <v/>
      </c>
      <c r="AX293" s="107" t="n"/>
      <c r="AY293" s="107" t="n"/>
    </row>
    <row r="294" ht="15.75" customHeight="1" s="258">
      <c r="A294" s="96" t="n"/>
      <c r="B294" s="96" t="inlineStr">
        <is>
          <t>36 in</t>
        </is>
      </c>
      <c r="C294" s="164" t="inlineStr">
        <is>
          <t>MI-ECG-36</t>
        </is>
      </c>
      <c r="D294" s="161" t="n"/>
      <c r="E294" s="96" t="n"/>
      <c r="F294" s="96" t="n"/>
      <c r="G294" s="94" t="n"/>
      <c r="H294" s="97" t="n"/>
      <c r="I294" s="96" t="n"/>
      <c r="J294" s="107" t="n"/>
      <c r="K294" s="96" t="n"/>
      <c r="L294" s="98" t="n"/>
      <c r="M294" s="96" t="n"/>
      <c r="N294" s="99" t="n"/>
      <c r="O294" s="99" t="n"/>
      <c r="P294" s="99" t="n"/>
      <c r="Q294" s="99" t="n"/>
      <c r="R294" s="99" t="n"/>
      <c r="S294" s="99" t="n"/>
      <c r="T294" s="98" t="n"/>
      <c r="U294" s="96" t="n"/>
      <c r="V294" s="44">
        <f>AC295*5%</f>
        <v/>
      </c>
      <c r="W294" s="96" t="n"/>
      <c r="X294" s="96" t="n"/>
      <c r="Y294" s="96" t="n"/>
      <c r="Z294" s="100" t="n"/>
      <c r="AA294" s="101" t="n"/>
      <c r="AB294" s="96" t="n"/>
      <c r="AC294" s="96" t="n"/>
      <c r="AD294" s="99" t="n"/>
      <c r="AE294" s="99" t="n"/>
      <c r="AF294" s="107" t="n"/>
      <c r="AG294" s="102" t="n"/>
      <c r="AH294" s="106" t="n"/>
      <c r="AI294" s="106" t="n"/>
      <c r="AJ294" s="106" t="n"/>
      <c r="AK294" s="14" t="n"/>
      <c r="AL294" s="14" t="n"/>
      <c r="AM294" s="14" t="n"/>
      <c r="AN294" s="14" t="n"/>
      <c r="AO294" s="103" t="n"/>
      <c r="AP294" s="14" t="n"/>
      <c r="AQ294" s="14" t="n"/>
      <c r="AR294" s="104" t="n"/>
      <c r="AS294" s="104" t="n"/>
      <c r="AT294" s="105" t="n"/>
      <c r="AU294" s="105" t="n"/>
      <c r="AV294" s="105" t="n"/>
      <c r="AW294" s="105" t="n"/>
      <c r="AX294" s="107" t="n"/>
      <c r="AY294" s="107" t="n"/>
    </row>
    <row r="295" ht="15.75" customHeight="1" s="258">
      <c r="A295" s="165" t="n"/>
      <c r="B295" s="165" t="inlineStr">
        <is>
          <t>28INCH</t>
        </is>
      </c>
      <c r="C295" s="166" t="inlineStr">
        <is>
          <t>MI-ECG-28-2</t>
        </is>
      </c>
      <c r="D295" s="167">
        <f>6.5*6000</f>
        <v/>
      </c>
      <c r="E295" s="167" t="n">
        <v>500</v>
      </c>
      <c r="F295" s="171" t="n">
        <v>100</v>
      </c>
      <c r="G295" s="169" t="n">
        <v>83061000</v>
      </c>
      <c r="H295" s="170" t="n">
        <v>0.05</v>
      </c>
      <c r="I295" s="171">
        <f>E296*H296</f>
        <v/>
      </c>
      <c r="J295" s="172" t="n"/>
      <c r="K295" s="173" t="n">
        <v>300</v>
      </c>
      <c r="L295" s="174">
        <f>K296+J296+I296+F296+E296+D296</f>
        <v/>
      </c>
      <c r="M295" s="171">
        <f>E296*1%</f>
        <v/>
      </c>
      <c r="N295" s="175">
        <f>L296*8%</f>
        <v/>
      </c>
      <c r="O295" s="175">
        <f>L296*10%</f>
        <v/>
      </c>
      <c r="P295" s="175">
        <f>L296*5%</f>
        <v/>
      </c>
      <c r="Q295" s="175">
        <f>L296*2%</f>
        <v/>
      </c>
      <c r="R295" s="175">
        <f>AC296*0.5%</f>
        <v/>
      </c>
      <c r="S295" s="175">
        <f>L296*1%</f>
        <v/>
      </c>
      <c r="T295" s="176">
        <f>S296+Q296+P296+O296+N296+M296</f>
        <v/>
      </c>
      <c r="U295" s="171">
        <f>AC296*1%</f>
        <v/>
      </c>
      <c r="V295" s="44">
        <f>AC296*5%</f>
        <v/>
      </c>
      <c r="W295" s="171">
        <f>AC296*1%</f>
        <v/>
      </c>
      <c r="X295" s="171">
        <f>AC296*8%</f>
        <v/>
      </c>
      <c r="Y295" s="171">
        <f>U296+V296+W296+X296</f>
        <v/>
      </c>
      <c r="Z295" s="176">
        <f>Y296+T296+L296</f>
        <v/>
      </c>
      <c r="AA295" s="177">
        <f>Z296*20%</f>
        <v/>
      </c>
      <c r="AB295" s="175">
        <f>Z296+AA296</f>
        <v/>
      </c>
      <c r="AC295" s="171">
        <f>E296*2.1</f>
        <v/>
      </c>
      <c r="AD295" s="175">
        <f>AB296-AC296</f>
        <v/>
      </c>
      <c r="AE295" s="175">
        <f>AD296/AB296*100</f>
        <v/>
      </c>
      <c r="AF295" s="172" t="n"/>
      <c r="AG295" s="178">
        <f>((AF296-L296)/L296)*100</f>
        <v/>
      </c>
      <c r="AH295" s="179">
        <f>AJ296-AF296</f>
        <v/>
      </c>
      <c r="AI295" s="179">
        <f>AB296</f>
        <v/>
      </c>
      <c r="AJ295" s="179">
        <f>AI296-(AI296*7%)</f>
        <v/>
      </c>
      <c r="AK295" s="180">
        <f>(AJ296-L296)/L296*100</f>
        <v/>
      </c>
      <c r="AL295" s="180" t="n"/>
      <c r="AM295" s="180">
        <f>AH296/AJ296%</f>
        <v/>
      </c>
      <c r="AN295" s="180">
        <f>AK296-AG296</f>
        <v/>
      </c>
      <c r="AO295" s="181">
        <f>AJ296/L296</f>
        <v/>
      </c>
      <c r="AP295" s="180">
        <f>(AJ296-AB296)/100</f>
        <v/>
      </c>
      <c r="AQ295" s="180">
        <f>(AJ296-AC296)/100</f>
        <v/>
      </c>
      <c r="AR295" s="182">
        <f>AI296/94</f>
        <v/>
      </c>
      <c r="AS295" s="182">
        <f>AJ296/94</f>
        <v/>
      </c>
      <c r="AT295" s="183">
        <f>AI296/24</f>
        <v/>
      </c>
      <c r="AU295" s="183">
        <f>AJ296/24</f>
        <v/>
      </c>
      <c r="AV295" s="183">
        <f>AI296/125</f>
        <v/>
      </c>
      <c r="AW295" s="183">
        <f>AJ296/125</f>
        <v/>
      </c>
      <c r="AX295" s="172" t="n"/>
      <c r="AY295" s="172" t="n"/>
    </row>
    <row r="296" ht="15.75" customHeight="1" s="258">
      <c r="A296" s="184" t="n"/>
      <c r="B296" s="184" t="inlineStr">
        <is>
          <t>32INCH</t>
        </is>
      </c>
      <c r="C296" s="185" t="inlineStr">
        <is>
          <t>MI-ECG-32-2</t>
        </is>
      </c>
      <c r="D296" s="186">
        <f>8.5*6500</f>
        <v/>
      </c>
      <c r="E296" s="186" t="n">
        <v>600</v>
      </c>
      <c r="F296" s="76" t="n">
        <v>100</v>
      </c>
      <c r="G296" s="77" t="n">
        <v>83061000</v>
      </c>
      <c r="H296" s="78" t="n">
        <v>0.05</v>
      </c>
      <c r="I296" s="76">
        <f>E297*H297</f>
        <v/>
      </c>
      <c r="J296" s="79" t="n"/>
      <c r="K296" s="187" t="n">
        <v>300</v>
      </c>
      <c r="L296" s="188">
        <f>K297+J297+I297+F297+E297+D297</f>
        <v/>
      </c>
      <c r="M296" s="76">
        <f>E297*1%</f>
        <v/>
      </c>
      <c r="N296" s="81">
        <f>L297*8%</f>
        <v/>
      </c>
      <c r="O296" s="81">
        <f>L297*10%</f>
        <v/>
      </c>
      <c r="P296" s="81">
        <f>L297*5%</f>
        <v/>
      </c>
      <c r="Q296" s="81">
        <f>L297*2%</f>
        <v/>
      </c>
      <c r="R296" s="81">
        <f>AC297*0.5%</f>
        <v/>
      </c>
      <c r="S296" s="81">
        <f>L297*1%</f>
        <v/>
      </c>
      <c r="T296" s="82">
        <f>S297+Q297+P297+O297+N297+M297</f>
        <v/>
      </c>
      <c r="U296" s="76">
        <f>AC297*1%</f>
        <v/>
      </c>
      <c r="V296" s="44">
        <f>AC297*5%</f>
        <v/>
      </c>
      <c r="W296" s="76">
        <f>AC297*1%</f>
        <v/>
      </c>
      <c r="X296" s="76">
        <f>AC297*8%</f>
        <v/>
      </c>
      <c r="Y296" s="76">
        <f>U297+V297+W297+X297</f>
        <v/>
      </c>
      <c r="Z296" s="82">
        <f>Y297+T297+L297</f>
        <v/>
      </c>
      <c r="AA296" s="83">
        <f>Z297*20%</f>
        <v/>
      </c>
      <c r="AB296" s="81">
        <f>Z297+AA297</f>
        <v/>
      </c>
      <c r="AC296" s="76">
        <f>E297*2.1</f>
        <v/>
      </c>
      <c r="AD296" s="81">
        <f>AB297-AC297</f>
        <v/>
      </c>
      <c r="AE296" s="81">
        <f>AD297/AB297*100</f>
        <v/>
      </c>
      <c r="AF296" s="79" t="n"/>
      <c r="AG296" s="84">
        <f>((AF297-L297)/L297)*100</f>
        <v/>
      </c>
      <c r="AH296" s="86">
        <f>AJ297-AF297</f>
        <v/>
      </c>
      <c r="AI296" s="86" t="n">
        <v>84990</v>
      </c>
      <c r="AJ296" s="86" t="n">
        <v>78990</v>
      </c>
      <c r="AK296" s="87">
        <f>(AJ297-L297)/L297*100</f>
        <v/>
      </c>
      <c r="AL296" s="87" t="n"/>
      <c r="AM296" s="87">
        <f>AH297/AJ297%</f>
        <v/>
      </c>
      <c r="AN296" s="87">
        <f>AK297-AG297</f>
        <v/>
      </c>
      <c r="AO296" s="88">
        <f>AJ297/L297</f>
        <v/>
      </c>
      <c r="AP296" s="87">
        <f>(AJ297-AB297)/100</f>
        <v/>
      </c>
      <c r="AQ296" s="87">
        <f>(AJ297-AC297)/100</f>
        <v/>
      </c>
      <c r="AR296" s="89">
        <f>AI297/94</f>
        <v/>
      </c>
      <c r="AS296" s="89">
        <f>AJ297/94</f>
        <v/>
      </c>
      <c r="AT296" s="90">
        <f>AI297/24</f>
        <v/>
      </c>
      <c r="AU296" s="90">
        <f>AJ297/24</f>
        <v/>
      </c>
      <c r="AV296" s="90">
        <f>AI297/125</f>
        <v/>
      </c>
      <c r="AW296" s="90">
        <f>AJ297/125</f>
        <v/>
      </c>
      <c r="AX296" s="79" t="n"/>
      <c r="AY296" s="79" t="n"/>
    </row>
    <row r="297" ht="15.75" customHeight="1" s="258">
      <c r="A297" s="160" t="n"/>
      <c r="B297" s="160" t="inlineStr">
        <is>
          <t>40INCH</t>
        </is>
      </c>
      <c r="C297" s="108" t="inlineStr">
        <is>
          <t>MI-ECG-40</t>
        </is>
      </c>
      <c r="D297" s="161">
        <f>12.5*7000</f>
        <v/>
      </c>
      <c r="E297" s="161" t="n">
        <v>1000</v>
      </c>
      <c r="F297" s="96" t="n">
        <v>100</v>
      </c>
      <c r="G297" s="94" t="n">
        <v>83061000</v>
      </c>
      <c r="H297" s="97" t="n">
        <v>0.05</v>
      </c>
      <c r="I297" s="96">
        <f>E298*H298</f>
        <v/>
      </c>
      <c r="J297" s="107" t="n"/>
      <c r="K297" s="162" t="n">
        <v>300</v>
      </c>
      <c r="L297" s="163">
        <f>K298+J298+I298+F298+E298+D298</f>
        <v/>
      </c>
      <c r="M297" s="96">
        <f>E298*1%</f>
        <v/>
      </c>
      <c r="N297" s="99">
        <f>L298*8%</f>
        <v/>
      </c>
      <c r="O297" s="99">
        <f>L298*10%</f>
        <v/>
      </c>
      <c r="P297" s="99">
        <f>L298*5%</f>
        <v/>
      </c>
      <c r="Q297" s="99">
        <f>L298*2%</f>
        <v/>
      </c>
      <c r="R297" s="99">
        <f>AC298*0.5%</f>
        <v/>
      </c>
      <c r="S297" s="99">
        <f>L298*1%</f>
        <v/>
      </c>
      <c r="T297" s="100">
        <f>S298+Q298+P298+O298+N298+M298</f>
        <v/>
      </c>
      <c r="U297" s="96">
        <f>AC298*1%</f>
        <v/>
      </c>
      <c r="V297" s="44">
        <f>AC298*5%</f>
        <v/>
      </c>
      <c r="W297" s="96">
        <f>AC298*1%</f>
        <v/>
      </c>
      <c r="X297" s="96">
        <f>AC298*8%</f>
        <v/>
      </c>
      <c r="Y297" s="96">
        <f>U298+V298+W298+X298</f>
        <v/>
      </c>
      <c r="Z297" s="100">
        <f>Y298+T298+L298</f>
        <v/>
      </c>
      <c r="AA297" s="101">
        <f>Z298*20%</f>
        <v/>
      </c>
      <c r="AB297" s="99">
        <f>Z298+AA298</f>
        <v/>
      </c>
      <c r="AC297" s="96">
        <f>E298*2.1</f>
        <v/>
      </c>
      <c r="AD297" s="99">
        <f>AB298-AC298</f>
        <v/>
      </c>
      <c r="AE297" s="99">
        <f>AD298/AB298*100</f>
        <v/>
      </c>
      <c r="AF297" s="107" t="n"/>
      <c r="AG297" s="102">
        <f>((AF298-L298)/L298)*100</f>
        <v/>
      </c>
      <c r="AH297" s="106">
        <f>AJ298-AF298</f>
        <v/>
      </c>
      <c r="AI297" s="106" t="n">
        <v>39990</v>
      </c>
      <c r="AJ297" s="106" t="n">
        <v>37990</v>
      </c>
      <c r="AK297" s="14">
        <f>(AJ298-L298)/L298*100</f>
        <v/>
      </c>
      <c r="AL297" s="14" t="n"/>
      <c r="AM297" s="14">
        <f>AH298/AJ298%</f>
        <v/>
      </c>
      <c r="AN297" s="14">
        <f>AK298-AG298</f>
        <v/>
      </c>
      <c r="AO297" s="103">
        <f>AJ298/L298</f>
        <v/>
      </c>
      <c r="AP297" s="14">
        <f>(AJ298-AB298)/100</f>
        <v/>
      </c>
      <c r="AQ297" s="14">
        <f>(AJ298-AC298)/100</f>
        <v/>
      </c>
      <c r="AR297" s="104">
        <f>AI298/94</f>
        <v/>
      </c>
      <c r="AS297" s="104">
        <f>AJ298/94</f>
        <v/>
      </c>
      <c r="AT297" s="105">
        <f>AI298/24</f>
        <v/>
      </c>
      <c r="AU297" s="105">
        <f>AJ298/24</f>
        <v/>
      </c>
      <c r="AV297" s="105">
        <f>AI298/125</f>
        <v/>
      </c>
      <c r="AW297" s="105">
        <f>AJ298/125</f>
        <v/>
      </c>
      <c r="AX297" s="107" t="n"/>
      <c r="AY297" s="107" t="n"/>
    </row>
    <row r="298" ht="15.75" customHeight="1" s="258">
      <c r="A298" s="160" t="inlineStr">
        <is>
          <t>WIND GONG PLAIN</t>
        </is>
      </c>
      <c r="B298" s="160" t="inlineStr">
        <is>
          <t>14 INCh</t>
        </is>
      </c>
      <c r="C298" s="108" t="inlineStr">
        <is>
          <t>MI-WGP-14</t>
        </is>
      </c>
      <c r="D298" s="161">
        <f>3200*1.5</f>
        <v/>
      </c>
      <c r="E298" s="161" t="n">
        <v>200</v>
      </c>
      <c r="F298" s="96" t="n">
        <v>100</v>
      </c>
      <c r="G298" s="94" t="n">
        <v>83061000</v>
      </c>
      <c r="H298" s="97" t="n">
        <v>0.05</v>
      </c>
      <c r="I298" s="96">
        <f>E299*H299</f>
        <v/>
      </c>
      <c r="J298" s="107" t="n"/>
      <c r="K298" s="162" t="n">
        <v>300</v>
      </c>
      <c r="L298" s="163">
        <f>K299+J299+I299+F299+E299+D299</f>
        <v/>
      </c>
      <c r="M298" s="96">
        <f>E299*1%</f>
        <v/>
      </c>
      <c r="N298" s="99">
        <f>L299*8%</f>
        <v/>
      </c>
      <c r="O298" s="99">
        <f>L299*10%</f>
        <v/>
      </c>
      <c r="P298" s="99">
        <f>L299*5%</f>
        <v/>
      </c>
      <c r="Q298" s="99">
        <f>L299*2%</f>
        <v/>
      </c>
      <c r="R298" s="99">
        <f>AC299*0.5%</f>
        <v/>
      </c>
      <c r="S298" s="99">
        <f>L299*1%</f>
        <v/>
      </c>
      <c r="T298" s="100">
        <f>S299+Q299+P299+O299+N299+M299</f>
        <v/>
      </c>
      <c r="U298" s="96">
        <f>AC299*1%</f>
        <v/>
      </c>
      <c r="V298" s="44">
        <f>AC299*5%</f>
        <v/>
      </c>
      <c r="W298" s="96">
        <f>AC299*1%</f>
        <v/>
      </c>
      <c r="X298" s="96">
        <f>AC299*8%</f>
        <v/>
      </c>
      <c r="Y298" s="96">
        <f>U299+V299+W299+X299</f>
        <v/>
      </c>
      <c r="Z298" s="100">
        <f>Y299+T299+L299</f>
        <v/>
      </c>
      <c r="AA298" s="101">
        <f>Z299*20%</f>
        <v/>
      </c>
      <c r="AB298" s="99">
        <f>Z299+AA299</f>
        <v/>
      </c>
      <c r="AC298" s="96">
        <f>E299*2.1</f>
        <v/>
      </c>
      <c r="AD298" s="99">
        <f>AB299-AC299</f>
        <v/>
      </c>
      <c r="AE298" s="99">
        <f>AD299/AB299*100</f>
        <v/>
      </c>
      <c r="AF298" s="101" t="n"/>
      <c r="AG298" s="102">
        <f>((AF299-L299)/L299)*100</f>
        <v/>
      </c>
      <c r="AH298" s="106">
        <f>AJ299-AF299</f>
        <v/>
      </c>
      <c r="AI298" s="106" t="n">
        <v>7990</v>
      </c>
      <c r="AJ298" s="106" t="n">
        <v>7690</v>
      </c>
      <c r="AK298" s="14">
        <f>(AJ299-L299)/L299*100</f>
        <v/>
      </c>
      <c r="AL298" s="14" t="n"/>
      <c r="AM298" s="14">
        <f>AH299/AJ299%</f>
        <v/>
      </c>
      <c r="AN298" s="14">
        <f>AK299-AG299</f>
        <v/>
      </c>
      <c r="AO298" s="103">
        <f>AJ299/L299</f>
        <v/>
      </c>
      <c r="AP298" s="14">
        <f>(AJ299-AB299)/100</f>
        <v/>
      </c>
      <c r="AQ298" s="14">
        <f>(AJ299-AC299)/100</f>
        <v/>
      </c>
      <c r="AR298" s="104">
        <f>AI299/94</f>
        <v/>
      </c>
      <c r="AS298" s="104">
        <f>AJ299/94</f>
        <v/>
      </c>
      <c r="AT298" s="105">
        <f>AI299/24</f>
        <v/>
      </c>
      <c r="AU298" s="105">
        <f>AJ299/24</f>
        <v/>
      </c>
      <c r="AV298" s="105">
        <f>AI299/125</f>
        <v/>
      </c>
      <c r="AW298" s="105">
        <f>AJ299/125</f>
        <v/>
      </c>
      <c r="AX298" s="107" t="n"/>
      <c r="AY298" s="107" t="n"/>
    </row>
    <row r="299" ht="15.75" customHeight="1" s="258">
      <c r="A299" s="160" t="n"/>
      <c r="B299" s="160" t="inlineStr">
        <is>
          <t>16INCH</t>
        </is>
      </c>
      <c r="C299" s="108" t="inlineStr">
        <is>
          <t>MI-WGP-16</t>
        </is>
      </c>
      <c r="D299" s="161">
        <f>3200*2</f>
        <v/>
      </c>
      <c r="E299" s="161" t="n">
        <v>200</v>
      </c>
      <c r="F299" s="96" t="n">
        <v>100</v>
      </c>
      <c r="G299" s="94" t="n">
        <v>83061000</v>
      </c>
      <c r="H299" s="97" t="n">
        <v>0.05</v>
      </c>
      <c r="I299" s="96">
        <f>E300*H300</f>
        <v/>
      </c>
      <c r="J299" s="107" t="n"/>
      <c r="K299" s="162" t="n">
        <v>300</v>
      </c>
      <c r="L299" s="163">
        <f>K300+J300+I300+F300+E300+D300</f>
        <v/>
      </c>
      <c r="M299" s="96">
        <f>E300*1%</f>
        <v/>
      </c>
      <c r="N299" s="99">
        <f>L300*8%</f>
        <v/>
      </c>
      <c r="O299" s="99">
        <f>L300*10%</f>
        <v/>
      </c>
      <c r="P299" s="99">
        <f>L300*5%</f>
        <v/>
      </c>
      <c r="Q299" s="99">
        <f>L300*2%</f>
        <v/>
      </c>
      <c r="R299" s="99">
        <f>AC300*0.5%</f>
        <v/>
      </c>
      <c r="S299" s="99">
        <f>L300*1%</f>
        <v/>
      </c>
      <c r="T299" s="100">
        <f>S300+Q300+P300+O300+N300+M300</f>
        <v/>
      </c>
      <c r="U299" s="96">
        <f>AC300*1%</f>
        <v/>
      </c>
      <c r="V299" s="44">
        <f>AC300*5%</f>
        <v/>
      </c>
      <c r="W299" s="96">
        <f>AC300*1%</f>
        <v/>
      </c>
      <c r="X299" s="96">
        <f>AC300*8%</f>
        <v/>
      </c>
      <c r="Y299" s="96">
        <f>U300+V300+W300+X300</f>
        <v/>
      </c>
      <c r="Z299" s="100">
        <f>Y300+T300+L300</f>
        <v/>
      </c>
      <c r="AA299" s="101">
        <f>Z300*20%</f>
        <v/>
      </c>
      <c r="AB299" s="99">
        <f>Z300+AA300</f>
        <v/>
      </c>
      <c r="AC299" s="96">
        <f>E300*2.1</f>
        <v/>
      </c>
      <c r="AD299" s="96">
        <f>E300*2.1</f>
        <v/>
      </c>
      <c r="AE299" s="99">
        <f>AC300-AD300</f>
        <v/>
      </c>
      <c r="AF299" s="101" t="n"/>
      <c r="AG299" s="102">
        <f>((AF300-L300)/L300)*100</f>
        <v/>
      </c>
      <c r="AH299" s="106">
        <f>AJ300-AF300</f>
        <v/>
      </c>
      <c r="AI299" s="106" t="n">
        <v>10990</v>
      </c>
      <c r="AJ299" s="106" t="n">
        <v>9990</v>
      </c>
      <c r="AK299" s="14">
        <f>(AJ300-L300)/L300*100</f>
        <v/>
      </c>
      <c r="AL299" s="14" t="n"/>
      <c r="AM299" s="14">
        <f>AH300/AJ300%</f>
        <v/>
      </c>
      <c r="AN299" s="14">
        <f>AK300-AG300</f>
        <v/>
      </c>
      <c r="AO299" s="103">
        <f>AJ300/L300</f>
        <v/>
      </c>
      <c r="AP299" s="14">
        <f>(AJ300-AB300)/100</f>
        <v/>
      </c>
      <c r="AQ299" s="14">
        <f>(AJ300-AC300)/100</f>
        <v/>
      </c>
      <c r="AR299" s="104">
        <f>AI300/94</f>
        <v/>
      </c>
      <c r="AS299" s="104">
        <f>AJ300/94</f>
        <v/>
      </c>
      <c r="AT299" s="105">
        <f>AI300/24</f>
        <v/>
      </c>
      <c r="AU299" s="105">
        <f>AJ300/24</f>
        <v/>
      </c>
      <c r="AV299" s="105">
        <f>AI300/125</f>
        <v/>
      </c>
      <c r="AW299" s="105">
        <f>AJ300/125</f>
        <v/>
      </c>
      <c r="AX299" s="107" t="n"/>
      <c r="AY299" s="107" t="n"/>
    </row>
    <row r="300" ht="15.75" customHeight="1" s="258">
      <c r="A300" s="160" t="n"/>
      <c r="B300" s="160" t="inlineStr">
        <is>
          <t>18INCH</t>
        </is>
      </c>
      <c r="C300" s="108" t="inlineStr">
        <is>
          <t>MI-WGP-18</t>
        </is>
      </c>
      <c r="D300" s="161">
        <f>3200*2.5</f>
        <v/>
      </c>
      <c r="E300" s="161" t="n">
        <v>200</v>
      </c>
      <c r="F300" s="96" t="n">
        <v>100</v>
      </c>
      <c r="G300" s="94" t="n">
        <v>83061000</v>
      </c>
      <c r="H300" s="97" t="n">
        <v>0.05</v>
      </c>
      <c r="I300" s="96">
        <f>E301*H301</f>
        <v/>
      </c>
      <c r="J300" s="107" t="n"/>
      <c r="K300" s="162" t="n">
        <v>300</v>
      </c>
      <c r="L300" s="163">
        <f>K301+J301+I301+F301+E301+D301</f>
        <v/>
      </c>
      <c r="M300" s="96">
        <f>E301*1%</f>
        <v/>
      </c>
      <c r="N300" s="99">
        <f>L301*8%</f>
        <v/>
      </c>
      <c r="O300" s="99">
        <f>L301*10%</f>
        <v/>
      </c>
      <c r="P300" s="99">
        <f>L301*5%</f>
        <v/>
      </c>
      <c r="Q300" s="99">
        <f>L301*2%</f>
        <v/>
      </c>
      <c r="R300" s="99">
        <f>AC301*0.5%</f>
        <v/>
      </c>
      <c r="S300" s="99">
        <f>L301*1%</f>
        <v/>
      </c>
      <c r="T300" s="100">
        <f>S301+Q301+P301+O301+N301+M301</f>
        <v/>
      </c>
      <c r="U300" s="96">
        <f>AC301*1%</f>
        <v/>
      </c>
      <c r="V300" s="44">
        <f>AC301*5%</f>
        <v/>
      </c>
      <c r="W300" s="96">
        <f>AC301*1%</f>
        <v/>
      </c>
      <c r="X300" s="96">
        <f>AC301*8%</f>
        <v/>
      </c>
      <c r="Y300" s="96">
        <f>U301+V301+W301+X301</f>
        <v/>
      </c>
      <c r="Z300" s="100">
        <f>Y301+T301+L301</f>
        <v/>
      </c>
      <c r="AA300" s="101">
        <f>Z301*20%</f>
        <v/>
      </c>
      <c r="AB300" s="99">
        <f>Z301+AA301</f>
        <v/>
      </c>
      <c r="AC300" s="96">
        <f>E301*2.1</f>
        <v/>
      </c>
      <c r="AD300" s="99">
        <f>AB301-AC301</f>
        <v/>
      </c>
      <c r="AE300" s="99">
        <f>AD301/AB301*100</f>
        <v/>
      </c>
      <c r="AF300" s="101" t="n"/>
      <c r="AG300" s="102">
        <f>((AF301-L301)/L301)*100</f>
        <v/>
      </c>
      <c r="AH300" s="106">
        <f>AJ301-AF301</f>
        <v/>
      </c>
      <c r="AI300" s="106" t="n">
        <v>12990</v>
      </c>
      <c r="AJ300" s="106" t="n">
        <v>11990</v>
      </c>
      <c r="AK300" s="14">
        <f>(AJ301-L301)/L301*100</f>
        <v/>
      </c>
      <c r="AL300" s="14" t="n"/>
      <c r="AM300" s="14">
        <f>AH301/AJ301%</f>
        <v/>
      </c>
      <c r="AN300" s="14">
        <f>AK301-AG301</f>
        <v/>
      </c>
      <c r="AO300" s="103">
        <f>AJ301/L301</f>
        <v/>
      </c>
      <c r="AP300" s="14">
        <f>(AJ301-AB301)/100</f>
        <v/>
      </c>
      <c r="AQ300" s="14">
        <f>(AJ301-AC301)/100</f>
        <v/>
      </c>
      <c r="AR300" s="104">
        <f>AI301/94</f>
        <v/>
      </c>
      <c r="AS300" s="104">
        <f>AJ301/94</f>
        <v/>
      </c>
      <c r="AT300" s="105">
        <f>AI301/24</f>
        <v/>
      </c>
      <c r="AU300" s="105">
        <f>AJ301/24</f>
        <v/>
      </c>
      <c r="AV300" s="105">
        <f>AI301/125</f>
        <v/>
      </c>
      <c r="AW300" s="105">
        <f>AJ301/125</f>
        <v/>
      </c>
      <c r="AX300" s="107" t="n"/>
      <c r="AY300" s="107" t="n"/>
    </row>
    <row r="301" ht="15.75" customHeight="1" s="258">
      <c r="A301" s="160" t="n"/>
      <c r="B301" s="160" t="inlineStr">
        <is>
          <t>20INCH</t>
        </is>
      </c>
      <c r="C301" s="108" t="inlineStr">
        <is>
          <t>MI-WGP-20</t>
        </is>
      </c>
      <c r="D301" s="161">
        <f>3200*3.5</f>
        <v/>
      </c>
      <c r="E301" s="161" t="n">
        <v>300</v>
      </c>
      <c r="F301" s="96" t="n">
        <v>100</v>
      </c>
      <c r="G301" s="94" t="n">
        <v>83061000</v>
      </c>
      <c r="H301" s="97" t="n">
        <v>0.05</v>
      </c>
      <c r="I301" s="96">
        <f>E302*H302</f>
        <v/>
      </c>
      <c r="J301" s="107" t="n"/>
      <c r="K301" s="162" t="n">
        <v>300</v>
      </c>
      <c r="L301" s="163">
        <f>K302+J302+I302+F302+E302+D302</f>
        <v/>
      </c>
      <c r="M301" s="96">
        <f>E302*1%</f>
        <v/>
      </c>
      <c r="N301" s="99">
        <f>L302*8%</f>
        <v/>
      </c>
      <c r="O301" s="99">
        <f>L302*10%</f>
        <v/>
      </c>
      <c r="P301" s="99">
        <f>L302*5%</f>
        <v/>
      </c>
      <c r="Q301" s="99">
        <f>L302*2%</f>
        <v/>
      </c>
      <c r="R301" s="99">
        <f>AC302*0.5%</f>
        <v/>
      </c>
      <c r="S301" s="99">
        <f>L302*1%</f>
        <v/>
      </c>
      <c r="T301" s="100">
        <f>S302+Q302+P302+O302+N302+M302</f>
        <v/>
      </c>
      <c r="U301" s="96">
        <f>AC302*1%</f>
        <v/>
      </c>
      <c r="V301" s="44">
        <f>AC302*5%</f>
        <v/>
      </c>
      <c r="W301" s="96">
        <f>AC302*1%</f>
        <v/>
      </c>
      <c r="X301" s="96">
        <f>AC302*8%</f>
        <v/>
      </c>
      <c r="Y301" s="96">
        <f>U302+V302+W302+X302</f>
        <v/>
      </c>
      <c r="Z301" s="100">
        <f>Y302+T302+L302</f>
        <v/>
      </c>
      <c r="AA301" s="101">
        <f>Z302*20%</f>
        <v/>
      </c>
      <c r="AB301" s="99">
        <f>Z302+AA302</f>
        <v/>
      </c>
      <c r="AC301" s="96">
        <f>E302*2.1</f>
        <v/>
      </c>
      <c r="AD301" s="96">
        <f>E302*2.1</f>
        <v/>
      </c>
      <c r="AE301" s="99">
        <f>AC302-AD302</f>
        <v/>
      </c>
      <c r="AF301" s="101" t="n"/>
      <c r="AG301" s="102">
        <f>((AF302-L302)/L302)*100</f>
        <v/>
      </c>
      <c r="AH301" s="106">
        <f>AJ302-AF302</f>
        <v/>
      </c>
      <c r="AI301" s="106" t="n">
        <v>37990</v>
      </c>
      <c r="AJ301" s="106" t="n">
        <v>34990</v>
      </c>
      <c r="AK301" s="14">
        <f>(AJ302-L302)/L302*100</f>
        <v/>
      </c>
      <c r="AL301" s="14" t="n"/>
      <c r="AM301" s="14">
        <f>AH302/AJ302%</f>
        <v/>
      </c>
      <c r="AN301" s="14">
        <f>AK302-AG302</f>
        <v/>
      </c>
      <c r="AO301" s="103">
        <f>AJ302/L302</f>
        <v/>
      </c>
      <c r="AP301" s="14">
        <f>(AJ302-AB302)/100</f>
        <v/>
      </c>
      <c r="AQ301" s="14">
        <f>(AJ302-AC302)/100</f>
        <v/>
      </c>
      <c r="AR301" s="104">
        <f>AI302/94</f>
        <v/>
      </c>
      <c r="AS301" s="104">
        <f>AJ302/94</f>
        <v/>
      </c>
      <c r="AT301" s="105">
        <f>AI302/24</f>
        <v/>
      </c>
      <c r="AU301" s="105">
        <f>AJ302/24</f>
        <v/>
      </c>
      <c r="AV301" s="105">
        <f>AI302/125</f>
        <v/>
      </c>
      <c r="AW301" s="105">
        <f>AJ302/125</f>
        <v/>
      </c>
      <c r="AX301" s="107" t="n"/>
      <c r="AY301" s="107" t="n"/>
    </row>
    <row r="302" ht="15.75" customHeight="1" s="258">
      <c r="A302" s="160" t="n"/>
      <c r="B302" s="160" t="inlineStr">
        <is>
          <t>22INCH</t>
        </is>
      </c>
      <c r="C302" s="108" t="inlineStr">
        <is>
          <t>MI-WGP-22</t>
        </is>
      </c>
      <c r="D302" s="161">
        <f>3200*4.2</f>
        <v/>
      </c>
      <c r="E302" s="161" t="n">
        <v>300</v>
      </c>
      <c r="F302" s="96" t="n">
        <v>100</v>
      </c>
      <c r="G302" s="94" t="n">
        <v>83061000</v>
      </c>
      <c r="H302" s="97" t="n">
        <v>0.05</v>
      </c>
      <c r="I302" s="96">
        <f>E303*H303</f>
        <v/>
      </c>
      <c r="J302" s="107" t="n"/>
      <c r="K302" s="162" t="n">
        <v>300</v>
      </c>
      <c r="L302" s="163">
        <f>K303+J303+I303+F303+E303+D303</f>
        <v/>
      </c>
      <c r="M302" s="96">
        <f>E303*1%</f>
        <v/>
      </c>
      <c r="N302" s="99">
        <f>L303*8%</f>
        <v/>
      </c>
      <c r="O302" s="99">
        <f>L303*10%</f>
        <v/>
      </c>
      <c r="P302" s="99">
        <f>L303*5%</f>
        <v/>
      </c>
      <c r="Q302" s="99">
        <f>L303*2%</f>
        <v/>
      </c>
      <c r="R302" s="99">
        <f>AC303*0.5%</f>
        <v/>
      </c>
      <c r="S302" s="99">
        <f>L303*1%</f>
        <v/>
      </c>
      <c r="T302" s="100">
        <f>S303+Q303+P303+O303+N303+M303</f>
        <v/>
      </c>
      <c r="U302" s="96">
        <f>AC303*1%</f>
        <v/>
      </c>
      <c r="V302" s="44">
        <f>AC303*5%</f>
        <v/>
      </c>
      <c r="W302" s="96">
        <f>AC303*1%</f>
        <v/>
      </c>
      <c r="X302" s="96">
        <f>AC303*8%</f>
        <v/>
      </c>
      <c r="Y302" s="96">
        <f>U303+V303+W303+X303</f>
        <v/>
      </c>
      <c r="Z302" s="100">
        <f>Y303+T303+L303</f>
        <v/>
      </c>
      <c r="AA302" s="101">
        <f>Z303*20%</f>
        <v/>
      </c>
      <c r="AB302" s="99">
        <f>Z303+AA303</f>
        <v/>
      </c>
      <c r="AC302" s="96">
        <f>E303*2.1</f>
        <v/>
      </c>
      <c r="AD302" s="99">
        <f>AB303-AC303</f>
        <v/>
      </c>
      <c r="AE302" s="99">
        <f>AD303/AB303*100</f>
        <v/>
      </c>
      <c r="AF302" s="101" t="n"/>
      <c r="AG302" s="102">
        <f>((AF303-L303)/L303)*100</f>
        <v/>
      </c>
      <c r="AH302" s="106">
        <f>AJ303-AF303</f>
        <v/>
      </c>
      <c r="AI302" s="106" t="n">
        <v>20990</v>
      </c>
      <c r="AJ302" s="106" t="n">
        <v>19990</v>
      </c>
      <c r="AK302" s="14">
        <f>(AJ303-L303)/L303*100</f>
        <v/>
      </c>
      <c r="AL302" s="14" t="n"/>
      <c r="AM302" s="14">
        <f>AH303/AJ303%</f>
        <v/>
      </c>
      <c r="AN302" s="14">
        <f>AK303-AG303</f>
        <v/>
      </c>
      <c r="AO302" s="103">
        <f>AJ303/L303</f>
        <v/>
      </c>
      <c r="AP302" s="14">
        <f>(AJ303-AB303)/100</f>
        <v/>
      </c>
      <c r="AQ302" s="14">
        <f>(AJ303-AC303)/100</f>
        <v/>
      </c>
      <c r="AR302" s="104">
        <f>AI303/94</f>
        <v/>
      </c>
      <c r="AS302" s="104">
        <f>AJ303/94</f>
        <v/>
      </c>
      <c r="AT302" s="105">
        <f>AI303/24</f>
        <v/>
      </c>
      <c r="AU302" s="105">
        <f>AJ303/24</f>
        <v/>
      </c>
      <c r="AV302" s="105">
        <f>AI303/125</f>
        <v/>
      </c>
      <c r="AW302" s="105">
        <f>AJ303/125</f>
        <v/>
      </c>
      <c r="AX302" s="107" t="n"/>
      <c r="AY302" s="107" t="n"/>
    </row>
    <row r="303" ht="15.75" customHeight="1" s="258">
      <c r="A303" s="160" t="n"/>
      <c r="B303" s="160" t="inlineStr">
        <is>
          <t>24INCH</t>
        </is>
      </c>
      <c r="C303" s="108" t="inlineStr">
        <is>
          <t>MI-WGP-24</t>
        </is>
      </c>
      <c r="D303" s="161">
        <f>3200*5.5</f>
        <v/>
      </c>
      <c r="E303" s="161" t="n">
        <v>300</v>
      </c>
      <c r="F303" s="96" t="n">
        <v>100</v>
      </c>
      <c r="G303" s="94" t="n">
        <v>83061000</v>
      </c>
      <c r="H303" s="97" t="n">
        <v>0.05</v>
      </c>
      <c r="I303" s="96">
        <f>E304*H304</f>
        <v/>
      </c>
      <c r="J303" s="107" t="n"/>
      <c r="K303" s="162" t="n">
        <v>300</v>
      </c>
      <c r="L303" s="163">
        <f>K304+J304+I304+F304+E304+D304</f>
        <v/>
      </c>
      <c r="M303" s="96">
        <f>E304*1%</f>
        <v/>
      </c>
      <c r="N303" s="99">
        <f>L304*8%</f>
        <v/>
      </c>
      <c r="O303" s="99">
        <f>L304*10%</f>
        <v/>
      </c>
      <c r="P303" s="99">
        <f>L304*5%</f>
        <v/>
      </c>
      <c r="Q303" s="99">
        <f>L304*2%</f>
        <v/>
      </c>
      <c r="R303" s="99">
        <f>AC304*0.5%</f>
        <v/>
      </c>
      <c r="S303" s="99">
        <f>L304*1%</f>
        <v/>
      </c>
      <c r="T303" s="100">
        <f>S304+Q304+P304+O304+N304+M304</f>
        <v/>
      </c>
      <c r="U303" s="96">
        <f>AC304*1%</f>
        <v/>
      </c>
      <c r="V303" s="44">
        <f>AC304*5%</f>
        <v/>
      </c>
      <c r="W303" s="96">
        <f>AC304*1%</f>
        <v/>
      </c>
      <c r="X303" s="96">
        <f>AC304*8%</f>
        <v/>
      </c>
      <c r="Y303" s="96">
        <f>U304+V304+W304+X304</f>
        <v/>
      </c>
      <c r="Z303" s="100">
        <f>Y304+T304+L304</f>
        <v/>
      </c>
      <c r="AA303" s="101">
        <f>Z304*20%</f>
        <v/>
      </c>
      <c r="AB303" s="99">
        <f>Z304+AA304</f>
        <v/>
      </c>
      <c r="AC303" s="96">
        <f>E304*2.1</f>
        <v/>
      </c>
      <c r="AD303" s="96">
        <f>E304*2.1</f>
        <v/>
      </c>
      <c r="AE303" s="99">
        <f>AC304-AD304</f>
        <v/>
      </c>
      <c r="AF303" s="101" t="n"/>
      <c r="AG303" s="102">
        <f>((AF304-L304)/L304)*100</f>
        <v/>
      </c>
      <c r="AH303" s="106">
        <f>AJ304-AF304</f>
        <v/>
      </c>
      <c r="AI303" s="106" t="n">
        <v>27990</v>
      </c>
      <c r="AJ303" s="106" t="n">
        <v>25990</v>
      </c>
      <c r="AK303" s="14">
        <f>(AJ304-L304)/L304*100</f>
        <v/>
      </c>
      <c r="AL303" s="14" t="n"/>
      <c r="AM303" s="14">
        <f>AH304/AJ304%</f>
        <v/>
      </c>
      <c r="AN303" s="14">
        <f>AK304-AG304</f>
        <v/>
      </c>
      <c r="AO303" s="103">
        <f>AJ304/L304</f>
        <v/>
      </c>
      <c r="AP303" s="14">
        <f>(AJ304-AB304)/100</f>
        <v/>
      </c>
      <c r="AQ303" s="14">
        <f>(AJ304-AC304)/100</f>
        <v/>
      </c>
      <c r="AR303" s="104">
        <f>AI304/94</f>
        <v/>
      </c>
      <c r="AS303" s="104">
        <f>AJ304/94</f>
        <v/>
      </c>
      <c r="AT303" s="105">
        <f>AI304/24</f>
        <v/>
      </c>
      <c r="AU303" s="105">
        <f>AJ304/24</f>
        <v/>
      </c>
      <c r="AV303" s="105">
        <f>AI304/125</f>
        <v/>
      </c>
      <c r="AW303" s="105">
        <f>AJ304/125</f>
        <v/>
      </c>
      <c r="AX303" s="107" t="n"/>
      <c r="AY303" s="107" t="n"/>
    </row>
    <row r="304" ht="15.75" customHeight="1" s="258">
      <c r="A304" s="160" t="n"/>
      <c r="B304" s="160" t="inlineStr">
        <is>
          <t>26INCH</t>
        </is>
      </c>
      <c r="C304" s="108" t="inlineStr">
        <is>
          <t>MI-WGP-26</t>
        </is>
      </c>
      <c r="D304" s="161">
        <f>3200*7</f>
        <v/>
      </c>
      <c r="E304" s="161" t="n">
        <v>500</v>
      </c>
      <c r="F304" s="96" t="n">
        <v>100</v>
      </c>
      <c r="G304" s="94" t="n">
        <v>83061000</v>
      </c>
      <c r="H304" s="97" t="n">
        <v>0.05</v>
      </c>
      <c r="I304" s="96">
        <f>E305*H305</f>
        <v/>
      </c>
      <c r="J304" s="107" t="n"/>
      <c r="K304" s="162" t="n">
        <v>300</v>
      </c>
      <c r="L304" s="163">
        <f>K305+J305+I305+F305+E305+D305</f>
        <v/>
      </c>
      <c r="M304" s="96">
        <f>E305*1%</f>
        <v/>
      </c>
      <c r="N304" s="99">
        <f>L305*8%</f>
        <v/>
      </c>
      <c r="O304" s="99">
        <f>L305*10%</f>
        <v/>
      </c>
      <c r="P304" s="99">
        <f>L305*5%</f>
        <v/>
      </c>
      <c r="Q304" s="99">
        <f>L305*2%</f>
        <v/>
      </c>
      <c r="R304" s="99">
        <f>AC305*0.5%</f>
        <v/>
      </c>
      <c r="S304" s="99">
        <f>L305*1%</f>
        <v/>
      </c>
      <c r="T304" s="100">
        <f>S305+Q305+P305+O305+N305+M305</f>
        <v/>
      </c>
      <c r="U304" s="96">
        <f>AC305*1%</f>
        <v/>
      </c>
      <c r="V304" s="44">
        <f>AC305*5%</f>
        <v/>
      </c>
      <c r="W304" s="96">
        <f>AC305*1%</f>
        <v/>
      </c>
      <c r="X304" s="96">
        <f>AC305*8%</f>
        <v/>
      </c>
      <c r="Y304" s="96">
        <f>U305+V305+W305+X305</f>
        <v/>
      </c>
      <c r="Z304" s="100">
        <f>Y305+T305+L305</f>
        <v/>
      </c>
      <c r="AA304" s="101">
        <f>Z305*20%</f>
        <v/>
      </c>
      <c r="AB304" s="99">
        <f>Z305+AA305</f>
        <v/>
      </c>
      <c r="AC304" s="96">
        <f>E305*2.1</f>
        <v/>
      </c>
      <c r="AD304" s="99">
        <f>AB305-AC305</f>
        <v/>
      </c>
      <c r="AE304" s="99">
        <f>AD305/AB305*100</f>
        <v/>
      </c>
      <c r="AF304" s="101" t="n"/>
      <c r="AG304" s="102">
        <f>((AF305-L305)/L305)*100</f>
        <v/>
      </c>
      <c r="AH304" s="106">
        <f>AJ305-AF305</f>
        <v/>
      </c>
      <c r="AI304" s="106" t="n">
        <v>34990</v>
      </c>
      <c r="AJ304" s="106" t="n">
        <v>32990</v>
      </c>
      <c r="AK304" s="14">
        <f>(AJ305-L305)/L305*100</f>
        <v/>
      </c>
      <c r="AL304" s="14" t="n"/>
      <c r="AM304" s="14">
        <f>AH305/AJ305%</f>
        <v/>
      </c>
      <c r="AN304" s="14">
        <f>AK305-AG305</f>
        <v/>
      </c>
      <c r="AO304" s="103">
        <f>AJ305/L305</f>
        <v/>
      </c>
      <c r="AP304" s="14">
        <f>(AJ305-AB305)/100</f>
        <v/>
      </c>
      <c r="AQ304" s="14">
        <f>(AJ305-AC305)/100</f>
        <v/>
      </c>
      <c r="AR304" s="104">
        <f>AI305/94</f>
        <v/>
      </c>
      <c r="AS304" s="104">
        <f>AJ305/94</f>
        <v/>
      </c>
      <c r="AT304" s="105">
        <f>AI305/24</f>
        <v/>
      </c>
      <c r="AU304" s="105">
        <f>AJ305/24</f>
        <v/>
      </c>
      <c r="AV304" s="105">
        <f>AI305/125</f>
        <v/>
      </c>
      <c r="AW304" s="105">
        <f>AJ305/125</f>
        <v/>
      </c>
      <c r="AX304" s="107" t="n"/>
      <c r="AY304" s="107" t="n"/>
    </row>
    <row r="305" ht="15.75" customHeight="1" s="258">
      <c r="A305" s="160" t="n"/>
      <c r="B305" s="160" t="inlineStr">
        <is>
          <t>28INCH</t>
        </is>
      </c>
      <c r="C305" s="108" t="inlineStr">
        <is>
          <t>MI-WGP-28</t>
        </is>
      </c>
      <c r="D305" s="161">
        <f>3800*8.5</f>
        <v/>
      </c>
      <c r="E305" s="161" t="n">
        <v>600</v>
      </c>
      <c r="F305" s="96" t="n">
        <v>100</v>
      </c>
      <c r="G305" s="94" t="n">
        <v>83061000</v>
      </c>
      <c r="H305" s="97" t="n">
        <v>0.05</v>
      </c>
      <c r="I305" s="96">
        <f>E306*H306</f>
        <v/>
      </c>
      <c r="J305" s="107" t="n"/>
      <c r="K305" s="162" t="n">
        <v>300</v>
      </c>
      <c r="L305" s="163">
        <f>K306+J306+I306+F306+E306+D306</f>
        <v/>
      </c>
      <c r="M305" s="96">
        <f>E306*1%</f>
        <v/>
      </c>
      <c r="N305" s="99">
        <f>L306*8%</f>
        <v/>
      </c>
      <c r="O305" s="99">
        <f>L306*10%</f>
        <v/>
      </c>
      <c r="P305" s="99">
        <f>L306*5%</f>
        <v/>
      </c>
      <c r="Q305" s="99">
        <f>L306*2%</f>
        <v/>
      </c>
      <c r="R305" s="99">
        <f>AC306*0.5%</f>
        <v/>
      </c>
      <c r="S305" s="99">
        <f>L306*1%</f>
        <v/>
      </c>
      <c r="T305" s="100">
        <f>S306+Q306+P306+O306+N306+M306</f>
        <v/>
      </c>
      <c r="U305" s="96">
        <f>AC306*1%</f>
        <v/>
      </c>
      <c r="V305" s="44">
        <f>AC306*5%</f>
        <v/>
      </c>
      <c r="W305" s="96">
        <f>AC306*1%</f>
        <v/>
      </c>
      <c r="X305" s="96">
        <f>AC306*8%</f>
        <v/>
      </c>
      <c r="Y305" s="96">
        <f>U306+V306+W306+X306</f>
        <v/>
      </c>
      <c r="Z305" s="100">
        <f>Y306+T306+L306</f>
        <v/>
      </c>
      <c r="AA305" s="101">
        <f>Z306*20%</f>
        <v/>
      </c>
      <c r="AB305" s="99">
        <f>Z306+AA306</f>
        <v/>
      </c>
      <c r="AC305" s="96">
        <f>E306*2.1</f>
        <v/>
      </c>
      <c r="AD305" s="96">
        <f>E306*2.1</f>
        <v/>
      </c>
      <c r="AE305" s="99">
        <f>AC306-AD306</f>
        <v/>
      </c>
      <c r="AF305" s="107" t="n"/>
      <c r="AG305" s="102">
        <f>((AF306-L306)/L306)*100</f>
        <v/>
      </c>
      <c r="AH305" s="106">
        <f>AJ306-AF306</f>
        <v/>
      </c>
      <c r="AI305" s="106" t="n">
        <v>37990</v>
      </c>
      <c r="AJ305" s="106" t="n">
        <v>35990</v>
      </c>
      <c r="AK305" s="14">
        <f>(AJ306-L306)/L306*100</f>
        <v/>
      </c>
      <c r="AL305" s="14" t="n"/>
      <c r="AM305" s="14">
        <f>AH306/AJ306%</f>
        <v/>
      </c>
      <c r="AN305" s="14">
        <f>AK306-AG306</f>
        <v/>
      </c>
      <c r="AO305" s="103">
        <f>AJ306/L306</f>
        <v/>
      </c>
      <c r="AP305" s="14">
        <f>(AJ306-AB306)/100</f>
        <v/>
      </c>
      <c r="AQ305" s="14">
        <f>(AJ306-AC306)/100</f>
        <v/>
      </c>
      <c r="AR305" s="104">
        <f>AI306/94</f>
        <v/>
      </c>
      <c r="AS305" s="104">
        <f>AJ306/94</f>
        <v/>
      </c>
      <c r="AT305" s="105">
        <f>AI306/24</f>
        <v/>
      </c>
      <c r="AU305" s="105">
        <f>AJ306/24</f>
        <v/>
      </c>
      <c r="AV305" s="105">
        <f>AI306/125</f>
        <v/>
      </c>
      <c r="AW305" s="105">
        <f>AJ306/125</f>
        <v/>
      </c>
      <c r="AX305" s="107" t="n"/>
      <c r="AY305" s="107" t="n"/>
    </row>
    <row r="306" ht="15.75" customHeight="1" s="258">
      <c r="A306" s="96" t="inlineStr">
        <is>
          <t>Etched Handmade Singing Bowls</t>
        </is>
      </c>
      <c r="B306" s="96" t="inlineStr">
        <is>
          <t>Buddha / 6 in</t>
        </is>
      </c>
      <c r="C306" s="96" t="inlineStr">
        <is>
          <t>MI-SB-H-ET-B-6</t>
        </is>
      </c>
      <c r="D306" s="94" t="n"/>
      <c r="E306" s="96" t="n">
        <v>125</v>
      </c>
      <c r="F306" s="96" t="n">
        <v>10</v>
      </c>
      <c r="G306" s="94" t="n">
        <v>83061000</v>
      </c>
      <c r="H306" s="97" t="n">
        <v>0.05</v>
      </c>
      <c r="I306" s="96">
        <f>D307*H307</f>
        <v/>
      </c>
      <c r="J306" s="107" t="n"/>
      <c r="K306" s="96">
        <f>D307*4%</f>
        <v/>
      </c>
      <c r="L306" s="98">
        <f>K307+J307+I307+F307+E307+D307</f>
        <v/>
      </c>
      <c r="M306" s="96">
        <f>E307*1%</f>
        <v/>
      </c>
      <c r="N306" s="99">
        <f>L307*8%</f>
        <v/>
      </c>
      <c r="O306" s="99">
        <f>L307*10%</f>
        <v/>
      </c>
      <c r="P306" s="99">
        <f>L307*5%</f>
        <v/>
      </c>
      <c r="Q306" s="99">
        <f>L307*2%</f>
        <v/>
      </c>
      <c r="R306" s="99">
        <f>AC307*0.5%</f>
        <v/>
      </c>
      <c r="S306" s="99">
        <f>L307*1%</f>
        <v/>
      </c>
      <c r="T306" s="100">
        <f>S307+Q307+P307+O307+N307+M307</f>
        <v/>
      </c>
      <c r="U306" s="96">
        <f>AC307*1%</f>
        <v/>
      </c>
      <c r="V306" s="44">
        <f>AC307*5%</f>
        <v/>
      </c>
      <c r="W306" s="96">
        <f>AC307*1%</f>
        <v/>
      </c>
      <c r="X306" s="96">
        <f>AC307*8%</f>
        <v/>
      </c>
      <c r="Y306" s="96">
        <f>U307+V307+W307+X307</f>
        <v/>
      </c>
      <c r="Z306" s="100">
        <f>Y307+T307+L307</f>
        <v/>
      </c>
      <c r="AA306" s="101">
        <f>Z307*20%</f>
        <v/>
      </c>
      <c r="AB306" s="99">
        <f>Z307+AA307</f>
        <v/>
      </c>
      <c r="AC306" s="96">
        <f>D307*2.1</f>
        <v/>
      </c>
      <c r="AD306" s="99">
        <f>AB307-AC307</f>
        <v/>
      </c>
      <c r="AE306" s="99">
        <f>AD307/AB307*100</f>
        <v/>
      </c>
      <c r="AF306" s="107" t="n">
        <v>10500</v>
      </c>
      <c r="AG306" s="102">
        <f>((AF307-L307)/L307)*100</f>
        <v/>
      </c>
      <c r="AH306" s="106">
        <f>AJ307-AF307</f>
        <v/>
      </c>
      <c r="AI306" s="106" t="n">
        <v>11990</v>
      </c>
      <c r="AJ306" s="106" t="n">
        <v>10990</v>
      </c>
      <c r="AK306" s="14">
        <f>(AJ307-L307)/L307*100</f>
        <v/>
      </c>
      <c r="AL306" s="14" t="n"/>
      <c r="AM306" s="14">
        <f>AH307/AJ307%</f>
        <v/>
      </c>
      <c r="AN306" s="14">
        <f>AK307-AG307</f>
        <v/>
      </c>
      <c r="AO306" s="103">
        <f>AJ307/L307</f>
        <v/>
      </c>
      <c r="AP306" s="14">
        <f>(AJ307-AB307)/100</f>
        <v/>
      </c>
      <c r="AQ306" s="14">
        <f>(AJ307-AC307)/100</f>
        <v/>
      </c>
      <c r="AR306" s="104">
        <f>AI307/94</f>
        <v/>
      </c>
      <c r="AS306" s="104">
        <f>AJ307/94</f>
        <v/>
      </c>
      <c r="AT306" s="105">
        <f>AI307/24</f>
        <v/>
      </c>
      <c r="AU306" s="105">
        <f>AJ307/24</f>
        <v/>
      </c>
      <c r="AV306" s="105">
        <f>AI307/125</f>
        <v/>
      </c>
      <c r="AW306" s="105">
        <f>AJ307/125</f>
        <v/>
      </c>
      <c r="AX306" s="107" t="n"/>
      <c r="AY306" s="107" t="n"/>
    </row>
    <row r="307" ht="15" customHeight="1" s="258">
      <c r="A307" s="96" t="n"/>
      <c r="B307" s="96" t="inlineStr">
        <is>
          <t>Sacred Geometry / 10 in</t>
        </is>
      </c>
      <c r="C307" s="96" t="inlineStr">
        <is>
          <t>MI-SB-GE-10</t>
        </is>
      </c>
      <c r="D307" s="94" t="n"/>
      <c r="E307" s="96" t="n">
        <v>145</v>
      </c>
      <c r="F307" s="96" t="n">
        <v>10</v>
      </c>
      <c r="G307" s="94" t="n">
        <v>83061000</v>
      </c>
      <c r="H307" s="97" t="n">
        <v>0.05</v>
      </c>
      <c r="I307" s="96">
        <f>D308*H308</f>
        <v/>
      </c>
      <c r="J307" s="107" t="n"/>
      <c r="K307" s="96">
        <f>D308*4%</f>
        <v/>
      </c>
      <c r="L307" s="98">
        <f>K308+J308+I308+F308+E308+D308</f>
        <v/>
      </c>
      <c r="M307" s="96">
        <f>D308*1%</f>
        <v/>
      </c>
      <c r="N307" s="99">
        <f>L308*8%</f>
        <v/>
      </c>
      <c r="O307" s="99">
        <f>L308*10%</f>
        <v/>
      </c>
      <c r="P307" s="99">
        <f>L308*5%</f>
        <v/>
      </c>
      <c r="Q307" s="99">
        <f>L308*2%</f>
        <v/>
      </c>
      <c r="R307" s="99">
        <f>AC308*0.5%</f>
        <v/>
      </c>
      <c r="S307" s="99">
        <f>L308*1%</f>
        <v/>
      </c>
      <c r="T307" s="100">
        <f>S308+Q308+P308+O308+N308+M308</f>
        <v/>
      </c>
      <c r="U307" s="96">
        <f>AC308*1%</f>
        <v/>
      </c>
      <c r="V307" s="44">
        <f>AC308*5%</f>
        <v/>
      </c>
      <c r="W307" s="96">
        <f>AC308*1%</f>
        <v/>
      </c>
      <c r="X307" s="96">
        <f>AC308*8%</f>
        <v/>
      </c>
      <c r="Y307" s="96">
        <f>U308+V308+W308+X308</f>
        <v/>
      </c>
      <c r="Z307" s="100">
        <f>Y308+T308+L308</f>
        <v/>
      </c>
      <c r="AA307" s="101">
        <f>Z308*20%</f>
        <v/>
      </c>
      <c r="AB307" s="99">
        <f>Z308+AA308</f>
        <v/>
      </c>
      <c r="AC307" s="96">
        <f>D308*2.1</f>
        <v/>
      </c>
      <c r="AD307" s="99">
        <f>AB308-AC308</f>
        <v/>
      </c>
      <c r="AE307" s="99">
        <f>AD308/AB308*100</f>
        <v/>
      </c>
      <c r="AF307" s="107" t="n">
        <v>16500</v>
      </c>
      <c r="AG307" s="102">
        <f>((AF308-L308)/L308)*100</f>
        <v/>
      </c>
      <c r="AH307" s="106">
        <f>AJ308-AF308</f>
        <v/>
      </c>
      <c r="AI307" s="106" t="n">
        <v>17990</v>
      </c>
      <c r="AJ307" s="106" t="n">
        <v>16990</v>
      </c>
      <c r="AK307" s="14">
        <f>(AJ308-L308)/L308*100</f>
        <v/>
      </c>
      <c r="AL307" s="14" t="n"/>
      <c r="AM307" s="14">
        <f>AH308/AJ308%</f>
        <v/>
      </c>
      <c r="AN307" s="14">
        <f>AK308-AG308</f>
        <v/>
      </c>
      <c r="AO307" s="103">
        <f>AJ308/L308</f>
        <v/>
      </c>
      <c r="AP307" s="14">
        <f>(AJ308-AB308)/100</f>
        <v/>
      </c>
      <c r="AQ307" s="14">
        <f>(AJ308-AC308)/100</f>
        <v/>
      </c>
      <c r="AR307" s="104">
        <f>AI308/94</f>
        <v/>
      </c>
      <c r="AS307" s="104">
        <f>AJ308/94</f>
        <v/>
      </c>
      <c r="AT307" s="105">
        <f>AI308/24</f>
        <v/>
      </c>
      <c r="AU307" s="105">
        <f>AJ308/24</f>
        <v/>
      </c>
      <c r="AV307" s="105">
        <f>AI308/125</f>
        <v/>
      </c>
      <c r="AW307" s="105">
        <f>AJ308/125</f>
        <v/>
      </c>
      <c r="AX307" s="107" t="n"/>
      <c r="AY307" s="107" t="n"/>
    </row>
    <row r="308" ht="15.75" customHeight="1" s="258">
      <c r="A308" s="96" t="n"/>
      <c r="B308" s="96" t="inlineStr">
        <is>
          <t>Sacred Geometry / 11 in</t>
        </is>
      </c>
      <c r="C308" s="96" t="inlineStr">
        <is>
          <t>MI-SB-GE-11</t>
        </is>
      </c>
      <c r="D308" s="94" t="n"/>
      <c r="E308" s="96" t="n">
        <v>145</v>
      </c>
      <c r="F308" s="96" t="n">
        <v>10</v>
      </c>
      <c r="G308" s="94" t="n">
        <v>83061000</v>
      </c>
      <c r="H308" s="97" t="n">
        <v>0.05</v>
      </c>
      <c r="I308" s="96">
        <f>D309*H309</f>
        <v/>
      </c>
      <c r="J308" s="107" t="n"/>
      <c r="K308" s="96">
        <f>D309*4%</f>
        <v/>
      </c>
      <c r="L308" s="98">
        <f>K309+J309+I309+F309+E309+D309</f>
        <v/>
      </c>
      <c r="M308" s="96">
        <f>D309*1%</f>
        <v/>
      </c>
      <c r="N308" s="99">
        <f>L309*8%</f>
        <v/>
      </c>
      <c r="O308" s="99">
        <f>L309*10%</f>
        <v/>
      </c>
      <c r="P308" s="99">
        <f>L309*5%</f>
        <v/>
      </c>
      <c r="Q308" s="99">
        <f>L309*2%</f>
        <v/>
      </c>
      <c r="R308" s="99">
        <f>AC309*0.5%</f>
        <v/>
      </c>
      <c r="S308" s="99">
        <f>L309*1%</f>
        <v/>
      </c>
      <c r="T308" s="100">
        <f>S309+Q309+P309+O309+N309+M309</f>
        <v/>
      </c>
      <c r="U308" s="96">
        <f>AC309*1%</f>
        <v/>
      </c>
      <c r="V308" s="44">
        <f>AC309*5%</f>
        <v/>
      </c>
      <c r="W308" s="96">
        <f>AC309*1%</f>
        <v/>
      </c>
      <c r="X308" s="96">
        <f>AC309*8%</f>
        <v/>
      </c>
      <c r="Y308" s="96">
        <f>U309+V309+W309+X309</f>
        <v/>
      </c>
      <c r="Z308" s="100">
        <f>Y309+T309+L309</f>
        <v/>
      </c>
      <c r="AA308" s="101">
        <f>Z309*20%</f>
        <v/>
      </c>
      <c r="AB308" s="99">
        <f>Z309+AA309</f>
        <v/>
      </c>
      <c r="AC308" s="96">
        <f>D309*2.1</f>
        <v/>
      </c>
      <c r="AD308" s="99">
        <f>AB309-AC309</f>
        <v/>
      </c>
      <c r="AE308" s="99">
        <f>AD309/AB309*100</f>
        <v/>
      </c>
      <c r="AF308" s="107" t="n">
        <v>19500</v>
      </c>
      <c r="AG308" s="102">
        <f>((AF309-L309)/L309)*100</f>
        <v/>
      </c>
      <c r="AH308" s="106">
        <f>AJ309-AF309</f>
        <v/>
      </c>
      <c r="AI308" s="106" t="n">
        <v>21990</v>
      </c>
      <c r="AJ308" s="106" t="n">
        <v>19900</v>
      </c>
      <c r="AK308" s="14">
        <f>(AJ309-L309)/L309*100</f>
        <v/>
      </c>
      <c r="AL308" s="14" t="n"/>
      <c r="AM308" s="14">
        <f>AH309/AJ309%</f>
        <v/>
      </c>
      <c r="AN308" s="14">
        <f>AK309-AG309</f>
        <v/>
      </c>
      <c r="AO308" s="103">
        <f>AJ309/L309</f>
        <v/>
      </c>
      <c r="AP308" s="14">
        <f>(AJ309-AB309)/100</f>
        <v/>
      </c>
      <c r="AQ308" s="14">
        <f>(AJ309-AC309)/100</f>
        <v/>
      </c>
      <c r="AR308" s="104">
        <f>AI309/94</f>
        <v/>
      </c>
      <c r="AS308" s="104">
        <f>AJ309/94</f>
        <v/>
      </c>
      <c r="AT308" s="105">
        <f>AI309/24</f>
        <v/>
      </c>
      <c r="AU308" s="105">
        <f>AJ309/24</f>
        <v/>
      </c>
      <c r="AV308" s="105">
        <f>AI309/125</f>
        <v/>
      </c>
      <c r="AW308" s="105">
        <f>AJ309/125</f>
        <v/>
      </c>
      <c r="AX308" s="107" t="n"/>
      <c r="AY308" s="107" t="n"/>
    </row>
    <row r="309" ht="15.75" customHeight="1" s="258">
      <c r="A309" s="96" t="n"/>
      <c r="B309" s="96" t="inlineStr">
        <is>
          <t>Sacred Geometry / 12 in</t>
        </is>
      </c>
      <c r="C309" s="96" t="inlineStr">
        <is>
          <t>MI-SB-GE-12</t>
        </is>
      </c>
      <c r="D309" s="94" t="n"/>
      <c r="E309" s="96" t="n">
        <v>145</v>
      </c>
      <c r="F309" s="96" t="n">
        <v>10</v>
      </c>
      <c r="G309" s="94" t="n">
        <v>83061000</v>
      </c>
      <c r="H309" s="97" t="n">
        <v>0.05</v>
      </c>
      <c r="I309" s="96">
        <f>D310*H310</f>
        <v/>
      </c>
      <c r="J309" s="107" t="n"/>
      <c r="K309" s="96">
        <f>D310*4%</f>
        <v/>
      </c>
      <c r="L309" s="98">
        <f>K310+J310+I310+F310+E310+D310</f>
        <v/>
      </c>
      <c r="M309" s="96">
        <f>D310*1%</f>
        <v/>
      </c>
      <c r="N309" s="99">
        <f>L310*8%</f>
        <v/>
      </c>
      <c r="O309" s="99">
        <f>L310*10%</f>
        <v/>
      </c>
      <c r="P309" s="99">
        <f>L310*5%</f>
        <v/>
      </c>
      <c r="Q309" s="99">
        <f>L310*2%</f>
        <v/>
      </c>
      <c r="R309" s="99">
        <f>AC310*0.5%</f>
        <v/>
      </c>
      <c r="S309" s="99">
        <f>L310*1%</f>
        <v/>
      </c>
      <c r="T309" s="100">
        <f>S310+Q310+P310+O310+N310+M310</f>
        <v/>
      </c>
      <c r="U309" s="96">
        <f>AC310*1%</f>
        <v/>
      </c>
      <c r="V309" s="44">
        <f>AC310*5%</f>
        <v/>
      </c>
      <c r="W309" s="96">
        <f>AC310*1%</f>
        <v/>
      </c>
      <c r="X309" s="96">
        <f>AC310*8%</f>
        <v/>
      </c>
      <c r="Y309" s="96">
        <f>U310+V310+W310+X310</f>
        <v/>
      </c>
      <c r="Z309" s="100">
        <f>Y310+T310+L310</f>
        <v/>
      </c>
      <c r="AA309" s="101">
        <f>Z310*20%</f>
        <v/>
      </c>
      <c r="AB309" s="99">
        <f>Z310+AA310</f>
        <v/>
      </c>
      <c r="AC309" s="96">
        <f>D310*2.1</f>
        <v/>
      </c>
      <c r="AD309" s="99">
        <f>AB310-AC310</f>
        <v/>
      </c>
      <c r="AE309" s="99">
        <f>AD310/AB310*100</f>
        <v/>
      </c>
      <c r="AF309" s="107" t="n">
        <v>22500</v>
      </c>
      <c r="AG309" s="102">
        <f>((AF310-L310)/L310)*100</f>
        <v/>
      </c>
      <c r="AH309" s="106">
        <f>AJ310-AF310</f>
        <v/>
      </c>
      <c r="AI309" s="106" t="n">
        <v>24990</v>
      </c>
      <c r="AJ309" s="106" t="n">
        <v>22990</v>
      </c>
      <c r="AK309" s="14">
        <f>(AJ310-L310)/L310*100</f>
        <v/>
      </c>
      <c r="AL309" s="14" t="n"/>
      <c r="AM309" s="14">
        <f>AH310/AJ310%</f>
        <v/>
      </c>
      <c r="AN309" s="14">
        <f>AK310-AG310</f>
        <v/>
      </c>
      <c r="AO309" s="103">
        <f>AJ310/L310</f>
        <v/>
      </c>
      <c r="AP309" s="14">
        <f>(AJ310-AB310)/100</f>
        <v/>
      </c>
      <c r="AQ309" s="14">
        <f>(AJ310-AC310)/100</f>
        <v/>
      </c>
      <c r="AR309" s="104">
        <f>AI310/94</f>
        <v/>
      </c>
      <c r="AS309" s="104">
        <f>AJ310/94</f>
        <v/>
      </c>
      <c r="AT309" s="105">
        <f>AI310/24</f>
        <v/>
      </c>
      <c r="AU309" s="105">
        <f>AJ310/24</f>
        <v/>
      </c>
      <c r="AV309" s="105">
        <f>AI310/125</f>
        <v/>
      </c>
      <c r="AW309" s="105">
        <f>AJ310/125</f>
        <v/>
      </c>
      <c r="AX309" s="107" t="n"/>
      <c r="AY309" s="107" t="n"/>
    </row>
    <row r="310" ht="15.75" customHeight="1" s="258">
      <c r="A310" s="96" t="n"/>
      <c r="B310" s="96" t="inlineStr">
        <is>
          <t>Sacred Geometry / 6 in</t>
        </is>
      </c>
      <c r="C310" s="96" t="inlineStr">
        <is>
          <t>MI-SB-GE-6</t>
        </is>
      </c>
      <c r="D310" s="94" t="n"/>
      <c r="E310" s="96" t="n">
        <v>125</v>
      </c>
      <c r="F310" s="96" t="n">
        <v>10</v>
      </c>
      <c r="G310" s="94" t="n">
        <v>83061000</v>
      </c>
      <c r="H310" s="97" t="n">
        <v>0.05</v>
      </c>
      <c r="I310" s="96">
        <f>D311*H311</f>
        <v/>
      </c>
      <c r="J310" s="107" t="n"/>
      <c r="K310" s="96">
        <f>D311*4%</f>
        <v/>
      </c>
      <c r="L310" s="98">
        <f>K311+J311+I311+F311+E311+D311</f>
        <v/>
      </c>
      <c r="M310" s="96">
        <f>D311*1%</f>
        <v/>
      </c>
      <c r="N310" s="99">
        <f>L311*8%</f>
        <v/>
      </c>
      <c r="O310" s="99">
        <f>L311*10%</f>
        <v/>
      </c>
      <c r="P310" s="99">
        <f>L311*5%</f>
        <v/>
      </c>
      <c r="Q310" s="99">
        <f>L311*2%</f>
        <v/>
      </c>
      <c r="R310" s="99">
        <f>AC311*0.5%</f>
        <v/>
      </c>
      <c r="S310" s="99">
        <f>L311*1%</f>
        <v/>
      </c>
      <c r="T310" s="100">
        <f>S311+Q311+P311+O311+N311+M311</f>
        <v/>
      </c>
      <c r="U310" s="96">
        <f>AC311*1%</f>
        <v/>
      </c>
      <c r="V310" s="44">
        <f>AC311*5%</f>
        <v/>
      </c>
      <c r="W310" s="96">
        <f>AC311*1%</f>
        <v/>
      </c>
      <c r="X310" s="96">
        <f>AC311*8%</f>
        <v/>
      </c>
      <c r="Y310" s="96">
        <f>U311+V311+W311+X311</f>
        <v/>
      </c>
      <c r="Z310" s="100">
        <f>Y311+T311+L311</f>
        <v/>
      </c>
      <c r="AA310" s="101">
        <f>Z311*20%</f>
        <v/>
      </c>
      <c r="AB310" s="99">
        <f>Z311+AA311</f>
        <v/>
      </c>
      <c r="AC310" s="96">
        <f>D311*2.1</f>
        <v/>
      </c>
      <c r="AD310" s="99">
        <f>AB311-AC311</f>
        <v/>
      </c>
      <c r="AE310" s="99">
        <f>AD311/AB311*100</f>
        <v/>
      </c>
      <c r="AF310" s="107" t="n">
        <v>8500</v>
      </c>
      <c r="AG310" s="102">
        <f>((AF311-L311)/L311)*100</f>
        <v/>
      </c>
      <c r="AH310" s="106">
        <f>AJ311-AF311</f>
        <v/>
      </c>
      <c r="AI310" s="106" t="n">
        <v>9900</v>
      </c>
      <c r="AJ310" s="106" t="n">
        <v>8990</v>
      </c>
      <c r="AK310" s="14">
        <f>(AJ311-L311)/L311*100</f>
        <v/>
      </c>
      <c r="AL310" s="14" t="n"/>
      <c r="AM310" s="14">
        <f>AH311/AJ311%</f>
        <v/>
      </c>
      <c r="AN310" s="14">
        <f>AK311-AG311</f>
        <v/>
      </c>
      <c r="AO310" s="103">
        <f>AJ311/L311</f>
        <v/>
      </c>
      <c r="AP310" s="14">
        <f>(AJ311-AB311)/100</f>
        <v/>
      </c>
      <c r="AQ310" s="14">
        <f>(AJ311-AC311)/100</f>
        <v/>
      </c>
      <c r="AR310" s="104">
        <f>AI311/94</f>
        <v/>
      </c>
      <c r="AS310" s="104">
        <f>AJ311/94</f>
        <v/>
      </c>
      <c r="AT310" s="105">
        <f>AI311/24</f>
        <v/>
      </c>
      <c r="AU310" s="105">
        <f>AJ311/24</f>
        <v/>
      </c>
      <c r="AV310" s="105">
        <f>AI311/125</f>
        <v/>
      </c>
      <c r="AW310" s="105">
        <f>AJ311/125</f>
        <v/>
      </c>
      <c r="AX310" s="107" t="n"/>
      <c r="AY310" s="107" t="n"/>
    </row>
    <row r="311" ht="15.75" customHeight="1" s="258">
      <c r="A311" s="96" t="n"/>
      <c r="B311" s="96" t="inlineStr">
        <is>
          <t>Sacred Geometry / 7 in</t>
        </is>
      </c>
      <c r="C311" s="96" t="inlineStr">
        <is>
          <t>MI-SB-GE-7</t>
        </is>
      </c>
      <c r="D311" s="94" t="n"/>
      <c r="E311" s="96" t="n">
        <v>125</v>
      </c>
      <c r="F311" s="96" t="n">
        <v>10</v>
      </c>
      <c r="G311" s="94" t="n">
        <v>83061000</v>
      </c>
      <c r="H311" s="97" t="n">
        <v>0.05</v>
      </c>
      <c r="I311" s="96">
        <f>D312*H312</f>
        <v/>
      </c>
      <c r="J311" s="107" t="n"/>
      <c r="K311" s="96">
        <f>D312*4%</f>
        <v/>
      </c>
      <c r="L311" s="98">
        <f>K312+J312+I312+F312+E312+D312</f>
        <v/>
      </c>
      <c r="M311" s="96">
        <f>D312*1%</f>
        <v/>
      </c>
      <c r="N311" s="99">
        <f>L312*8%</f>
        <v/>
      </c>
      <c r="O311" s="99">
        <f>L312*10%</f>
        <v/>
      </c>
      <c r="P311" s="99">
        <f>L312*5%</f>
        <v/>
      </c>
      <c r="Q311" s="99">
        <f>L312*2%</f>
        <v/>
      </c>
      <c r="R311" s="99">
        <f>AC312*0.5%</f>
        <v/>
      </c>
      <c r="S311" s="99">
        <f>L312*1%</f>
        <v/>
      </c>
      <c r="T311" s="100">
        <f>S312+Q312+P312+O312+N312+M312</f>
        <v/>
      </c>
      <c r="U311" s="96">
        <f>AC312*1%</f>
        <v/>
      </c>
      <c r="V311" s="44">
        <f>AC312*5%</f>
        <v/>
      </c>
      <c r="W311" s="96">
        <f>AC312*1%</f>
        <v/>
      </c>
      <c r="X311" s="96">
        <f>AC312*8%</f>
        <v/>
      </c>
      <c r="Y311" s="96">
        <f>U312+V312+W312+X312</f>
        <v/>
      </c>
      <c r="Z311" s="100">
        <f>Y312+T312+L312</f>
        <v/>
      </c>
      <c r="AA311" s="101">
        <f>Z312*20%</f>
        <v/>
      </c>
      <c r="AB311" s="99">
        <f>Z312+AA312</f>
        <v/>
      </c>
      <c r="AC311" s="96">
        <f>D312*2.1</f>
        <v/>
      </c>
      <c r="AD311" s="99">
        <f>AB312-AC312</f>
        <v/>
      </c>
      <c r="AE311" s="99">
        <f>AD312/AB312*100</f>
        <v/>
      </c>
      <c r="AF311" s="107" t="n">
        <v>10500</v>
      </c>
      <c r="AG311" s="102">
        <f>((AF312-L312)/L312)*100</f>
        <v/>
      </c>
      <c r="AH311" s="106">
        <f>AJ312-AF312</f>
        <v/>
      </c>
      <c r="AI311" s="106" t="n">
        <v>11990</v>
      </c>
      <c r="AJ311" s="106" t="n">
        <v>10990</v>
      </c>
      <c r="AK311" s="14">
        <f>(AJ312-L312)/L312*100</f>
        <v/>
      </c>
      <c r="AL311" s="14" t="n"/>
      <c r="AM311" s="14">
        <f>AH312/AJ312%</f>
        <v/>
      </c>
      <c r="AN311" s="14">
        <f>AK312-AG312</f>
        <v/>
      </c>
      <c r="AO311" s="103">
        <f>AJ312/L312</f>
        <v/>
      </c>
      <c r="AP311" s="14">
        <f>(AJ312-AB312)/100</f>
        <v/>
      </c>
      <c r="AQ311" s="14">
        <f>(AJ312-AC312)/100</f>
        <v/>
      </c>
      <c r="AR311" s="104">
        <f>AI312/94</f>
        <v/>
      </c>
      <c r="AS311" s="104">
        <f>AJ312/94</f>
        <v/>
      </c>
      <c r="AT311" s="105">
        <f>AI312/24</f>
        <v/>
      </c>
      <c r="AU311" s="105">
        <f>AJ312/24</f>
        <v/>
      </c>
      <c r="AV311" s="105">
        <f>AI312/125</f>
        <v/>
      </c>
      <c r="AW311" s="105">
        <f>AJ312/125</f>
        <v/>
      </c>
      <c r="AX311" s="107" t="n"/>
      <c r="AY311" s="107" t="n"/>
    </row>
    <row r="312" ht="15.75" customHeight="1" s="258">
      <c r="A312" s="96" t="n"/>
      <c r="B312" s="96" t="inlineStr">
        <is>
          <t>8 in / Sacred Geometry</t>
        </is>
      </c>
      <c r="C312" s="96" t="inlineStr">
        <is>
          <t>MI-SB-GE-8</t>
        </is>
      </c>
      <c r="D312" s="94" t="n"/>
      <c r="E312" s="96" t="n">
        <v>145</v>
      </c>
      <c r="F312" s="96" t="n">
        <v>10</v>
      </c>
      <c r="G312" s="94" t="n">
        <v>83061000</v>
      </c>
      <c r="H312" s="97" t="n">
        <v>0.05</v>
      </c>
      <c r="I312" s="96">
        <f>D313*H313</f>
        <v/>
      </c>
      <c r="J312" s="107" t="n"/>
      <c r="K312" s="96">
        <f>D313*4%</f>
        <v/>
      </c>
      <c r="L312" s="98">
        <f>K313+J313+I313+F313+E313+D313</f>
        <v/>
      </c>
      <c r="M312" s="96">
        <f>D313*1%</f>
        <v/>
      </c>
      <c r="N312" s="99">
        <f>L313*8%</f>
        <v/>
      </c>
      <c r="O312" s="99">
        <f>L313*10%</f>
        <v/>
      </c>
      <c r="P312" s="99">
        <f>L313*5%</f>
        <v/>
      </c>
      <c r="Q312" s="99">
        <f>L313*2%</f>
        <v/>
      </c>
      <c r="R312" s="99">
        <f>AC313*0.5%</f>
        <v/>
      </c>
      <c r="S312" s="99">
        <f>L313*1%</f>
        <v/>
      </c>
      <c r="T312" s="100">
        <f>S313+Q313+P313+O313+N313+M313</f>
        <v/>
      </c>
      <c r="U312" s="96">
        <f>AC313*1%</f>
        <v/>
      </c>
      <c r="V312" s="44">
        <f>AC313*5%</f>
        <v/>
      </c>
      <c r="W312" s="96">
        <f>AC313*1%</f>
        <v/>
      </c>
      <c r="X312" s="96">
        <f>AC313*8%</f>
        <v/>
      </c>
      <c r="Y312" s="96">
        <f>U313+V313+W313+X313</f>
        <v/>
      </c>
      <c r="Z312" s="100">
        <f>Y313+T313+L313</f>
        <v/>
      </c>
      <c r="AA312" s="101">
        <f>Z313*20%</f>
        <v/>
      </c>
      <c r="AB312" s="99">
        <f>Z313+AA313</f>
        <v/>
      </c>
      <c r="AC312" s="96">
        <f>D313*2.1</f>
        <v/>
      </c>
      <c r="AD312" s="99">
        <f>AB313-AC313</f>
        <v/>
      </c>
      <c r="AE312" s="99">
        <f>AD313/AB313*100</f>
        <v/>
      </c>
      <c r="AF312" s="107" t="n">
        <v>12500</v>
      </c>
      <c r="AG312" s="102">
        <f>((AF313-L313)/L313)*100</f>
        <v/>
      </c>
      <c r="AH312" s="106">
        <f>AJ313-AF313</f>
        <v/>
      </c>
      <c r="AI312" s="106" t="n">
        <v>13990</v>
      </c>
      <c r="AJ312" s="106" t="n">
        <v>12990</v>
      </c>
      <c r="AK312" s="14">
        <f>(AJ313-L313)/L313*100</f>
        <v/>
      </c>
      <c r="AL312" s="14" t="n"/>
      <c r="AM312" s="14">
        <f>AH313/AJ313%</f>
        <v/>
      </c>
      <c r="AN312" s="14">
        <f>AK313-AG313</f>
        <v/>
      </c>
      <c r="AO312" s="103">
        <f>AJ313/L313</f>
        <v/>
      </c>
      <c r="AP312" s="14">
        <f>(AJ313-AB313)/100</f>
        <v/>
      </c>
      <c r="AQ312" s="14">
        <f>(AJ313-AC313)/100</f>
        <v/>
      </c>
      <c r="AR312" s="104">
        <f>AI313/94</f>
        <v/>
      </c>
      <c r="AS312" s="104">
        <f>AJ313/94</f>
        <v/>
      </c>
      <c r="AT312" s="105">
        <f>AI313/24</f>
        <v/>
      </c>
      <c r="AU312" s="105">
        <f>AJ313/24</f>
        <v/>
      </c>
      <c r="AV312" s="105">
        <f>AI313/125</f>
        <v/>
      </c>
      <c r="AW312" s="105">
        <f>AJ313/125</f>
        <v/>
      </c>
      <c r="AX312" s="107" t="n"/>
      <c r="AY312" s="107" t="n"/>
    </row>
    <row r="313" ht="15.75" customHeight="1" s="258">
      <c r="A313" s="96" t="n"/>
      <c r="B313" s="96" t="inlineStr">
        <is>
          <t>Sacred Geometry / 9 in</t>
        </is>
      </c>
      <c r="C313" s="96" t="inlineStr">
        <is>
          <t>MI-SB-GE-9</t>
        </is>
      </c>
      <c r="D313" s="94" t="n"/>
      <c r="E313" s="96" t="n">
        <v>145</v>
      </c>
      <c r="F313" s="96" t="n">
        <v>10</v>
      </c>
      <c r="G313" s="94" t="n">
        <v>83061000</v>
      </c>
      <c r="H313" s="97" t="n">
        <v>0.05</v>
      </c>
      <c r="I313" s="96">
        <f>D314*H314</f>
        <v/>
      </c>
      <c r="J313" s="107" t="n"/>
      <c r="K313" s="96">
        <f>D314*4%</f>
        <v/>
      </c>
      <c r="L313" s="98">
        <f>K314+J314+I314+F314+E314+D314</f>
        <v/>
      </c>
      <c r="M313" s="96">
        <f>D314*1%</f>
        <v/>
      </c>
      <c r="N313" s="99">
        <f>L314*8%</f>
        <v/>
      </c>
      <c r="O313" s="99">
        <f>L314*10%</f>
        <v/>
      </c>
      <c r="P313" s="99">
        <f>L314*5%</f>
        <v/>
      </c>
      <c r="Q313" s="99">
        <f>L314*2%</f>
        <v/>
      </c>
      <c r="R313" s="99">
        <f>AC314*0.5%</f>
        <v/>
      </c>
      <c r="S313" s="99">
        <f>L314*1%</f>
        <v/>
      </c>
      <c r="T313" s="100">
        <f>S314+Q314+P314+O314+N314+M314</f>
        <v/>
      </c>
      <c r="U313" s="96">
        <f>AC314*1%</f>
        <v/>
      </c>
      <c r="V313" s="44">
        <f>AC314*5%</f>
        <v/>
      </c>
      <c r="W313" s="96">
        <f>AC314*1%</f>
        <v/>
      </c>
      <c r="X313" s="96">
        <f>AC314*8%</f>
        <v/>
      </c>
      <c r="Y313" s="96">
        <f>U314+V314+W314+X314</f>
        <v/>
      </c>
      <c r="Z313" s="100">
        <f>Y314+T314+L314</f>
        <v/>
      </c>
      <c r="AA313" s="101">
        <f>Z314*20%</f>
        <v/>
      </c>
      <c r="AB313" s="99">
        <f>Z314+AA314</f>
        <v/>
      </c>
      <c r="AC313" s="96">
        <f>D314*2.1</f>
        <v/>
      </c>
      <c r="AD313" s="99">
        <f>AB314-AC314</f>
        <v/>
      </c>
      <c r="AE313" s="99">
        <f>AD314/AB314*100</f>
        <v/>
      </c>
      <c r="AF313" s="107" t="n">
        <v>14500</v>
      </c>
      <c r="AG313" s="102">
        <f>((AF314-L314)/L314)*100</f>
        <v/>
      </c>
      <c r="AH313" s="106">
        <f>AJ314-AF314</f>
        <v/>
      </c>
      <c r="AI313" s="106" t="n">
        <v>15990</v>
      </c>
      <c r="AJ313" s="106" t="n">
        <v>14990</v>
      </c>
      <c r="AK313" s="14">
        <f>(AJ314-L314)/L314*100</f>
        <v/>
      </c>
      <c r="AL313" s="14" t="n"/>
      <c r="AM313" s="14">
        <f>AH314/AJ314%</f>
        <v/>
      </c>
      <c r="AN313" s="14">
        <f>AK314-AG314</f>
        <v/>
      </c>
      <c r="AO313" s="103">
        <f>AJ314/L314</f>
        <v/>
      </c>
      <c r="AP313" s="14">
        <f>(AJ314-AB314)/100</f>
        <v/>
      </c>
      <c r="AQ313" s="14">
        <f>(AJ314-AC314)/100</f>
        <v/>
      </c>
      <c r="AR313" s="104">
        <f>AI314/94</f>
        <v/>
      </c>
      <c r="AS313" s="104">
        <f>AJ314/94</f>
        <v/>
      </c>
      <c r="AT313" s="105">
        <f>AI314/24</f>
        <v/>
      </c>
      <c r="AU313" s="105">
        <f>AJ314/24</f>
        <v/>
      </c>
      <c r="AV313" s="105">
        <f>AI314/125</f>
        <v/>
      </c>
      <c r="AW313" s="105">
        <f>AJ314/125</f>
        <v/>
      </c>
      <c r="AX313" s="107" t="n"/>
      <c r="AY313" s="107" t="n"/>
    </row>
    <row r="314" ht="15.75" customHeight="1" s="258">
      <c r="A314" s="96" t="n"/>
      <c r="B314" s="96" t="inlineStr">
        <is>
          <t>Golden Feet / 10 in</t>
        </is>
      </c>
      <c r="C314" s="96" t="inlineStr">
        <is>
          <t>MI-SB-GF-10</t>
        </is>
      </c>
      <c r="D314" s="94" t="n"/>
      <c r="E314" s="96" t="n">
        <v>145</v>
      </c>
      <c r="F314" s="96" t="n">
        <v>10</v>
      </c>
      <c r="G314" s="94" t="n">
        <v>83061000</v>
      </c>
      <c r="H314" s="97" t="n">
        <v>0.05</v>
      </c>
      <c r="I314" s="96">
        <f>D315*H315</f>
        <v/>
      </c>
      <c r="J314" s="107" t="n"/>
      <c r="K314" s="96">
        <f>D315*4%</f>
        <v/>
      </c>
      <c r="L314" s="98">
        <f>K315+J315+I315+F315+E315+D315</f>
        <v/>
      </c>
      <c r="M314" s="96">
        <f>D315*1%</f>
        <v/>
      </c>
      <c r="N314" s="99">
        <f>L315*8%</f>
        <v/>
      </c>
      <c r="O314" s="99">
        <f>L315*10%</f>
        <v/>
      </c>
      <c r="P314" s="99">
        <f>L315*5%</f>
        <v/>
      </c>
      <c r="Q314" s="99">
        <f>L315*2%</f>
        <v/>
      </c>
      <c r="R314" s="99">
        <f>AC315*0.5%</f>
        <v/>
      </c>
      <c r="S314" s="99">
        <f>L315*1%</f>
        <v/>
      </c>
      <c r="T314" s="100">
        <f>S315+Q315+P315+O315+N315+M315</f>
        <v/>
      </c>
      <c r="U314" s="96">
        <f>AC315*1%</f>
        <v/>
      </c>
      <c r="V314" s="44">
        <f>AC315*5%</f>
        <v/>
      </c>
      <c r="W314" s="96">
        <f>AC315*1%</f>
        <v/>
      </c>
      <c r="X314" s="96">
        <f>AC315*8%</f>
        <v/>
      </c>
      <c r="Y314" s="96">
        <f>U315+V315+W315+X315</f>
        <v/>
      </c>
      <c r="Z314" s="100">
        <f>Y315+T315+L315</f>
        <v/>
      </c>
      <c r="AA314" s="101">
        <f>Z315*20%</f>
        <v/>
      </c>
      <c r="AB314" s="99">
        <f>Z315+AA315</f>
        <v/>
      </c>
      <c r="AC314" s="96">
        <f>D315*2.1</f>
        <v/>
      </c>
      <c r="AD314" s="99">
        <f>AB315-AC315</f>
        <v/>
      </c>
      <c r="AE314" s="99">
        <f>AD315/AB315*100</f>
        <v/>
      </c>
      <c r="AF314" s="107" t="n">
        <v>18500</v>
      </c>
      <c r="AG314" s="102">
        <f>((AF315-L315)/L315)*100</f>
        <v/>
      </c>
      <c r="AH314" s="106">
        <f>AJ315-AF315</f>
        <v/>
      </c>
      <c r="AI314" s="106" t="n">
        <v>20990</v>
      </c>
      <c r="AJ314" s="106" t="n">
        <v>18990</v>
      </c>
      <c r="AK314" s="14">
        <f>(AJ315-L315)/L315*100</f>
        <v/>
      </c>
      <c r="AL314" s="14" t="n"/>
      <c r="AM314" s="14">
        <f>AH315/AJ315%</f>
        <v/>
      </c>
      <c r="AN314" s="14">
        <f>AK315-AG315</f>
        <v/>
      </c>
      <c r="AO314" s="103">
        <f>AJ315/L315</f>
        <v/>
      </c>
      <c r="AP314" s="14">
        <f>(AJ315-AB315)/100</f>
        <v/>
      </c>
      <c r="AQ314" s="14">
        <f>(AJ315-AC315)/100</f>
        <v/>
      </c>
      <c r="AR314" s="104">
        <f>AI315/94</f>
        <v/>
      </c>
      <c r="AS314" s="104">
        <f>AJ315/94</f>
        <v/>
      </c>
      <c r="AT314" s="105">
        <f>AI315/24</f>
        <v/>
      </c>
      <c r="AU314" s="105">
        <f>AJ315/24</f>
        <v/>
      </c>
      <c r="AV314" s="105">
        <f>AI315/125</f>
        <v/>
      </c>
      <c r="AW314" s="105">
        <f>AJ315/125</f>
        <v/>
      </c>
      <c r="AX314" s="107" t="n"/>
      <c r="AY314" s="107" t="n"/>
    </row>
    <row r="315" ht="15.75" customHeight="1" s="258">
      <c r="A315" s="96" t="n"/>
      <c r="B315" s="96" t="inlineStr">
        <is>
          <t>Golden Feet / 11 in</t>
        </is>
      </c>
      <c r="C315" s="96" t="inlineStr">
        <is>
          <t>MI-SB-GF-11</t>
        </is>
      </c>
      <c r="D315" s="94" t="n"/>
      <c r="E315" s="96" t="n">
        <v>145</v>
      </c>
      <c r="F315" s="96" t="n">
        <v>10</v>
      </c>
      <c r="G315" s="94" t="n">
        <v>83061000</v>
      </c>
      <c r="H315" s="97" t="n">
        <v>0.05</v>
      </c>
      <c r="I315" s="96">
        <f>D316*H316</f>
        <v/>
      </c>
      <c r="J315" s="107" t="n"/>
      <c r="K315" s="96">
        <f>D316*4%</f>
        <v/>
      </c>
      <c r="L315" s="98">
        <f>K316+J316+I316+F316+E316+D316</f>
        <v/>
      </c>
      <c r="M315" s="96">
        <f>D316*1%</f>
        <v/>
      </c>
      <c r="N315" s="99">
        <f>L316*8%</f>
        <v/>
      </c>
      <c r="O315" s="99">
        <f>L316*10%</f>
        <v/>
      </c>
      <c r="P315" s="99">
        <f>L316*5%</f>
        <v/>
      </c>
      <c r="Q315" s="99">
        <f>L316*2%</f>
        <v/>
      </c>
      <c r="R315" s="99">
        <f>AC316*0.5%</f>
        <v/>
      </c>
      <c r="S315" s="99">
        <f>L316*1%</f>
        <v/>
      </c>
      <c r="T315" s="100">
        <f>S316+Q316+P316+O316+N316+M316</f>
        <v/>
      </c>
      <c r="U315" s="96">
        <f>AC316*1%</f>
        <v/>
      </c>
      <c r="V315" s="44">
        <f>AC316*5%</f>
        <v/>
      </c>
      <c r="W315" s="96">
        <f>AC316*1%</f>
        <v/>
      </c>
      <c r="X315" s="96">
        <f>AC316*8%</f>
        <v/>
      </c>
      <c r="Y315" s="96">
        <f>U316+V316+W316+X316</f>
        <v/>
      </c>
      <c r="Z315" s="100">
        <f>Y316+T316+L316</f>
        <v/>
      </c>
      <c r="AA315" s="101">
        <f>Z316*20%</f>
        <v/>
      </c>
      <c r="AB315" s="99">
        <f>Z316+AA316</f>
        <v/>
      </c>
      <c r="AC315" s="96">
        <f>D316*2.1</f>
        <v/>
      </c>
      <c r="AD315" s="99">
        <f>AB316-AC316</f>
        <v/>
      </c>
      <c r="AE315" s="99">
        <f>AD316/AB316*100</f>
        <v/>
      </c>
      <c r="AF315" s="107" t="n">
        <v>21500</v>
      </c>
      <c r="AG315" s="102">
        <f>((AF316-L316)/L316)*100</f>
        <v/>
      </c>
      <c r="AH315" s="106">
        <f>AJ316-AF316</f>
        <v/>
      </c>
      <c r="AI315" s="106" t="n">
        <v>23990</v>
      </c>
      <c r="AJ315" s="106" t="n">
        <v>21990</v>
      </c>
      <c r="AK315" s="14">
        <f>(AJ316-L316)/L316*100</f>
        <v/>
      </c>
      <c r="AL315" s="14" t="n"/>
      <c r="AM315" s="14">
        <f>AH316/AJ316%</f>
        <v/>
      </c>
      <c r="AN315" s="14">
        <f>AK316-AG316</f>
        <v/>
      </c>
      <c r="AO315" s="103">
        <f>AJ316/L316</f>
        <v/>
      </c>
      <c r="AP315" s="14">
        <f>(AJ316-AB316)/100</f>
        <v/>
      </c>
      <c r="AQ315" s="14">
        <f>(AJ316-AC316)/100</f>
        <v/>
      </c>
      <c r="AR315" s="104">
        <f>AI316/94</f>
        <v/>
      </c>
      <c r="AS315" s="104">
        <f>AJ316/94</f>
        <v/>
      </c>
      <c r="AT315" s="105">
        <f>AI316/24</f>
        <v/>
      </c>
      <c r="AU315" s="105">
        <f>AJ316/24</f>
        <v/>
      </c>
      <c r="AV315" s="105">
        <f>AI316/125</f>
        <v/>
      </c>
      <c r="AW315" s="105">
        <f>AJ316/125</f>
        <v/>
      </c>
      <c r="AX315" s="107" t="n"/>
      <c r="AY315" s="107" t="n"/>
    </row>
    <row r="316" ht="15.75" customHeight="1" s="258">
      <c r="A316" s="96" t="n"/>
      <c r="B316" s="96" t="inlineStr">
        <is>
          <t>Golden Feet / 12 in</t>
        </is>
      </c>
      <c r="C316" s="96" t="inlineStr">
        <is>
          <t>MI-SB-GF-12</t>
        </is>
      </c>
      <c r="D316" s="94" t="n"/>
      <c r="E316" s="96" t="n">
        <v>145</v>
      </c>
      <c r="F316" s="96" t="n">
        <v>10</v>
      </c>
      <c r="G316" s="94" t="n">
        <v>83061000</v>
      </c>
      <c r="H316" s="97" t="n">
        <v>0.05</v>
      </c>
      <c r="I316" s="96">
        <f>D317*H317</f>
        <v/>
      </c>
      <c r="J316" s="107" t="n"/>
      <c r="K316" s="96">
        <f>D317*4%</f>
        <v/>
      </c>
      <c r="L316" s="98">
        <f>K317+J317+I317+F317+E317+D317</f>
        <v/>
      </c>
      <c r="M316" s="96">
        <f>D317*1%</f>
        <v/>
      </c>
      <c r="N316" s="99">
        <f>L317*8%</f>
        <v/>
      </c>
      <c r="O316" s="99">
        <f>L317*10%</f>
        <v/>
      </c>
      <c r="P316" s="99">
        <f>L317*5%</f>
        <v/>
      </c>
      <c r="Q316" s="99">
        <f>L317*2%</f>
        <v/>
      </c>
      <c r="R316" s="99">
        <f>AC317*0.5%</f>
        <v/>
      </c>
      <c r="S316" s="99">
        <f>L317*1%</f>
        <v/>
      </c>
      <c r="T316" s="100">
        <f>S317+Q317+P317+O317+N317+M317</f>
        <v/>
      </c>
      <c r="U316" s="96">
        <f>AC317*1%</f>
        <v/>
      </c>
      <c r="V316" s="44">
        <f>AC317*5%</f>
        <v/>
      </c>
      <c r="W316" s="96">
        <f>AC317*1%</f>
        <v/>
      </c>
      <c r="X316" s="96">
        <f>AC317*8%</f>
        <v/>
      </c>
      <c r="Y316" s="96">
        <f>U317+V317+W317+X317</f>
        <v/>
      </c>
      <c r="Z316" s="100">
        <f>Y317+T317+L317</f>
        <v/>
      </c>
      <c r="AA316" s="101">
        <f>Z317*20%</f>
        <v/>
      </c>
      <c r="AB316" s="99">
        <f>Z317+AA317</f>
        <v/>
      </c>
      <c r="AC316" s="96">
        <f>D317*2.1</f>
        <v/>
      </c>
      <c r="AD316" s="99">
        <f>AB317-AC317</f>
        <v/>
      </c>
      <c r="AE316" s="99">
        <f>AD317/AB317*100</f>
        <v/>
      </c>
      <c r="AF316" s="107" t="n">
        <v>24500</v>
      </c>
      <c r="AG316" s="102">
        <f>((AF317-L317)/L317)*100</f>
        <v/>
      </c>
      <c r="AH316" s="106">
        <f>AJ317-AF317</f>
        <v/>
      </c>
      <c r="AI316" s="106" t="n">
        <v>26990</v>
      </c>
      <c r="AJ316" s="106" t="n">
        <v>24990</v>
      </c>
      <c r="AK316" s="14">
        <f>(AJ317-L317)/L317*100</f>
        <v/>
      </c>
      <c r="AL316" s="14" t="n"/>
      <c r="AM316" s="14">
        <f>AH317/AJ317%</f>
        <v/>
      </c>
      <c r="AN316" s="14">
        <f>AK317-AG317</f>
        <v/>
      </c>
      <c r="AO316" s="103">
        <f>AJ317/L317</f>
        <v/>
      </c>
      <c r="AP316" s="14">
        <f>(AJ317-AB317)/100</f>
        <v/>
      </c>
      <c r="AQ316" s="14">
        <f>(AJ317-AC317)/100</f>
        <v/>
      </c>
      <c r="AR316" s="104">
        <f>AI317/94</f>
        <v/>
      </c>
      <c r="AS316" s="104">
        <f>AJ317/94</f>
        <v/>
      </c>
      <c r="AT316" s="105">
        <f>AI317/24</f>
        <v/>
      </c>
      <c r="AU316" s="105">
        <f>AJ317/24</f>
        <v/>
      </c>
      <c r="AV316" s="105">
        <f>AI317/125</f>
        <v/>
      </c>
      <c r="AW316" s="105">
        <f>AJ317/125</f>
        <v/>
      </c>
      <c r="AX316" s="107" t="n"/>
      <c r="AY316" s="107" t="n"/>
    </row>
    <row r="317" ht="15.75" customHeight="1" s="258">
      <c r="A317" s="96" t="n"/>
      <c r="B317" s="96" t="inlineStr">
        <is>
          <t>Golden Feet / 6 in</t>
        </is>
      </c>
      <c r="C317" s="96" t="inlineStr">
        <is>
          <t>MI-SB-GF-6</t>
        </is>
      </c>
      <c r="D317" s="94" t="n"/>
      <c r="E317" s="96" t="n">
        <v>125</v>
      </c>
      <c r="F317" s="96" t="n">
        <v>10</v>
      </c>
      <c r="G317" s="94" t="n">
        <v>83061000</v>
      </c>
      <c r="H317" s="97" t="n">
        <v>0.05</v>
      </c>
      <c r="I317" s="96">
        <f>D318*H318</f>
        <v/>
      </c>
      <c r="J317" s="107" t="n"/>
      <c r="K317" s="96">
        <f>D318*4%</f>
        <v/>
      </c>
      <c r="L317" s="98">
        <f>K318+J318+I318+F318+E318+D318</f>
        <v/>
      </c>
      <c r="M317" s="96">
        <f>D318*1%</f>
        <v/>
      </c>
      <c r="N317" s="99">
        <f>L318*8%</f>
        <v/>
      </c>
      <c r="O317" s="99">
        <f>L318*10%</f>
        <v/>
      </c>
      <c r="P317" s="99">
        <f>L318*5%</f>
        <v/>
      </c>
      <c r="Q317" s="99">
        <f>L318*2%</f>
        <v/>
      </c>
      <c r="R317" s="99">
        <f>AC318*0.5%</f>
        <v/>
      </c>
      <c r="S317" s="99">
        <f>L318*1%</f>
        <v/>
      </c>
      <c r="T317" s="100">
        <f>S318+Q318+P318+O318+N318+M318</f>
        <v/>
      </c>
      <c r="U317" s="96">
        <f>AC318*1%</f>
        <v/>
      </c>
      <c r="V317" s="44">
        <f>AC318*5%</f>
        <v/>
      </c>
      <c r="W317" s="96">
        <f>AC318*1%</f>
        <v/>
      </c>
      <c r="X317" s="96">
        <f>AC318*8%</f>
        <v/>
      </c>
      <c r="Y317" s="96">
        <f>U318+V318+W318+X318</f>
        <v/>
      </c>
      <c r="Z317" s="100">
        <f>Y318+T318+L318</f>
        <v/>
      </c>
      <c r="AA317" s="101">
        <f>Z318*20%</f>
        <v/>
      </c>
      <c r="AB317" s="99">
        <f>Z318+AA318</f>
        <v/>
      </c>
      <c r="AC317" s="96">
        <f>D318*2.1</f>
        <v/>
      </c>
      <c r="AD317" s="99">
        <f>AB318-AC318</f>
        <v/>
      </c>
      <c r="AE317" s="99">
        <f>AD318/AB318*100</f>
        <v/>
      </c>
      <c r="AF317" s="107" t="n">
        <v>10500</v>
      </c>
      <c r="AG317" s="102">
        <f>((AF318-L318)/L318)*100</f>
        <v/>
      </c>
      <c r="AH317" s="106">
        <f>AJ318-AF318</f>
        <v/>
      </c>
      <c r="AI317" s="106" t="n">
        <v>11990</v>
      </c>
      <c r="AJ317" s="106" t="n">
        <v>10990</v>
      </c>
      <c r="AK317" s="14">
        <f>(AJ318-L318)/L318*100</f>
        <v/>
      </c>
      <c r="AL317" s="14" t="n"/>
      <c r="AM317" s="14">
        <f>AH318/AJ318%</f>
        <v/>
      </c>
      <c r="AN317" s="14">
        <f>AK318-AG318</f>
        <v/>
      </c>
      <c r="AO317" s="103">
        <f>AJ318/L318</f>
        <v/>
      </c>
      <c r="AP317" s="14">
        <f>(AJ318-AB318)/100</f>
        <v/>
      </c>
      <c r="AQ317" s="14">
        <f>(AJ318-AC318)/100</f>
        <v/>
      </c>
      <c r="AR317" s="104">
        <f>AI318/94</f>
        <v/>
      </c>
      <c r="AS317" s="104">
        <f>AJ318/94</f>
        <v/>
      </c>
      <c r="AT317" s="105">
        <f>AI318/24</f>
        <v/>
      </c>
      <c r="AU317" s="105">
        <f>AJ318/24</f>
        <v/>
      </c>
      <c r="AV317" s="105">
        <f>AI318/125</f>
        <v/>
      </c>
      <c r="AW317" s="105">
        <f>AJ318/125</f>
        <v/>
      </c>
      <c r="AX317" s="107" t="n"/>
      <c r="AY317" s="107" t="n"/>
    </row>
    <row r="318" ht="15.75" customHeight="1" s="258">
      <c r="A318" s="96" t="n"/>
      <c r="B318" s="96" t="inlineStr">
        <is>
          <t>Golden Feet / 7 in</t>
        </is>
      </c>
      <c r="C318" s="96" t="inlineStr">
        <is>
          <t>MI-SB-GF-7</t>
        </is>
      </c>
      <c r="D318" s="94" t="n"/>
      <c r="E318" s="96" t="n">
        <v>125</v>
      </c>
      <c r="F318" s="96" t="n">
        <v>10</v>
      </c>
      <c r="G318" s="94" t="n">
        <v>83061000</v>
      </c>
      <c r="H318" s="97" t="n">
        <v>0.05</v>
      </c>
      <c r="I318" s="96">
        <f>D319*H319</f>
        <v/>
      </c>
      <c r="J318" s="107" t="n"/>
      <c r="K318" s="96">
        <f>D319*4%</f>
        <v/>
      </c>
      <c r="L318" s="98">
        <f>K319+J319+I319+F319+E319+D319</f>
        <v/>
      </c>
      <c r="M318" s="96">
        <f>D319*1%</f>
        <v/>
      </c>
      <c r="N318" s="99">
        <f>L319*8%</f>
        <v/>
      </c>
      <c r="O318" s="99">
        <f>L319*10%</f>
        <v/>
      </c>
      <c r="P318" s="99">
        <f>L319*5%</f>
        <v/>
      </c>
      <c r="Q318" s="99">
        <f>L319*2%</f>
        <v/>
      </c>
      <c r="R318" s="99">
        <f>AC319*0.5%</f>
        <v/>
      </c>
      <c r="S318" s="99">
        <f>L319*1%</f>
        <v/>
      </c>
      <c r="T318" s="100">
        <f>S319+Q319+P319+O319+N319+M319</f>
        <v/>
      </c>
      <c r="U318" s="96">
        <f>AC319*1%</f>
        <v/>
      </c>
      <c r="V318" s="44">
        <f>AC319*5%</f>
        <v/>
      </c>
      <c r="W318" s="96">
        <f>AC319*1%</f>
        <v/>
      </c>
      <c r="X318" s="96">
        <f>AC319*8%</f>
        <v/>
      </c>
      <c r="Y318" s="96">
        <f>U319+V319+W319+X319</f>
        <v/>
      </c>
      <c r="Z318" s="100">
        <f>Y319+T319+L319</f>
        <v/>
      </c>
      <c r="AA318" s="101">
        <f>Z319*20%</f>
        <v/>
      </c>
      <c r="AB318" s="99">
        <f>Z319+AA319</f>
        <v/>
      </c>
      <c r="AC318" s="96">
        <f>D319*2.1</f>
        <v/>
      </c>
      <c r="AD318" s="99">
        <f>AB319-AC319</f>
        <v/>
      </c>
      <c r="AE318" s="99">
        <f>AD319/AB319*100</f>
        <v/>
      </c>
      <c r="AF318" s="107" t="n">
        <v>12500</v>
      </c>
      <c r="AG318" s="102">
        <f>((AF319-L319)/L319)*100</f>
        <v/>
      </c>
      <c r="AH318" s="106">
        <f>AJ319-AF319</f>
        <v/>
      </c>
      <c r="AI318" s="106" t="n">
        <v>13990</v>
      </c>
      <c r="AJ318" s="106" t="n">
        <v>12990</v>
      </c>
      <c r="AK318" s="14">
        <f>(AJ319-L319)/L319*100</f>
        <v/>
      </c>
      <c r="AL318" s="14" t="n"/>
      <c r="AM318" s="14">
        <f>AH319/AJ319%</f>
        <v/>
      </c>
      <c r="AN318" s="14">
        <f>AK319-AG319</f>
        <v/>
      </c>
      <c r="AO318" s="103">
        <f>AJ319/L319</f>
        <v/>
      </c>
      <c r="AP318" s="14">
        <f>(AJ319-AB319)/100</f>
        <v/>
      </c>
      <c r="AQ318" s="14">
        <f>(AJ319-AC319)/100</f>
        <v/>
      </c>
      <c r="AR318" s="104">
        <f>AI319/94</f>
        <v/>
      </c>
      <c r="AS318" s="104">
        <f>AJ319/94</f>
        <v/>
      </c>
      <c r="AT318" s="105">
        <f>AI319/24</f>
        <v/>
      </c>
      <c r="AU318" s="105">
        <f>AJ319/24</f>
        <v/>
      </c>
      <c r="AV318" s="105">
        <f>AI319/125</f>
        <v/>
      </c>
      <c r="AW318" s="105">
        <f>AJ319/125</f>
        <v/>
      </c>
      <c r="AX318" s="107" t="n"/>
      <c r="AY318" s="107" t="n"/>
    </row>
    <row r="319" ht="15.75" customHeight="1" s="258">
      <c r="A319" s="96" t="n"/>
      <c r="B319" s="96" t="inlineStr">
        <is>
          <t>8 in / Golden Feet</t>
        </is>
      </c>
      <c r="C319" s="96" t="inlineStr">
        <is>
          <t>MI-SB-GF-8</t>
        </is>
      </c>
      <c r="D319" s="94" t="n"/>
      <c r="E319" s="96" t="n">
        <v>145</v>
      </c>
      <c r="F319" s="96" t="n">
        <v>10</v>
      </c>
      <c r="G319" s="94" t="n">
        <v>83061000</v>
      </c>
      <c r="H319" s="97" t="n">
        <v>0.05</v>
      </c>
      <c r="I319" s="96">
        <f>D320*H320</f>
        <v/>
      </c>
      <c r="J319" s="107" t="n"/>
      <c r="K319" s="96">
        <f>D320*4%</f>
        <v/>
      </c>
      <c r="L319" s="98">
        <f>K320+J320+I320+F320+E320+D320</f>
        <v/>
      </c>
      <c r="M319" s="96">
        <f>D320*1%</f>
        <v/>
      </c>
      <c r="N319" s="99">
        <f>L320*8%</f>
        <v/>
      </c>
      <c r="O319" s="99">
        <f>L320*10%</f>
        <v/>
      </c>
      <c r="P319" s="99">
        <f>L320*5%</f>
        <v/>
      </c>
      <c r="Q319" s="99">
        <f>L320*2%</f>
        <v/>
      </c>
      <c r="R319" s="99">
        <f>AC320*0.5%</f>
        <v/>
      </c>
      <c r="S319" s="99">
        <f>L320*1%</f>
        <v/>
      </c>
      <c r="T319" s="100">
        <f>S320+Q320+P320+O320+N320+M320</f>
        <v/>
      </c>
      <c r="U319" s="96">
        <f>AC320*1%</f>
        <v/>
      </c>
      <c r="V319" s="44">
        <f>AC320*5%</f>
        <v/>
      </c>
      <c r="W319" s="96">
        <f>AC320*1%</f>
        <v/>
      </c>
      <c r="X319" s="96">
        <f>AC320*8%</f>
        <v/>
      </c>
      <c r="Y319" s="96">
        <f>U320+V320+W320+X320</f>
        <v/>
      </c>
      <c r="Z319" s="100">
        <f>Y320+T320+L320</f>
        <v/>
      </c>
      <c r="AA319" s="101">
        <f>Z320*20%</f>
        <v/>
      </c>
      <c r="AB319" s="99">
        <f>Z320+AA320</f>
        <v/>
      </c>
      <c r="AC319" s="96">
        <f>D320*2.1</f>
        <v/>
      </c>
      <c r="AD319" s="99">
        <f>AB320-AC320</f>
        <v/>
      </c>
      <c r="AE319" s="99">
        <f>AD320/AB320*100</f>
        <v/>
      </c>
      <c r="AF319" s="107" t="n">
        <v>14500</v>
      </c>
      <c r="AG319" s="102">
        <f>((AF320-L320)/L320)*100</f>
        <v/>
      </c>
      <c r="AH319" s="106">
        <f>AJ320-AF320</f>
        <v/>
      </c>
      <c r="AI319" s="106" t="n">
        <v>15990</v>
      </c>
      <c r="AJ319" s="106" t="n">
        <v>14990</v>
      </c>
      <c r="AK319" s="14">
        <f>(AJ320-L320)/L320*100</f>
        <v/>
      </c>
      <c r="AL319" s="14" t="n"/>
      <c r="AM319" s="14">
        <f>AH320/AJ320%</f>
        <v/>
      </c>
      <c r="AN319" s="14">
        <f>AK320-AG320</f>
        <v/>
      </c>
      <c r="AO319" s="103">
        <f>AJ320/L320</f>
        <v/>
      </c>
      <c r="AP319" s="14">
        <f>(AJ320-AB320)/100</f>
        <v/>
      </c>
      <c r="AQ319" s="14">
        <f>(AJ320-AC320)/100</f>
        <v/>
      </c>
      <c r="AR319" s="104">
        <f>AI320/94</f>
        <v/>
      </c>
      <c r="AS319" s="104">
        <f>AJ320/94</f>
        <v/>
      </c>
      <c r="AT319" s="105">
        <f>AI320/24</f>
        <v/>
      </c>
      <c r="AU319" s="105">
        <f>AJ320/24</f>
        <v/>
      </c>
      <c r="AV319" s="105">
        <f>AI320/125</f>
        <v/>
      </c>
      <c r="AW319" s="105">
        <f>AJ320/125</f>
        <v/>
      </c>
      <c r="AX319" s="107" t="n"/>
      <c r="AY319" s="107" t="n"/>
    </row>
    <row r="320" ht="15.75" customHeight="1" s="258">
      <c r="A320" s="96" t="n"/>
      <c r="B320" s="96" t="inlineStr">
        <is>
          <t>Golden Feet / 9 in</t>
        </is>
      </c>
      <c r="C320" s="96" t="inlineStr">
        <is>
          <t>MI-SB-GF-9</t>
        </is>
      </c>
      <c r="D320" s="94" t="n"/>
      <c r="E320" s="96" t="n">
        <v>145</v>
      </c>
      <c r="F320" s="96" t="n">
        <v>10</v>
      </c>
      <c r="G320" s="94" t="n">
        <v>83061000</v>
      </c>
      <c r="H320" s="97" t="n">
        <v>0.05</v>
      </c>
      <c r="I320" s="96">
        <f>D321*H321</f>
        <v/>
      </c>
      <c r="J320" s="107" t="n"/>
      <c r="K320" s="96">
        <f>D321*4%</f>
        <v/>
      </c>
      <c r="L320" s="98">
        <f>K321+J321+I321+F321+E321+D321</f>
        <v/>
      </c>
      <c r="M320" s="96">
        <f>D321*1%</f>
        <v/>
      </c>
      <c r="N320" s="99">
        <f>L321*8%</f>
        <v/>
      </c>
      <c r="O320" s="99">
        <f>L321*10%</f>
        <v/>
      </c>
      <c r="P320" s="99">
        <f>L321*5%</f>
        <v/>
      </c>
      <c r="Q320" s="99">
        <f>L321*2%</f>
        <v/>
      </c>
      <c r="R320" s="99">
        <f>AC321*0.5%</f>
        <v/>
      </c>
      <c r="S320" s="99">
        <f>L321*1%</f>
        <v/>
      </c>
      <c r="T320" s="100">
        <f>S321+Q321+P321+O321+N321+M321</f>
        <v/>
      </c>
      <c r="U320" s="96">
        <f>AC321*1%</f>
        <v/>
      </c>
      <c r="V320" s="44">
        <f>AC321*5%</f>
        <v/>
      </c>
      <c r="W320" s="96">
        <f>AC321*1%</f>
        <v/>
      </c>
      <c r="X320" s="96">
        <f>AC321*8%</f>
        <v/>
      </c>
      <c r="Y320" s="96">
        <f>U321+V321+W321+X321</f>
        <v/>
      </c>
      <c r="Z320" s="100">
        <f>Y321+T321+L321</f>
        <v/>
      </c>
      <c r="AA320" s="101">
        <f>Z321*20%</f>
        <v/>
      </c>
      <c r="AB320" s="99">
        <f>Z321+AA321</f>
        <v/>
      </c>
      <c r="AC320" s="96">
        <f>D321*2.1</f>
        <v/>
      </c>
      <c r="AD320" s="99">
        <f>AB321-AC321</f>
        <v/>
      </c>
      <c r="AE320" s="99">
        <f>AD321/AB321*100</f>
        <v/>
      </c>
      <c r="AF320" s="107" t="n">
        <v>16500</v>
      </c>
      <c r="AG320" s="102">
        <f>((AF321-L321)/L321)*100</f>
        <v/>
      </c>
      <c r="AH320" s="106">
        <f>AJ321-AF321</f>
        <v/>
      </c>
      <c r="AI320" s="106" t="n">
        <v>18990</v>
      </c>
      <c r="AJ320" s="106" t="n">
        <v>16990</v>
      </c>
      <c r="AK320" s="14">
        <f>(AJ321-L321)/L321*100</f>
        <v/>
      </c>
      <c r="AL320" s="14" t="n"/>
      <c r="AM320" s="14">
        <f>AH321/AJ321%</f>
        <v/>
      </c>
      <c r="AN320" s="14">
        <f>AK321-AG321</f>
        <v/>
      </c>
      <c r="AO320" s="103">
        <f>AJ321/L321</f>
        <v/>
      </c>
      <c r="AP320" s="14">
        <f>(AJ321-AB321)/100</f>
        <v/>
      </c>
      <c r="AQ320" s="14">
        <f>(AJ321-AC321)/100</f>
        <v/>
      </c>
      <c r="AR320" s="104">
        <f>AI321/94</f>
        <v/>
      </c>
      <c r="AS320" s="104">
        <f>AJ321/94</f>
        <v/>
      </c>
      <c r="AT320" s="105">
        <f>AI321/24</f>
        <v/>
      </c>
      <c r="AU320" s="105">
        <f>AJ321/24</f>
        <v/>
      </c>
      <c r="AV320" s="105">
        <f>AI321/125</f>
        <v/>
      </c>
      <c r="AW320" s="105">
        <f>AJ321/125</f>
        <v/>
      </c>
      <c r="AX320" s="107" t="n"/>
      <c r="AY320" s="107" t="n"/>
    </row>
    <row r="321" ht="15.75" customHeight="1" s="258">
      <c r="A321" s="96" t="n"/>
      <c r="B321" s="96" t="inlineStr">
        <is>
          <t>Buddha / 10 in</t>
        </is>
      </c>
      <c r="C321" s="96" t="inlineStr">
        <is>
          <t>MI-SB-H-ET-B-10</t>
        </is>
      </c>
      <c r="D321" s="94" t="n"/>
      <c r="E321" s="96" t="n">
        <v>145</v>
      </c>
      <c r="F321" s="96" t="n">
        <v>10</v>
      </c>
      <c r="G321" s="94" t="n">
        <v>83061000</v>
      </c>
      <c r="H321" s="97" t="n">
        <v>0.05</v>
      </c>
      <c r="I321" s="96">
        <f>D322*H322</f>
        <v/>
      </c>
      <c r="J321" s="107" t="n"/>
      <c r="K321" s="96">
        <f>D322*4%</f>
        <v/>
      </c>
      <c r="L321" s="98">
        <f>K322+J322+I322+F322+E322+D322</f>
        <v/>
      </c>
      <c r="M321" s="96">
        <f>D322*1%</f>
        <v/>
      </c>
      <c r="N321" s="99">
        <f>L322*8%</f>
        <v/>
      </c>
      <c r="O321" s="99">
        <f>L322*10%</f>
        <v/>
      </c>
      <c r="P321" s="99">
        <f>L322*5%</f>
        <v/>
      </c>
      <c r="Q321" s="99">
        <f>L322*2%</f>
        <v/>
      </c>
      <c r="R321" s="99">
        <f>AC322*0.5%</f>
        <v/>
      </c>
      <c r="S321" s="99">
        <f>L322*1%</f>
        <v/>
      </c>
      <c r="T321" s="100">
        <f>S322+Q322+P322+O322+N322+M322</f>
        <v/>
      </c>
      <c r="U321" s="96">
        <f>AC322*1%</f>
        <v/>
      </c>
      <c r="V321" s="44">
        <f>AC322*5%</f>
        <v/>
      </c>
      <c r="W321" s="96">
        <f>AC322*1%</f>
        <v/>
      </c>
      <c r="X321" s="96">
        <f>AC322*8%</f>
        <v/>
      </c>
      <c r="Y321" s="96">
        <f>U322+V322+W322+X322</f>
        <v/>
      </c>
      <c r="Z321" s="100">
        <f>Y322+T322+L322</f>
        <v/>
      </c>
      <c r="AA321" s="101">
        <f>Z322*20%</f>
        <v/>
      </c>
      <c r="AB321" s="99">
        <f>Z322+AA322</f>
        <v/>
      </c>
      <c r="AC321" s="96">
        <f>D322*2.1</f>
        <v/>
      </c>
      <c r="AD321" s="99">
        <f>AB322-AC322</f>
        <v/>
      </c>
      <c r="AE321" s="99">
        <f>AD322/AB322*100</f>
        <v/>
      </c>
      <c r="AF321" s="107" t="n">
        <v>18500</v>
      </c>
      <c r="AG321" s="102">
        <f>((AF322-L322)/L322)*100</f>
        <v/>
      </c>
      <c r="AH321" s="106">
        <f>AJ322-AF322</f>
        <v/>
      </c>
      <c r="AI321" s="106" t="n">
        <v>19990</v>
      </c>
      <c r="AJ321" s="106" t="n">
        <v>18990</v>
      </c>
      <c r="AK321" s="14">
        <f>(AJ322-L322)/L322*100</f>
        <v/>
      </c>
      <c r="AL321" s="14" t="n"/>
      <c r="AM321" s="14">
        <f>AH322/AJ322%</f>
        <v/>
      </c>
      <c r="AN321" s="14">
        <f>AK322-AG322</f>
        <v/>
      </c>
      <c r="AO321" s="103">
        <f>AJ322/L322</f>
        <v/>
      </c>
      <c r="AP321" s="14">
        <f>(AJ322-AB322)/100</f>
        <v/>
      </c>
      <c r="AQ321" s="14">
        <f>(AJ322-AC322)/100</f>
        <v/>
      </c>
      <c r="AR321" s="104">
        <f>AI322/94</f>
        <v/>
      </c>
      <c r="AS321" s="104">
        <f>AJ322/94</f>
        <v/>
      </c>
      <c r="AT321" s="105">
        <f>AI322/24</f>
        <v/>
      </c>
      <c r="AU321" s="105">
        <f>AJ322/24</f>
        <v/>
      </c>
      <c r="AV321" s="105">
        <f>AI322/125</f>
        <v/>
      </c>
      <c r="AW321" s="105">
        <f>AJ322/125</f>
        <v/>
      </c>
      <c r="AX321" s="107" t="n"/>
      <c r="AY321" s="107" t="n"/>
    </row>
    <row r="322" ht="15.75" customHeight="1" s="258">
      <c r="A322" s="96" t="n"/>
      <c r="B322" s="96" t="inlineStr">
        <is>
          <t>Buddha / 11 in</t>
        </is>
      </c>
      <c r="C322" s="96" t="inlineStr">
        <is>
          <t>MI-SB-H-ET-B-11</t>
        </is>
      </c>
      <c r="D322" s="94" t="n"/>
      <c r="E322" s="96" t="n">
        <v>145</v>
      </c>
      <c r="F322" s="96" t="n">
        <v>10</v>
      </c>
      <c r="G322" s="94" t="n">
        <v>83061000</v>
      </c>
      <c r="H322" s="97" t="n">
        <v>0.05</v>
      </c>
      <c r="I322" s="96">
        <f>D323*H323</f>
        <v/>
      </c>
      <c r="J322" s="107" t="n"/>
      <c r="K322" s="96">
        <f>D323*4%</f>
        <v/>
      </c>
      <c r="L322" s="98">
        <f>K323+J323+I323+F323+E323+D323</f>
        <v/>
      </c>
      <c r="M322" s="96">
        <f>D323*1%</f>
        <v/>
      </c>
      <c r="N322" s="99">
        <f>L323*8%</f>
        <v/>
      </c>
      <c r="O322" s="99">
        <f>L323*10%</f>
        <v/>
      </c>
      <c r="P322" s="99">
        <f>L323*5%</f>
        <v/>
      </c>
      <c r="Q322" s="99">
        <f>L323*2%</f>
        <v/>
      </c>
      <c r="R322" s="99">
        <f>AC323*0.5%</f>
        <v/>
      </c>
      <c r="S322" s="99">
        <f>L323*1%</f>
        <v/>
      </c>
      <c r="T322" s="100">
        <f>S323+Q323+P323+O323+N323+M323</f>
        <v/>
      </c>
      <c r="U322" s="96">
        <f>AC323*1%</f>
        <v/>
      </c>
      <c r="V322" s="44">
        <f>AC323*5%</f>
        <v/>
      </c>
      <c r="W322" s="96">
        <f>AC323*1%</f>
        <v/>
      </c>
      <c r="X322" s="96">
        <f>AC323*8%</f>
        <v/>
      </c>
      <c r="Y322" s="96">
        <f>U323+V323+W323+X323</f>
        <v/>
      </c>
      <c r="Z322" s="100">
        <f>Y323+T323+L323</f>
        <v/>
      </c>
      <c r="AA322" s="101">
        <f>Z323*20%</f>
        <v/>
      </c>
      <c r="AB322" s="99">
        <f>Z323+AA323</f>
        <v/>
      </c>
      <c r="AC322" s="96">
        <f>D323*2.1</f>
        <v/>
      </c>
      <c r="AD322" s="99">
        <f>AB323-AC323</f>
        <v/>
      </c>
      <c r="AE322" s="99">
        <f>AD323/AB323*100</f>
        <v/>
      </c>
      <c r="AF322" s="107" t="n">
        <v>21500</v>
      </c>
      <c r="AG322" s="102">
        <f>((AF323-L323)/L323)*100</f>
        <v/>
      </c>
      <c r="AH322" s="106">
        <f>AJ323-AF323</f>
        <v/>
      </c>
      <c r="AI322" s="106" t="n">
        <v>23990</v>
      </c>
      <c r="AJ322" s="106" t="n">
        <v>21990</v>
      </c>
      <c r="AK322" s="14">
        <f>(AJ323-L323)/L323*100</f>
        <v/>
      </c>
      <c r="AL322" s="14" t="n"/>
      <c r="AM322" s="14">
        <f>AH323/AJ323%</f>
        <v/>
      </c>
      <c r="AN322" s="14">
        <f>AK323-AG323</f>
        <v/>
      </c>
      <c r="AO322" s="103">
        <f>AJ323/L323</f>
        <v/>
      </c>
      <c r="AP322" s="14">
        <f>(AJ323-AB323)/100</f>
        <v/>
      </c>
      <c r="AQ322" s="14">
        <f>(AJ323-AC323)/100</f>
        <v/>
      </c>
      <c r="AR322" s="104">
        <f>AI323/94</f>
        <v/>
      </c>
      <c r="AS322" s="104">
        <f>AJ323/94</f>
        <v/>
      </c>
      <c r="AT322" s="105">
        <f>AI323/24</f>
        <v/>
      </c>
      <c r="AU322" s="105">
        <f>AJ323/24</f>
        <v/>
      </c>
      <c r="AV322" s="105">
        <f>AI323/125</f>
        <v/>
      </c>
      <c r="AW322" s="105">
        <f>AJ323/125</f>
        <v/>
      </c>
      <c r="AX322" s="107" t="n"/>
      <c r="AY322" s="107" t="n"/>
    </row>
    <row r="323" ht="15.75" customHeight="1" s="258">
      <c r="A323" s="96" t="n"/>
      <c r="B323" s="96" t="inlineStr">
        <is>
          <t>Buddha / 12 in</t>
        </is>
      </c>
      <c r="C323" s="96" t="inlineStr">
        <is>
          <t>MI-SB-H-ET-B-12</t>
        </is>
      </c>
      <c r="D323" s="94" t="n"/>
      <c r="E323" s="96" t="n">
        <v>145</v>
      </c>
      <c r="F323" s="96" t="n">
        <v>10</v>
      </c>
      <c r="G323" s="94" t="n">
        <v>83061000</v>
      </c>
      <c r="H323" s="97" t="n">
        <v>0.05</v>
      </c>
      <c r="I323" s="96">
        <f>D324*H324</f>
        <v/>
      </c>
      <c r="J323" s="107" t="n"/>
      <c r="K323" s="96">
        <f>D324*4%</f>
        <v/>
      </c>
      <c r="L323" s="98">
        <f>K324+J324+I324+F324+E324+D324</f>
        <v/>
      </c>
      <c r="M323" s="96">
        <f>D324*1%</f>
        <v/>
      </c>
      <c r="N323" s="99">
        <f>L324*8%</f>
        <v/>
      </c>
      <c r="O323" s="99">
        <f>L324*10%</f>
        <v/>
      </c>
      <c r="P323" s="99">
        <f>L324*5%</f>
        <v/>
      </c>
      <c r="Q323" s="99">
        <f>L324*2%</f>
        <v/>
      </c>
      <c r="R323" s="99">
        <f>AC324*0.5%</f>
        <v/>
      </c>
      <c r="S323" s="99">
        <f>L324*1%</f>
        <v/>
      </c>
      <c r="T323" s="100">
        <f>S324+Q324+P324+O324+N324+M324</f>
        <v/>
      </c>
      <c r="U323" s="96">
        <f>AC324*1%</f>
        <v/>
      </c>
      <c r="V323" s="44">
        <f>AC324*5%</f>
        <v/>
      </c>
      <c r="W323" s="96">
        <f>AC324*1%</f>
        <v/>
      </c>
      <c r="X323" s="96">
        <f>AC324*8%</f>
        <v/>
      </c>
      <c r="Y323" s="96">
        <f>U324+V324+W324+X324</f>
        <v/>
      </c>
      <c r="Z323" s="100">
        <f>Y324+T324+L324</f>
        <v/>
      </c>
      <c r="AA323" s="101">
        <f>Z324*20%</f>
        <v/>
      </c>
      <c r="AB323" s="99">
        <f>Z324+AA324</f>
        <v/>
      </c>
      <c r="AC323" s="96">
        <f>D324*2.1</f>
        <v/>
      </c>
      <c r="AD323" s="99">
        <f>AB324-AC324</f>
        <v/>
      </c>
      <c r="AE323" s="99">
        <f>AD324/AB324*100</f>
        <v/>
      </c>
      <c r="AF323" s="107" t="n">
        <v>24500</v>
      </c>
      <c r="AG323" s="102">
        <f>((AF324-L324)/L324)*100</f>
        <v/>
      </c>
      <c r="AH323" s="106">
        <f>AJ324-AF324</f>
        <v/>
      </c>
      <c r="AI323" s="106" t="n">
        <v>26990</v>
      </c>
      <c r="AJ323" s="106" t="n">
        <v>25990</v>
      </c>
      <c r="AK323" s="14">
        <f>(AJ324-L324)/L324*100</f>
        <v/>
      </c>
      <c r="AL323" s="14" t="n"/>
      <c r="AM323" s="14">
        <f>AH324/AJ324%</f>
        <v/>
      </c>
      <c r="AN323" s="14">
        <f>AK324-AG324</f>
        <v/>
      </c>
      <c r="AO323" s="103">
        <f>AJ324/L324</f>
        <v/>
      </c>
      <c r="AP323" s="14">
        <f>(AJ324-AB324)/100</f>
        <v/>
      </c>
      <c r="AQ323" s="14">
        <f>(AJ324-AC324)/100</f>
        <v/>
      </c>
      <c r="AR323" s="104">
        <f>AI324/94</f>
        <v/>
      </c>
      <c r="AS323" s="104">
        <f>AJ324/94</f>
        <v/>
      </c>
      <c r="AT323" s="105">
        <f>AI324/24</f>
        <v/>
      </c>
      <c r="AU323" s="105">
        <f>AJ324/24</f>
        <v/>
      </c>
      <c r="AV323" s="105">
        <f>AI324/125</f>
        <v/>
      </c>
      <c r="AW323" s="105">
        <f>AJ324/125</f>
        <v/>
      </c>
      <c r="AX323" s="107" t="n"/>
      <c r="AY323" s="107" t="n"/>
    </row>
    <row r="324" ht="15.75" customHeight="1" s="258">
      <c r="A324" s="96" t="n"/>
      <c r="B324" s="96" t="inlineStr">
        <is>
          <t>Buddha / 7 in</t>
        </is>
      </c>
      <c r="C324" s="96" t="inlineStr">
        <is>
          <t>MI-SB-H-ET-B-7</t>
        </is>
      </c>
      <c r="D324" s="94" t="n"/>
      <c r="E324" s="96" t="n">
        <v>125</v>
      </c>
      <c r="F324" s="96" t="n">
        <v>10</v>
      </c>
      <c r="G324" s="94" t="n">
        <v>83061000</v>
      </c>
      <c r="H324" s="97" t="n">
        <v>0.05</v>
      </c>
      <c r="I324" s="96">
        <f>D325*H325</f>
        <v/>
      </c>
      <c r="J324" s="107" t="n"/>
      <c r="K324" s="96">
        <f>D325*4%</f>
        <v/>
      </c>
      <c r="L324" s="98">
        <f>K325+J325+I325+F325+E325+D325</f>
        <v/>
      </c>
      <c r="M324" s="96">
        <f>D325*1%</f>
        <v/>
      </c>
      <c r="N324" s="99">
        <f>L325*8%</f>
        <v/>
      </c>
      <c r="O324" s="99">
        <f>L325*10%</f>
        <v/>
      </c>
      <c r="P324" s="99">
        <f>L325*5%</f>
        <v/>
      </c>
      <c r="Q324" s="99">
        <f>L325*2%</f>
        <v/>
      </c>
      <c r="R324" s="99">
        <f>AC325*0.5%</f>
        <v/>
      </c>
      <c r="S324" s="99">
        <f>L325*1%</f>
        <v/>
      </c>
      <c r="T324" s="100">
        <f>S325+Q325+P325+O325+N325+M325</f>
        <v/>
      </c>
      <c r="U324" s="96">
        <f>AC325*1%</f>
        <v/>
      </c>
      <c r="V324" s="44">
        <f>AC325*5%</f>
        <v/>
      </c>
      <c r="W324" s="96">
        <f>AC325*1%</f>
        <v/>
      </c>
      <c r="X324" s="96">
        <f>AC325*8%</f>
        <v/>
      </c>
      <c r="Y324" s="96">
        <f>U325+V325+W325+X325</f>
        <v/>
      </c>
      <c r="Z324" s="100">
        <f>Y325+T325+L325</f>
        <v/>
      </c>
      <c r="AA324" s="101">
        <f>Z325*20%</f>
        <v/>
      </c>
      <c r="AB324" s="99">
        <f>Z325+AA325</f>
        <v/>
      </c>
      <c r="AC324" s="96">
        <f>D325*2.1</f>
        <v/>
      </c>
      <c r="AD324" s="99">
        <f>AB325-AC325</f>
        <v/>
      </c>
      <c r="AE324" s="99">
        <f>AD325/AB325*100</f>
        <v/>
      </c>
      <c r="AF324" s="107" t="n">
        <v>12500</v>
      </c>
      <c r="AG324" s="102">
        <f>((AF325-L325)/L325)*100</f>
        <v/>
      </c>
      <c r="AH324" s="106">
        <f>AJ325-AF325</f>
        <v/>
      </c>
      <c r="AI324" s="106" t="n">
        <v>13990</v>
      </c>
      <c r="AJ324" s="106" t="n">
        <v>12990</v>
      </c>
      <c r="AK324" s="14">
        <f>(AJ325-L325)/L325*100</f>
        <v/>
      </c>
      <c r="AL324" s="14" t="n"/>
      <c r="AM324" s="14">
        <f>AH325/AJ325%</f>
        <v/>
      </c>
      <c r="AN324" s="14">
        <f>AK325-AG325</f>
        <v/>
      </c>
      <c r="AO324" s="103">
        <f>AJ325/L325</f>
        <v/>
      </c>
      <c r="AP324" s="14">
        <f>(AJ325-AB325)/100</f>
        <v/>
      </c>
      <c r="AQ324" s="14">
        <f>(AJ325-AC325)/100</f>
        <v/>
      </c>
      <c r="AR324" s="104">
        <f>AI325/94</f>
        <v/>
      </c>
      <c r="AS324" s="104">
        <f>AJ325/94</f>
        <v/>
      </c>
      <c r="AT324" s="105">
        <f>AI325/24</f>
        <v/>
      </c>
      <c r="AU324" s="105">
        <f>AJ325/24</f>
        <v/>
      </c>
      <c r="AV324" s="105">
        <f>AI325/125</f>
        <v/>
      </c>
      <c r="AW324" s="105">
        <f>AJ325/125</f>
        <v/>
      </c>
      <c r="AX324" s="107" t="n"/>
      <c r="AY324" s="107" t="n"/>
    </row>
    <row r="325" ht="15.75" customHeight="1" s="258">
      <c r="A325" s="96" t="n"/>
      <c r="B325" s="96" t="inlineStr">
        <is>
          <t>8 in / Buddha</t>
        </is>
      </c>
      <c r="C325" s="96" t="inlineStr">
        <is>
          <t>MI-SB-H-ET-B-8</t>
        </is>
      </c>
      <c r="D325" s="94" t="n"/>
      <c r="E325" s="96" t="n">
        <v>125</v>
      </c>
      <c r="F325" s="96" t="n">
        <v>10</v>
      </c>
      <c r="G325" s="94" t="n">
        <v>83061000</v>
      </c>
      <c r="H325" s="97" t="n">
        <v>0.05</v>
      </c>
      <c r="I325" s="96">
        <f>D326*H326</f>
        <v/>
      </c>
      <c r="J325" s="107" t="n"/>
      <c r="K325" s="96">
        <f>D326*4%</f>
        <v/>
      </c>
      <c r="L325" s="98">
        <f>K326+J326+I326+F326+E326+D326</f>
        <v/>
      </c>
      <c r="M325" s="96">
        <f>D326*1%</f>
        <v/>
      </c>
      <c r="N325" s="99">
        <f>L326*8%</f>
        <v/>
      </c>
      <c r="O325" s="99">
        <f>L326*10%</f>
        <v/>
      </c>
      <c r="P325" s="99">
        <f>L326*5%</f>
        <v/>
      </c>
      <c r="Q325" s="99">
        <f>L326*2%</f>
        <v/>
      </c>
      <c r="R325" s="99">
        <f>AC326*0.5%</f>
        <v/>
      </c>
      <c r="S325" s="99">
        <f>L326*1%</f>
        <v/>
      </c>
      <c r="T325" s="100">
        <f>S326+Q326+P326+O326+N326+M326</f>
        <v/>
      </c>
      <c r="U325" s="96">
        <f>AC326*1%</f>
        <v/>
      </c>
      <c r="V325" s="44">
        <f>AC326*5%</f>
        <v/>
      </c>
      <c r="W325" s="96">
        <f>AC326*1%</f>
        <v/>
      </c>
      <c r="X325" s="96">
        <f>AC326*8%</f>
        <v/>
      </c>
      <c r="Y325" s="96">
        <f>U326+V326+W326+X326</f>
        <v/>
      </c>
      <c r="Z325" s="100">
        <f>Y326+T326+L326</f>
        <v/>
      </c>
      <c r="AA325" s="101">
        <f>Z326*20%</f>
        <v/>
      </c>
      <c r="AB325" s="99">
        <f>Z326+AA326</f>
        <v/>
      </c>
      <c r="AC325" s="96">
        <f>D326*2.1</f>
        <v/>
      </c>
      <c r="AD325" s="99">
        <f>AB326-AC326</f>
        <v/>
      </c>
      <c r="AE325" s="99">
        <f>AD326/AB326*100</f>
        <v/>
      </c>
      <c r="AF325" s="107" t="n">
        <v>14500</v>
      </c>
      <c r="AG325" s="102">
        <f>((AF326-L326)/L326)*100</f>
        <v/>
      </c>
      <c r="AH325" s="106">
        <f>AJ326-AF326</f>
        <v/>
      </c>
      <c r="AI325" s="106" t="n">
        <v>15990</v>
      </c>
      <c r="AJ325" s="106" t="n">
        <v>14990</v>
      </c>
      <c r="AK325" s="14">
        <f>(AJ326-L326)/L326*100</f>
        <v/>
      </c>
      <c r="AL325" s="14" t="n"/>
      <c r="AM325" s="14">
        <f>AH326/AJ326%</f>
        <v/>
      </c>
      <c r="AN325" s="14">
        <f>AK326-AG326</f>
        <v/>
      </c>
      <c r="AO325" s="103">
        <f>AJ326/L326</f>
        <v/>
      </c>
      <c r="AP325" s="14">
        <f>(AJ326-AB326)/100</f>
        <v/>
      </c>
      <c r="AQ325" s="14">
        <f>(AJ326-AC326)/100</f>
        <v/>
      </c>
      <c r="AR325" s="104">
        <f>AI326/94</f>
        <v/>
      </c>
      <c r="AS325" s="104">
        <f>AJ326/94</f>
        <v/>
      </c>
      <c r="AT325" s="105">
        <f>AI326/24</f>
        <v/>
      </c>
      <c r="AU325" s="105">
        <f>AJ326/24</f>
        <v/>
      </c>
      <c r="AV325" s="105">
        <f>AI326/125</f>
        <v/>
      </c>
      <c r="AW325" s="105">
        <f>AJ326/125</f>
        <v/>
      </c>
      <c r="AX325" s="107" t="n"/>
      <c r="AY325" s="107" t="n"/>
    </row>
    <row r="326" ht="15.75" customHeight="1" s="258">
      <c r="A326" s="96" t="n"/>
      <c r="B326" s="96" t="inlineStr">
        <is>
          <t>Buddha / 9 in</t>
        </is>
      </c>
      <c r="C326" s="96" t="inlineStr">
        <is>
          <t>MI-SB-H-ET-B-9</t>
        </is>
      </c>
      <c r="D326" s="94" t="n"/>
      <c r="E326" s="96" t="n">
        <v>145</v>
      </c>
      <c r="F326" s="96" t="n">
        <v>10</v>
      </c>
      <c r="G326" s="94" t="n">
        <v>83061000</v>
      </c>
      <c r="H326" s="97" t="n">
        <v>0.05</v>
      </c>
      <c r="I326" s="96">
        <f>D327*H327</f>
        <v/>
      </c>
      <c r="J326" s="107" t="n"/>
      <c r="K326" s="96">
        <f>D327*4%</f>
        <v/>
      </c>
      <c r="L326" s="98">
        <f>K327+J327+I327+F327+E327+D327</f>
        <v/>
      </c>
      <c r="M326" s="96">
        <f>D327*1%</f>
        <v/>
      </c>
      <c r="N326" s="99">
        <f>L327*8%</f>
        <v/>
      </c>
      <c r="O326" s="99">
        <f>L327*10%</f>
        <v/>
      </c>
      <c r="P326" s="99">
        <f>L327*5%</f>
        <v/>
      </c>
      <c r="Q326" s="99">
        <f>L327*2%</f>
        <v/>
      </c>
      <c r="R326" s="99">
        <f>AC327*0.5%</f>
        <v/>
      </c>
      <c r="S326" s="99">
        <f>L327*1%</f>
        <v/>
      </c>
      <c r="T326" s="100">
        <f>S327+Q327+P327+O327+N327+M327</f>
        <v/>
      </c>
      <c r="U326" s="96">
        <f>AC327*1%</f>
        <v/>
      </c>
      <c r="V326" s="44">
        <f>AC327*5%</f>
        <v/>
      </c>
      <c r="W326" s="96">
        <f>AC327*1%</f>
        <v/>
      </c>
      <c r="X326" s="96">
        <f>AC327*8%</f>
        <v/>
      </c>
      <c r="Y326" s="96">
        <f>U327+V327+W327+X327</f>
        <v/>
      </c>
      <c r="Z326" s="100">
        <f>Y327+T327+L327</f>
        <v/>
      </c>
      <c r="AA326" s="101">
        <f>Z327*20%</f>
        <v/>
      </c>
      <c r="AB326" s="99">
        <f>Z327+AA327</f>
        <v/>
      </c>
      <c r="AC326" s="96">
        <f>D327*2.1</f>
        <v/>
      </c>
      <c r="AD326" s="99">
        <f>AB327-AC327</f>
        <v/>
      </c>
      <c r="AE326" s="99">
        <f>AD327/AB327*100</f>
        <v/>
      </c>
      <c r="AF326" s="107" t="n">
        <v>16500</v>
      </c>
      <c r="AG326" s="102">
        <f>((AF327-L327)/L327)*100</f>
        <v/>
      </c>
      <c r="AH326" s="106">
        <f>AJ327-AF327</f>
        <v/>
      </c>
      <c r="AI326" s="106" t="n">
        <v>17990</v>
      </c>
      <c r="AJ326" s="106" t="n">
        <v>16990</v>
      </c>
      <c r="AK326" s="14">
        <f>(AJ327-L327)/L327*100</f>
        <v/>
      </c>
      <c r="AL326" s="14" t="n"/>
      <c r="AM326" s="14">
        <f>AH327/AJ327%</f>
        <v/>
      </c>
      <c r="AN326" s="14">
        <f>AK327-AG327</f>
        <v/>
      </c>
      <c r="AO326" s="103">
        <f>AJ327/L327</f>
        <v/>
      </c>
      <c r="AP326" s="14">
        <f>(AJ327-AB327)/100</f>
        <v/>
      </c>
      <c r="AQ326" s="14">
        <f>(AJ327-AC327)/100</f>
        <v/>
      </c>
      <c r="AR326" s="104">
        <f>AI327/94</f>
        <v/>
      </c>
      <c r="AS326" s="104">
        <f>AJ327/94</f>
        <v/>
      </c>
      <c r="AT326" s="105">
        <f>AI327/24</f>
        <v/>
      </c>
      <c r="AU326" s="105">
        <f>AJ327/24</f>
        <v/>
      </c>
      <c r="AV326" s="105">
        <f>AI327/125</f>
        <v/>
      </c>
      <c r="AW326" s="105">
        <f>AJ327/125</f>
        <v/>
      </c>
      <c r="AX326" s="107" t="n"/>
      <c r="AY326" s="107" t="n"/>
    </row>
    <row r="327" ht="15.75" customHeight="1" s="258">
      <c r="A327" s="96" t="n"/>
      <c r="B327" s="96" t="inlineStr">
        <is>
          <t>Buddhas Eyes / 10 in</t>
        </is>
      </c>
      <c r="C327" s="96" t="inlineStr">
        <is>
          <t>MI-SB-H-ET-BE-10</t>
        </is>
      </c>
      <c r="D327" s="94" t="n"/>
      <c r="E327" s="96" t="n">
        <v>145</v>
      </c>
      <c r="F327" s="96" t="n">
        <v>10</v>
      </c>
      <c r="G327" s="94" t="n">
        <v>83061000</v>
      </c>
      <c r="H327" s="97" t="n">
        <v>0.05</v>
      </c>
      <c r="I327" s="96">
        <f>D328*H328</f>
        <v/>
      </c>
      <c r="J327" s="107" t="n"/>
      <c r="K327" s="96">
        <f>D328*4%</f>
        <v/>
      </c>
      <c r="L327" s="98">
        <f>K328+J328+I328+F328+E328+D328</f>
        <v/>
      </c>
      <c r="M327" s="96">
        <f>D328*1%</f>
        <v/>
      </c>
      <c r="N327" s="99">
        <f>L328*8%</f>
        <v/>
      </c>
      <c r="O327" s="99">
        <f>L328*10%</f>
        <v/>
      </c>
      <c r="P327" s="99">
        <f>L328*5%</f>
        <v/>
      </c>
      <c r="Q327" s="99">
        <f>L328*2%</f>
        <v/>
      </c>
      <c r="R327" s="99">
        <f>AC328*0.5%</f>
        <v/>
      </c>
      <c r="S327" s="99">
        <f>L328*1%</f>
        <v/>
      </c>
      <c r="T327" s="100">
        <f>S328+Q328+P328+O328+N328+M328</f>
        <v/>
      </c>
      <c r="U327" s="96">
        <f>AC328*1%</f>
        <v/>
      </c>
      <c r="V327" s="44">
        <f>AC328*5%</f>
        <v/>
      </c>
      <c r="W327" s="96">
        <f>AC328*1%</f>
        <v/>
      </c>
      <c r="X327" s="96">
        <f>AC328*8%</f>
        <v/>
      </c>
      <c r="Y327" s="96">
        <f>U328+V328+W328+X328</f>
        <v/>
      </c>
      <c r="Z327" s="100">
        <f>Y328+T328+L328</f>
        <v/>
      </c>
      <c r="AA327" s="101">
        <f>Z328*20%</f>
        <v/>
      </c>
      <c r="AB327" s="99">
        <f>Z328+AA328</f>
        <v/>
      </c>
      <c r="AC327" s="96">
        <f>D328*2.1</f>
        <v/>
      </c>
      <c r="AD327" s="99">
        <f>AB328-AC328</f>
        <v/>
      </c>
      <c r="AE327" s="99">
        <f>AD328/AB328*100</f>
        <v/>
      </c>
      <c r="AF327" s="107" t="n">
        <v>16500</v>
      </c>
      <c r="AG327" s="102">
        <f>((AF328-L328)/L328)*100</f>
        <v/>
      </c>
      <c r="AH327" s="106">
        <f>AJ328-AF328</f>
        <v/>
      </c>
      <c r="AI327" s="106" t="n">
        <v>17990</v>
      </c>
      <c r="AJ327" s="106" t="n">
        <v>16990</v>
      </c>
      <c r="AK327" s="14">
        <f>(AJ328-L328)/L328*100</f>
        <v/>
      </c>
      <c r="AL327" s="14" t="n"/>
      <c r="AM327" s="14">
        <f>AH328/AJ328%</f>
        <v/>
      </c>
      <c r="AN327" s="14">
        <f>AK328-AG328</f>
        <v/>
      </c>
      <c r="AO327" s="103">
        <f>AJ328/L328</f>
        <v/>
      </c>
      <c r="AP327" s="14">
        <f>(AJ328-AB328)/100</f>
        <v/>
      </c>
      <c r="AQ327" s="14">
        <f>(AJ328-AC328)/100</f>
        <v/>
      </c>
      <c r="AR327" s="104">
        <f>AI328/94</f>
        <v/>
      </c>
      <c r="AS327" s="104">
        <f>AJ328/94</f>
        <v/>
      </c>
      <c r="AT327" s="105">
        <f>AI328/24</f>
        <v/>
      </c>
      <c r="AU327" s="105">
        <f>AJ328/24</f>
        <v/>
      </c>
      <c r="AV327" s="105">
        <f>AI328/125</f>
        <v/>
      </c>
      <c r="AW327" s="105">
        <f>AJ328/125</f>
        <v/>
      </c>
      <c r="AX327" s="107" t="n"/>
      <c r="AY327" s="107" t="n"/>
    </row>
    <row r="328" ht="15.75" customHeight="1" s="258">
      <c r="A328" s="96" t="n"/>
      <c r="B328" s="96" t="inlineStr">
        <is>
          <t>Buddhas Eyes / 11 in</t>
        </is>
      </c>
      <c r="C328" s="96" t="inlineStr">
        <is>
          <t>MI-SB-H-ET-BE-11</t>
        </is>
      </c>
      <c r="D328" s="94" t="n"/>
      <c r="E328" s="96" t="n">
        <v>145</v>
      </c>
      <c r="F328" s="96" t="n">
        <v>10</v>
      </c>
      <c r="G328" s="94" t="n">
        <v>83061000</v>
      </c>
      <c r="H328" s="97" t="n">
        <v>0.05</v>
      </c>
      <c r="I328" s="96">
        <f>D329*H329</f>
        <v/>
      </c>
      <c r="J328" s="107" t="n"/>
      <c r="K328" s="96">
        <f>D329*4%</f>
        <v/>
      </c>
      <c r="L328" s="98">
        <f>K329+J329+I329+F329+E329+D329</f>
        <v/>
      </c>
      <c r="M328" s="96">
        <f>D329*1%</f>
        <v/>
      </c>
      <c r="N328" s="99">
        <f>L329*8%</f>
        <v/>
      </c>
      <c r="O328" s="99">
        <f>L329*10%</f>
        <v/>
      </c>
      <c r="P328" s="99">
        <f>L329*5%</f>
        <v/>
      </c>
      <c r="Q328" s="99">
        <f>L329*2%</f>
        <v/>
      </c>
      <c r="R328" s="99">
        <f>AC329*0.5%</f>
        <v/>
      </c>
      <c r="S328" s="99">
        <f>L329*1%</f>
        <v/>
      </c>
      <c r="T328" s="100">
        <f>S329+Q329+P329+O329+N329+M329</f>
        <v/>
      </c>
      <c r="U328" s="96">
        <f>AC329*1%</f>
        <v/>
      </c>
      <c r="V328" s="44">
        <f>AC329*5%</f>
        <v/>
      </c>
      <c r="W328" s="96">
        <f>AC329*1%</f>
        <v/>
      </c>
      <c r="X328" s="96">
        <f>AC329*8%</f>
        <v/>
      </c>
      <c r="Y328" s="96">
        <f>U329+V329+W329+X329</f>
        <v/>
      </c>
      <c r="Z328" s="100">
        <f>Y329+T329+L329</f>
        <v/>
      </c>
      <c r="AA328" s="101">
        <f>Z329*20%</f>
        <v/>
      </c>
      <c r="AB328" s="99">
        <f>Z329+AA329</f>
        <v/>
      </c>
      <c r="AC328" s="96">
        <f>D329*2.1</f>
        <v/>
      </c>
      <c r="AD328" s="99">
        <f>AB329-AC329</f>
        <v/>
      </c>
      <c r="AE328" s="99">
        <f>AD329/AB329*100</f>
        <v/>
      </c>
      <c r="AF328" s="107" t="n">
        <v>19500</v>
      </c>
      <c r="AG328" s="102">
        <f>((AF329-L329)/L329)*100</f>
        <v/>
      </c>
      <c r="AH328" s="106">
        <f>AJ329-AF329</f>
        <v/>
      </c>
      <c r="AI328" s="106" t="n">
        <v>21990</v>
      </c>
      <c r="AJ328" s="106" t="n">
        <v>19990</v>
      </c>
      <c r="AK328" s="14">
        <f>(AJ329-L329)/L329*100</f>
        <v/>
      </c>
      <c r="AL328" s="14" t="n"/>
      <c r="AM328" s="14">
        <f>AH329/AJ329%</f>
        <v/>
      </c>
      <c r="AN328" s="14">
        <f>AK329-AG329</f>
        <v/>
      </c>
      <c r="AO328" s="103">
        <f>AJ329/L329</f>
        <v/>
      </c>
      <c r="AP328" s="14">
        <f>(AJ329-AB329)/100</f>
        <v/>
      </c>
      <c r="AQ328" s="14">
        <f>(AJ329-AC329)/100</f>
        <v/>
      </c>
      <c r="AR328" s="104">
        <f>AI329/94</f>
        <v/>
      </c>
      <c r="AS328" s="104">
        <f>AJ329/94</f>
        <v/>
      </c>
      <c r="AT328" s="105">
        <f>AI329/24</f>
        <v/>
      </c>
      <c r="AU328" s="105">
        <f>AJ329/24</f>
        <v/>
      </c>
      <c r="AV328" s="105">
        <f>AI329/125</f>
        <v/>
      </c>
      <c r="AW328" s="105">
        <f>AJ329/125</f>
        <v/>
      </c>
      <c r="AX328" s="107" t="n"/>
      <c r="AY328" s="107" t="n"/>
    </row>
    <row r="329" ht="15.75" customHeight="1" s="258">
      <c r="A329" s="96" t="n"/>
      <c r="B329" s="96" t="inlineStr">
        <is>
          <t>12 in / Buddhas Eyes</t>
        </is>
      </c>
      <c r="C329" s="96" t="inlineStr">
        <is>
          <t>MI-SB-H-ET-BE-12</t>
        </is>
      </c>
      <c r="D329" s="94" t="n"/>
      <c r="E329" s="96" t="n">
        <v>145</v>
      </c>
      <c r="F329" s="96" t="n">
        <v>10</v>
      </c>
      <c r="G329" s="94" t="n">
        <v>83061000</v>
      </c>
      <c r="H329" s="97" t="n">
        <v>0.05</v>
      </c>
      <c r="I329" s="96">
        <f>D330*H330</f>
        <v/>
      </c>
      <c r="J329" s="107" t="n"/>
      <c r="K329" s="96">
        <f>D330*4%</f>
        <v/>
      </c>
      <c r="L329" s="98">
        <f>K330+J330+I330+F330+E330+D330</f>
        <v/>
      </c>
      <c r="M329" s="96">
        <f>D330*1%</f>
        <v/>
      </c>
      <c r="N329" s="99">
        <f>L330*8%</f>
        <v/>
      </c>
      <c r="O329" s="99">
        <f>L330*10%</f>
        <v/>
      </c>
      <c r="P329" s="99">
        <f>L330*5%</f>
        <v/>
      </c>
      <c r="Q329" s="99">
        <f>L330*2%</f>
        <v/>
      </c>
      <c r="R329" s="99">
        <f>AC330*0.5%</f>
        <v/>
      </c>
      <c r="S329" s="99">
        <f>L330*1%</f>
        <v/>
      </c>
      <c r="T329" s="100">
        <f>S330+Q330+P330+O330+N330+M330</f>
        <v/>
      </c>
      <c r="U329" s="96">
        <f>AC330*1%</f>
        <v/>
      </c>
      <c r="V329" s="44">
        <f>AC330*5%</f>
        <v/>
      </c>
      <c r="W329" s="96">
        <f>AC330*1%</f>
        <v/>
      </c>
      <c r="X329" s="96">
        <f>AC330*8%</f>
        <v/>
      </c>
      <c r="Y329" s="96">
        <f>U330+V330+W330+X330</f>
        <v/>
      </c>
      <c r="Z329" s="100">
        <f>Y330+T330+L330</f>
        <v/>
      </c>
      <c r="AA329" s="101">
        <f>Z330*20%</f>
        <v/>
      </c>
      <c r="AB329" s="99">
        <f>Z330+AA330</f>
        <v/>
      </c>
      <c r="AC329" s="96">
        <f>D330*2.1</f>
        <v/>
      </c>
      <c r="AD329" s="99">
        <f>AB330-AC330</f>
        <v/>
      </c>
      <c r="AE329" s="99">
        <f>AD330/AB330*100</f>
        <v/>
      </c>
      <c r="AF329" s="107" t="n">
        <v>22500</v>
      </c>
      <c r="AG329" s="102">
        <f>((AF330-L330)/L330)*100</f>
        <v/>
      </c>
      <c r="AH329" s="106">
        <f>AJ330-AF330</f>
        <v/>
      </c>
      <c r="AI329" s="106" t="n">
        <v>24990</v>
      </c>
      <c r="AJ329" s="106" t="n">
        <v>22900</v>
      </c>
      <c r="AK329" s="14">
        <f>(AJ330-L330)/L330*100</f>
        <v/>
      </c>
      <c r="AL329" s="14" t="n"/>
      <c r="AM329" s="14">
        <f>AH330/AJ330%</f>
        <v/>
      </c>
      <c r="AN329" s="14">
        <f>AK330-AG330</f>
        <v/>
      </c>
      <c r="AO329" s="103">
        <f>AJ330/L330</f>
        <v/>
      </c>
      <c r="AP329" s="14">
        <f>(AJ330-AB330)/100</f>
        <v/>
      </c>
      <c r="AQ329" s="14">
        <f>(AJ330-AC330)/100</f>
        <v/>
      </c>
      <c r="AR329" s="104">
        <f>AI330/94</f>
        <v/>
      </c>
      <c r="AS329" s="104">
        <f>AJ330/94</f>
        <v/>
      </c>
      <c r="AT329" s="105">
        <f>AI330/24</f>
        <v/>
      </c>
      <c r="AU329" s="105">
        <f>AJ330/24</f>
        <v/>
      </c>
      <c r="AV329" s="105">
        <f>AI330/125</f>
        <v/>
      </c>
      <c r="AW329" s="105">
        <f>AJ330/125</f>
        <v/>
      </c>
      <c r="AX329" s="107" t="n"/>
      <c r="AY329" s="107" t="n"/>
    </row>
    <row r="330" ht="15.75" customHeight="1" s="258">
      <c r="A330" s="96" t="n"/>
      <c r="B330" s="96" t="inlineStr">
        <is>
          <t>6 in / Buddhas Eyes</t>
        </is>
      </c>
      <c r="C330" s="96" t="inlineStr">
        <is>
          <t>MI-SB-H-ET-BE-6</t>
        </is>
      </c>
      <c r="D330" s="94" t="n"/>
      <c r="E330" s="96" t="n">
        <v>125</v>
      </c>
      <c r="F330" s="96" t="n">
        <v>10</v>
      </c>
      <c r="G330" s="94" t="n">
        <v>83061000</v>
      </c>
      <c r="H330" s="97" t="n">
        <v>0.05</v>
      </c>
      <c r="I330" s="96">
        <f>D331*H331</f>
        <v/>
      </c>
      <c r="J330" s="107" t="n"/>
      <c r="K330" s="96">
        <f>D331*4%</f>
        <v/>
      </c>
      <c r="L330" s="98">
        <f>K331+J331+I331+F331+E331+D331</f>
        <v/>
      </c>
      <c r="M330" s="96">
        <f>D331*1%</f>
        <v/>
      </c>
      <c r="N330" s="99">
        <f>L331*8%</f>
        <v/>
      </c>
      <c r="O330" s="99">
        <f>L331*10%</f>
        <v/>
      </c>
      <c r="P330" s="99">
        <f>L331*5%</f>
        <v/>
      </c>
      <c r="Q330" s="99">
        <f>L331*2%</f>
        <v/>
      </c>
      <c r="R330" s="99">
        <f>AC331*0.5%</f>
        <v/>
      </c>
      <c r="S330" s="99">
        <f>L331*1%</f>
        <v/>
      </c>
      <c r="T330" s="100">
        <f>S331+Q331+P331+O331+N331+M331</f>
        <v/>
      </c>
      <c r="U330" s="96">
        <f>AC331*1%</f>
        <v/>
      </c>
      <c r="V330" s="44">
        <f>AC331*5%</f>
        <v/>
      </c>
      <c r="W330" s="96">
        <f>AC331*1%</f>
        <v/>
      </c>
      <c r="X330" s="96">
        <f>AC331*8%</f>
        <v/>
      </c>
      <c r="Y330" s="96">
        <f>U331+V331+W331+X331</f>
        <v/>
      </c>
      <c r="Z330" s="100">
        <f>Y331+T331+L331</f>
        <v/>
      </c>
      <c r="AA330" s="101">
        <f>Z331*20%</f>
        <v/>
      </c>
      <c r="AB330" s="99">
        <f>Z331+AA331</f>
        <v/>
      </c>
      <c r="AC330" s="96">
        <f>D331*2.1</f>
        <v/>
      </c>
      <c r="AD330" s="99">
        <f>AB331-AC331</f>
        <v/>
      </c>
      <c r="AE330" s="99">
        <f>AD331/AB331*100</f>
        <v/>
      </c>
      <c r="AF330" s="107" t="n">
        <v>8500</v>
      </c>
      <c r="AG330" s="102">
        <f>((AF331-L331)/L331)*100</f>
        <v/>
      </c>
      <c r="AH330" s="106">
        <f>AJ331-AF331</f>
        <v/>
      </c>
      <c r="AI330" s="106" t="n">
        <v>9990</v>
      </c>
      <c r="AJ330" s="106" t="n">
        <v>8990</v>
      </c>
      <c r="AK330" s="14">
        <f>(AJ331-L331)/L331*100</f>
        <v/>
      </c>
      <c r="AL330" s="14" t="n"/>
      <c r="AM330" s="14">
        <f>AH331/AJ331%</f>
        <v/>
      </c>
      <c r="AN330" s="14">
        <f>AK331-AG331</f>
        <v/>
      </c>
      <c r="AO330" s="103">
        <f>AJ331/L331</f>
        <v/>
      </c>
      <c r="AP330" s="14">
        <f>(AJ331-AB331)/100</f>
        <v/>
      </c>
      <c r="AQ330" s="14">
        <f>(AJ331-AC331)/100</f>
        <v/>
      </c>
      <c r="AR330" s="104">
        <f>AI331/94</f>
        <v/>
      </c>
      <c r="AS330" s="104">
        <f>AJ331/94</f>
        <v/>
      </c>
      <c r="AT330" s="105">
        <f>AI331/24</f>
        <v/>
      </c>
      <c r="AU330" s="105">
        <f>AJ331/24</f>
        <v/>
      </c>
      <c r="AV330" s="105">
        <f>AI331/125</f>
        <v/>
      </c>
      <c r="AW330" s="105">
        <f>AJ331/125</f>
        <v/>
      </c>
      <c r="AX330" s="107" t="n"/>
      <c r="AY330" s="107" t="n"/>
    </row>
    <row r="331" ht="15.75" customHeight="1" s="258">
      <c r="A331" s="96" t="n"/>
      <c r="B331" s="96" t="inlineStr">
        <is>
          <t>7 in / Buddhas Eyes</t>
        </is>
      </c>
      <c r="C331" s="96" t="inlineStr">
        <is>
          <t>MI-SB-H-ET-BE-7</t>
        </is>
      </c>
      <c r="D331" s="94" t="n"/>
      <c r="E331" s="96" t="n">
        <v>125</v>
      </c>
      <c r="F331" s="96" t="n">
        <v>10</v>
      </c>
      <c r="G331" s="94" t="n">
        <v>83061000</v>
      </c>
      <c r="H331" s="97" t="n">
        <v>0.05</v>
      </c>
      <c r="I331" s="96">
        <f>D332*H332</f>
        <v/>
      </c>
      <c r="J331" s="107" t="n"/>
      <c r="K331" s="96">
        <f>D332*4%</f>
        <v/>
      </c>
      <c r="L331" s="98">
        <f>K332+J332+I332+F332+E332+D332</f>
        <v/>
      </c>
      <c r="M331" s="96">
        <f>D332*1%</f>
        <v/>
      </c>
      <c r="N331" s="99">
        <f>L332*8%</f>
        <v/>
      </c>
      <c r="O331" s="99">
        <f>L332*10%</f>
        <v/>
      </c>
      <c r="P331" s="99">
        <f>L332*5%</f>
        <v/>
      </c>
      <c r="Q331" s="99">
        <f>L332*2%</f>
        <v/>
      </c>
      <c r="R331" s="99">
        <f>AC332*0.5%</f>
        <v/>
      </c>
      <c r="S331" s="99">
        <f>L332*1%</f>
        <v/>
      </c>
      <c r="T331" s="100">
        <f>S332+Q332+P332+O332+N332+M332</f>
        <v/>
      </c>
      <c r="U331" s="96">
        <f>AC332*1%</f>
        <v/>
      </c>
      <c r="V331" s="44">
        <f>AC332*5%</f>
        <v/>
      </c>
      <c r="W331" s="96">
        <f>AC332*1%</f>
        <v/>
      </c>
      <c r="X331" s="96">
        <f>AC332*8%</f>
        <v/>
      </c>
      <c r="Y331" s="96">
        <f>U332+V332+W332+X332</f>
        <v/>
      </c>
      <c r="Z331" s="100">
        <f>Y332+T332+L332</f>
        <v/>
      </c>
      <c r="AA331" s="101">
        <f>Z332*20%</f>
        <v/>
      </c>
      <c r="AB331" s="99">
        <f>Z332+AA332</f>
        <v/>
      </c>
      <c r="AC331" s="96">
        <f>D332*2.1</f>
        <v/>
      </c>
      <c r="AD331" s="99">
        <f>AB332-AC332</f>
        <v/>
      </c>
      <c r="AE331" s="99">
        <f>AD332/AB332*100</f>
        <v/>
      </c>
      <c r="AF331" s="107" t="n">
        <v>10500</v>
      </c>
      <c r="AG331" s="102">
        <f>((AF332-L332)/L332)*100</f>
        <v/>
      </c>
      <c r="AH331" s="106">
        <f>AJ332-AF332</f>
        <v/>
      </c>
      <c r="AI331" s="106" t="n">
        <v>11990</v>
      </c>
      <c r="AJ331" s="106" t="n">
        <v>10990</v>
      </c>
      <c r="AK331" s="14">
        <f>(AJ332-L332)/L332*100</f>
        <v/>
      </c>
      <c r="AL331" s="14" t="n"/>
      <c r="AM331" s="14">
        <f>AH332/AJ332%</f>
        <v/>
      </c>
      <c r="AN331" s="14">
        <f>AK332-AG332</f>
        <v/>
      </c>
      <c r="AO331" s="103">
        <f>AJ332/L332</f>
        <v/>
      </c>
      <c r="AP331" s="14">
        <f>(AJ332-AB332)/100</f>
        <v/>
      </c>
      <c r="AQ331" s="14">
        <f>(AJ332-AC332)/100</f>
        <v/>
      </c>
      <c r="AR331" s="104">
        <f>AI332/94</f>
        <v/>
      </c>
      <c r="AS331" s="104">
        <f>AJ332/94</f>
        <v/>
      </c>
      <c r="AT331" s="105">
        <f>AI332/24</f>
        <v/>
      </c>
      <c r="AU331" s="105">
        <f>AJ332/24</f>
        <v/>
      </c>
      <c r="AV331" s="105">
        <f>AI332/125</f>
        <v/>
      </c>
      <c r="AW331" s="105">
        <f>AJ332/125</f>
        <v/>
      </c>
      <c r="AX331" s="107" t="n"/>
      <c r="AY331" s="107" t="n"/>
    </row>
    <row r="332" ht="15.75" customHeight="1" s="258">
      <c r="A332" s="96" t="n"/>
      <c r="B332" s="96" t="inlineStr">
        <is>
          <t>8 in / Buddhas Eyes</t>
        </is>
      </c>
      <c r="C332" s="96" t="inlineStr">
        <is>
          <t>MI-SB-H-ET-BE-8</t>
        </is>
      </c>
      <c r="D332" s="94" t="n"/>
      <c r="E332" s="96" t="n">
        <v>145</v>
      </c>
      <c r="F332" s="96" t="n">
        <v>10</v>
      </c>
      <c r="G332" s="94" t="n">
        <v>83061000</v>
      </c>
      <c r="H332" s="97" t="n">
        <v>0.05</v>
      </c>
      <c r="I332" s="96">
        <f>D333*H333</f>
        <v/>
      </c>
      <c r="J332" s="107" t="n"/>
      <c r="K332" s="96">
        <f>D333*4%</f>
        <v/>
      </c>
      <c r="L332" s="98">
        <f>K333+J333+I333+F333+E333+D333</f>
        <v/>
      </c>
      <c r="M332" s="96">
        <f>D333*1%</f>
        <v/>
      </c>
      <c r="N332" s="99">
        <f>L333*8%</f>
        <v/>
      </c>
      <c r="O332" s="99">
        <f>L333*10%</f>
        <v/>
      </c>
      <c r="P332" s="99">
        <f>L333*5%</f>
        <v/>
      </c>
      <c r="Q332" s="99">
        <f>L333*2%</f>
        <v/>
      </c>
      <c r="R332" s="99">
        <f>AC333*0.5%</f>
        <v/>
      </c>
      <c r="S332" s="99">
        <f>L333*1%</f>
        <v/>
      </c>
      <c r="T332" s="100">
        <f>S333+Q333+P333+O333+N333+M333</f>
        <v/>
      </c>
      <c r="U332" s="96">
        <f>AC333*1%</f>
        <v/>
      </c>
      <c r="V332" s="44">
        <f>AC333*5%</f>
        <v/>
      </c>
      <c r="W332" s="96">
        <f>AC333*1%</f>
        <v/>
      </c>
      <c r="X332" s="96">
        <f>AC333*8%</f>
        <v/>
      </c>
      <c r="Y332" s="96">
        <f>U333+V333+W333+X333</f>
        <v/>
      </c>
      <c r="Z332" s="100">
        <f>Y333+T333+L333</f>
        <v/>
      </c>
      <c r="AA332" s="101">
        <f>Z333*20%</f>
        <v/>
      </c>
      <c r="AB332" s="99">
        <f>Z333+AA333</f>
        <v/>
      </c>
      <c r="AC332" s="96">
        <f>D333*2.1</f>
        <v/>
      </c>
      <c r="AD332" s="99">
        <f>AB333-AC333</f>
        <v/>
      </c>
      <c r="AE332" s="99">
        <f>AD333/AB333*100</f>
        <v/>
      </c>
      <c r="AF332" s="107" t="n">
        <v>12500</v>
      </c>
      <c r="AG332" s="102">
        <f>((AF333-L333)/L333)*100</f>
        <v/>
      </c>
      <c r="AH332" s="106">
        <f>AJ333-AF333</f>
        <v/>
      </c>
      <c r="AI332" s="106" t="n">
        <v>13990</v>
      </c>
      <c r="AJ332" s="106" t="n">
        <v>12990</v>
      </c>
      <c r="AK332" s="14">
        <f>(AJ333-L333)/L333*100</f>
        <v/>
      </c>
      <c r="AL332" s="14" t="n"/>
      <c r="AM332" s="14">
        <f>AH333/AJ333%</f>
        <v/>
      </c>
      <c r="AN332" s="14">
        <f>AK333-AG333</f>
        <v/>
      </c>
      <c r="AO332" s="103">
        <f>AJ333/L333</f>
        <v/>
      </c>
      <c r="AP332" s="14">
        <f>(AJ333-AB333)/100</f>
        <v/>
      </c>
      <c r="AQ332" s="14">
        <f>(AJ333-AC333)/100</f>
        <v/>
      </c>
      <c r="AR332" s="104">
        <f>AI333/94</f>
        <v/>
      </c>
      <c r="AS332" s="104">
        <f>AJ333/94</f>
        <v/>
      </c>
      <c r="AT332" s="105">
        <f>AI333/24</f>
        <v/>
      </c>
      <c r="AU332" s="105">
        <f>AJ333/24</f>
        <v/>
      </c>
      <c r="AV332" s="105">
        <f>AI333/125</f>
        <v/>
      </c>
      <c r="AW332" s="105">
        <f>AJ333/125</f>
        <v/>
      </c>
      <c r="AX332" s="107" t="n"/>
      <c r="AY332" s="107" t="n"/>
    </row>
    <row r="333" ht="15.75" customHeight="1" s="258">
      <c r="A333" s="96" t="n"/>
      <c r="B333" s="96" t="inlineStr">
        <is>
          <t>Buddhas Eyes / 9 in</t>
        </is>
      </c>
      <c r="C333" s="96" t="inlineStr">
        <is>
          <t>MI-SB-H-ET-BE-9</t>
        </is>
      </c>
      <c r="D333" s="94" t="n"/>
      <c r="E333" s="96" t="n">
        <v>145</v>
      </c>
      <c r="F333" s="96" t="n">
        <v>10</v>
      </c>
      <c r="G333" s="94" t="n">
        <v>83061000</v>
      </c>
      <c r="H333" s="97" t="n">
        <v>0.05</v>
      </c>
      <c r="I333" s="96">
        <f>D334*H334</f>
        <v/>
      </c>
      <c r="J333" s="107" t="n"/>
      <c r="K333" s="96">
        <f>D334*4%</f>
        <v/>
      </c>
      <c r="L333" s="98">
        <f>K334+J334+I334+F334+E334+D334</f>
        <v/>
      </c>
      <c r="M333" s="96">
        <f>D334*1%</f>
        <v/>
      </c>
      <c r="N333" s="99">
        <f>L334*8%</f>
        <v/>
      </c>
      <c r="O333" s="99">
        <f>L334*10%</f>
        <v/>
      </c>
      <c r="P333" s="99">
        <f>L334*5%</f>
        <v/>
      </c>
      <c r="Q333" s="99">
        <f>L334*2%</f>
        <v/>
      </c>
      <c r="R333" s="99">
        <f>AC334*0.5%</f>
        <v/>
      </c>
      <c r="S333" s="99">
        <f>L334*1%</f>
        <v/>
      </c>
      <c r="T333" s="100">
        <f>S334+Q334+P334+O334+N334+M334</f>
        <v/>
      </c>
      <c r="U333" s="96">
        <f>AC334*1%</f>
        <v/>
      </c>
      <c r="V333" s="44">
        <f>AC334*5%</f>
        <v/>
      </c>
      <c r="W333" s="96">
        <f>AC334*1%</f>
        <v/>
      </c>
      <c r="X333" s="96">
        <f>AC334*8%</f>
        <v/>
      </c>
      <c r="Y333" s="96">
        <f>U334+V334+W334+X334</f>
        <v/>
      </c>
      <c r="Z333" s="100">
        <f>Y334+T334+L334</f>
        <v/>
      </c>
      <c r="AA333" s="101">
        <f>Z334*20%</f>
        <v/>
      </c>
      <c r="AB333" s="99">
        <f>Z334+AA334</f>
        <v/>
      </c>
      <c r="AC333" s="96">
        <f>D334*2.1</f>
        <v/>
      </c>
      <c r="AD333" s="99">
        <f>AB334-AC334</f>
        <v/>
      </c>
      <c r="AE333" s="99">
        <f>AD334/AB334*100</f>
        <v/>
      </c>
      <c r="AF333" s="107" t="n">
        <v>14500</v>
      </c>
      <c r="AG333" s="102">
        <f>((AF334-L334)/L334)*100</f>
        <v/>
      </c>
      <c r="AH333" s="106">
        <f>AJ334-AF334</f>
        <v/>
      </c>
      <c r="AI333" s="106" t="n">
        <v>15990</v>
      </c>
      <c r="AJ333" s="106" t="n">
        <v>14990</v>
      </c>
      <c r="AK333" s="14">
        <f>(AJ334-L334)/L334*100</f>
        <v/>
      </c>
      <c r="AL333" s="14" t="n"/>
      <c r="AM333" s="14">
        <f>AH334/AJ334%</f>
        <v/>
      </c>
      <c r="AN333" s="14">
        <f>AK334-AG334</f>
        <v/>
      </c>
      <c r="AO333" s="103">
        <f>AJ334/L334</f>
        <v/>
      </c>
      <c r="AP333" s="14">
        <f>(AJ334-AB334)/100</f>
        <v/>
      </c>
      <c r="AQ333" s="14">
        <f>(AJ334-AC334)/100</f>
        <v/>
      </c>
      <c r="AR333" s="104">
        <f>AI334/94</f>
        <v/>
      </c>
      <c r="AS333" s="104">
        <f>AJ334/94</f>
        <v/>
      </c>
      <c r="AT333" s="105">
        <f>AI334/24</f>
        <v/>
      </c>
      <c r="AU333" s="105">
        <f>AJ334/24</f>
        <v/>
      </c>
      <c r="AV333" s="105">
        <f>AI334/125</f>
        <v/>
      </c>
      <c r="AW333" s="105">
        <f>AJ334/125</f>
        <v/>
      </c>
      <c r="AX333" s="107" t="n"/>
      <c r="AY333" s="107" t="n"/>
    </row>
    <row r="334" ht="15.75" customHeight="1" s="258">
      <c r="A334" s="96" t="n"/>
      <c r="B334" s="96" t="inlineStr">
        <is>
          <t>10 in / Chakras</t>
        </is>
      </c>
      <c r="C334" s="96" t="inlineStr">
        <is>
          <t>MI-SB-H-ET-C-10</t>
        </is>
      </c>
      <c r="D334" s="94" t="n"/>
      <c r="E334" s="96" t="n">
        <v>145</v>
      </c>
      <c r="F334" s="96" t="n">
        <v>10</v>
      </c>
      <c r="G334" s="94" t="n">
        <v>83061000</v>
      </c>
      <c r="H334" s="97" t="n">
        <v>0.05</v>
      </c>
      <c r="I334" s="96">
        <f>D335*H335</f>
        <v/>
      </c>
      <c r="J334" s="107" t="n"/>
      <c r="K334" s="96">
        <f>D335*4%</f>
        <v/>
      </c>
      <c r="L334" s="98">
        <f>K335+J335+I335+F335+E335+D335</f>
        <v/>
      </c>
      <c r="M334" s="96">
        <f>D335*1%</f>
        <v/>
      </c>
      <c r="N334" s="99">
        <f>L335*8%</f>
        <v/>
      </c>
      <c r="O334" s="99">
        <f>L335*10%</f>
        <v/>
      </c>
      <c r="P334" s="99">
        <f>L335*5%</f>
        <v/>
      </c>
      <c r="Q334" s="99">
        <f>L335*2%</f>
        <v/>
      </c>
      <c r="R334" s="99">
        <f>AC335*0.5%</f>
        <v/>
      </c>
      <c r="S334" s="99">
        <f>L335*1%</f>
        <v/>
      </c>
      <c r="T334" s="100">
        <f>S335+Q335+P335+O335+N335+M335</f>
        <v/>
      </c>
      <c r="U334" s="96">
        <f>AC335*1%</f>
        <v/>
      </c>
      <c r="V334" s="44">
        <f>AC335*5%</f>
        <v/>
      </c>
      <c r="W334" s="96">
        <f>AC335*1%</f>
        <v/>
      </c>
      <c r="X334" s="96">
        <f>AC335*8%</f>
        <v/>
      </c>
      <c r="Y334" s="96">
        <f>U335+V335+W335+X335</f>
        <v/>
      </c>
      <c r="Z334" s="100">
        <f>Y335+T335+L335</f>
        <v/>
      </c>
      <c r="AA334" s="101">
        <f>Z335*20%</f>
        <v/>
      </c>
      <c r="AB334" s="99">
        <f>Z335+AA335</f>
        <v/>
      </c>
      <c r="AC334" s="96">
        <f>D335*2.1</f>
        <v/>
      </c>
      <c r="AD334" s="99">
        <f>AB335-AC335</f>
        <v/>
      </c>
      <c r="AE334" s="99">
        <f>AD335/AB335*100</f>
        <v/>
      </c>
      <c r="AF334" s="107" t="n">
        <v>18500</v>
      </c>
      <c r="AG334" s="102">
        <f>((AF335-L335)/L335)*100</f>
        <v/>
      </c>
      <c r="AH334" s="106">
        <f>AJ335-AF335</f>
        <v/>
      </c>
      <c r="AI334" s="106" t="n">
        <v>20990</v>
      </c>
      <c r="AJ334" s="106" t="n">
        <v>18990</v>
      </c>
      <c r="AK334" s="14">
        <f>(AJ335-L335)/L335*100</f>
        <v/>
      </c>
      <c r="AL334" s="14" t="n"/>
      <c r="AM334" s="14">
        <f>AH335/AJ335%</f>
        <v/>
      </c>
      <c r="AN334" s="14">
        <f>AK335-AG335</f>
        <v/>
      </c>
      <c r="AO334" s="103">
        <f>AJ335/L335</f>
        <v/>
      </c>
      <c r="AP334" s="14">
        <f>(AJ335-AB335)/100</f>
        <v/>
      </c>
      <c r="AQ334" s="14">
        <f>(AJ335-AC335)/100</f>
        <v/>
      </c>
      <c r="AR334" s="104">
        <f>AI335/94</f>
        <v/>
      </c>
      <c r="AS334" s="104">
        <f>AJ335/94</f>
        <v/>
      </c>
      <c r="AT334" s="105">
        <f>AI335/24</f>
        <v/>
      </c>
      <c r="AU334" s="105">
        <f>AJ335/24</f>
        <v/>
      </c>
      <c r="AV334" s="105">
        <f>AI335/125</f>
        <v/>
      </c>
      <c r="AW334" s="105">
        <f>AJ335/125</f>
        <v/>
      </c>
      <c r="AX334" s="107" t="n"/>
      <c r="AY334" s="107" t="n"/>
    </row>
    <row r="335" ht="15.75" customHeight="1" s="258">
      <c r="A335" s="96" t="n"/>
      <c r="B335" s="96" t="inlineStr">
        <is>
          <t>Chakras / 11 in</t>
        </is>
      </c>
      <c r="C335" s="96" t="inlineStr">
        <is>
          <t>MI-SB-H-ET-C-11</t>
        </is>
      </c>
      <c r="D335" s="94" t="n"/>
      <c r="E335" s="96" t="n">
        <v>145</v>
      </c>
      <c r="F335" s="96" t="n">
        <v>10</v>
      </c>
      <c r="G335" s="94" t="n">
        <v>83061000</v>
      </c>
      <c r="H335" s="97" t="n">
        <v>0.05</v>
      </c>
      <c r="I335" s="96">
        <f>D336*H336</f>
        <v/>
      </c>
      <c r="J335" s="107" t="n"/>
      <c r="K335" s="96">
        <f>D336*4%</f>
        <v/>
      </c>
      <c r="L335" s="98">
        <f>K336+J336+I336+F336+E336+D336</f>
        <v/>
      </c>
      <c r="M335" s="96">
        <f>D336*1%</f>
        <v/>
      </c>
      <c r="N335" s="99">
        <f>L336*8%</f>
        <v/>
      </c>
      <c r="O335" s="99">
        <f>L336*10%</f>
        <v/>
      </c>
      <c r="P335" s="99">
        <f>L336*5%</f>
        <v/>
      </c>
      <c r="Q335" s="99">
        <f>L336*2%</f>
        <v/>
      </c>
      <c r="R335" s="99">
        <f>AC336*0.5%</f>
        <v/>
      </c>
      <c r="S335" s="99">
        <f>L336*1%</f>
        <v/>
      </c>
      <c r="T335" s="100">
        <f>S336+Q336+P336+O336+N336+M336</f>
        <v/>
      </c>
      <c r="U335" s="96">
        <f>AC336*1%</f>
        <v/>
      </c>
      <c r="V335" s="44">
        <f>AC336*5%</f>
        <v/>
      </c>
      <c r="W335" s="96">
        <f>AC336*1%</f>
        <v/>
      </c>
      <c r="X335" s="96">
        <f>AC336*8%</f>
        <v/>
      </c>
      <c r="Y335" s="96">
        <f>U336+V336+W336+X336</f>
        <v/>
      </c>
      <c r="Z335" s="100">
        <f>Y336+T336+L336</f>
        <v/>
      </c>
      <c r="AA335" s="101">
        <f>Z336*20%</f>
        <v/>
      </c>
      <c r="AB335" s="99">
        <f>Z336+AA336</f>
        <v/>
      </c>
      <c r="AC335" s="96">
        <f>D336*2.1</f>
        <v/>
      </c>
      <c r="AD335" s="99">
        <f>AB336-AC336</f>
        <v/>
      </c>
      <c r="AE335" s="99">
        <f>AD336/AB336*100</f>
        <v/>
      </c>
      <c r="AF335" s="107" t="n">
        <v>21500</v>
      </c>
      <c r="AG335" s="102">
        <f>((AF336-L336)/L336)*100</f>
        <v/>
      </c>
      <c r="AH335" s="106">
        <f>AJ336-AF336</f>
        <v/>
      </c>
      <c r="AI335" s="106" t="n">
        <v>23990</v>
      </c>
      <c r="AJ335" s="106" t="n">
        <v>21990</v>
      </c>
      <c r="AK335" s="14">
        <f>(AJ336-L336)/L336*100</f>
        <v/>
      </c>
      <c r="AL335" s="14" t="n"/>
      <c r="AM335" s="14">
        <f>AH336/AJ336%</f>
        <v/>
      </c>
      <c r="AN335" s="14">
        <f>AK336-AG336</f>
        <v/>
      </c>
      <c r="AO335" s="103">
        <f>AJ336/L336</f>
        <v/>
      </c>
      <c r="AP335" s="14">
        <f>(AJ336-AB336)/100</f>
        <v/>
      </c>
      <c r="AQ335" s="14">
        <f>(AJ336-AC336)/100</f>
        <v/>
      </c>
      <c r="AR335" s="104">
        <f>AI336/94</f>
        <v/>
      </c>
      <c r="AS335" s="104">
        <f>AJ336/94</f>
        <v/>
      </c>
      <c r="AT335" s="105">
        <f>AI336/24</f>
        <v/>
      </c>
      <c r="AU335" s="105">
        <f>AJ336/24</f>
        <v/>
      </c>
      <c r="AV335" s="105">
        <f>AI336/125</f>
        <v/>
      </c>
      <c r="AW335" s="105">
        <f>AJ336/125</f>
        <v/>
      </c>
      <c r="AX335" s="107" t="n"/>
      <c r="AY335" s="107" t="n"/>
    </row>
    <row r="336" ht="15.75" customHeight="1" s="258">
      <c r="A336" s="96" t="n"/>
      <c r="B336" s="96" t="inlineStr">
        <is>
          <t>12 in / Chakras</t>
        </is>
      </c>
      <c r="C336" s="96" t="inlineStr">
        <is>
          <t>MI-SB-H-ET-C-12</t>
        </is>
      </c>
      <c r="D336" s="94" t="n"/>
      <c r="E336" s="96" t="n">
        <v>145</v>
      </c>
      <c r="F336" s="96" t="n">
        <v>10</v>
      </c>
      <c r="G336" s="94" t="n">
        <v>83061000</v>
      </c>
      <c r="H336" s="97" t="n">
        <v>0.05</v>
      </c>
      <c r="I336" s="96">
        <f>D337*H337</f>
        <v/>
      </c>
      <c r="J336" s="107" t="n"/>
      <c r="K336" s="96">
        <f>D337*4%</f>
        <v/>
      </c>
      <c r="L336" s="98">
        <f>K337+J337+I337+F337+E337+D337</f>
        <v/>
      </c>
      <c r="M336" s="96">
        <f>D337*1%</f>
        <v/>
      </c>
      <c r="N336" s="99">
        <f>L337*8%</f>
        <v/>
      </c>
      <c r="O336" s="99">
        <f>L337*10%</f>
        <v/>
      </c>
      <c r="P336" s="99">
        <f>L337*5%</f>
        <v/>
      </c>
      <c r="Q336" s="99">
        <f>L337*2%</f>
        <v/>
      </c>
      <c r="R336" s="99">
        <f>AC337*0.5%</f>
        <v/>
      </c>
      <c r="S336" s="99">
        <f>L337*1%</f>
        <v/>
      </c>
      <c r="T336" s="100">
        <f>S337+Q337+P337+O337+N337+M337</f>
        <v/>
      </c>
      <c r="U336" s="96">
        <f>AC337*1%</f>
        <v/>
      </c>
      <c r="V336" s="44">
        <f>AC337*5%</f>
        <v/>
      </c>
      <c r="W336" s="96">
        <f>AC337*1%</f>
        <v/>
      </c>
      <c r="X336" s="96">
        <f>AC337*8%</f>
        <v/>
      </c>
      <c r="Y336" s="96">
        <f>U337+V337+W337+X337</f>
        <v/>
      </c>
      <c r="Z336" s="100">
        <f>Y337+T337+L337</f>
        <v/>
      </c>
      <c r="AA336" s="101">
        <f>Z337*20%</f>
        <v/>
      </c>
      <c r="AB336" s="99">
        <f>Z337+AA337</f>
        <v/>
      </c>
      <c r="AC336" s="96">
        <f>D337*2.1</f>
        <v/>
      </c>
      <c r="AD336" s="99">
        <f>AB337-AC337</f>
        <v/>
      </c>
      <c r="AE336" s="99">
        <f>AD337/AB337*100</f>
        <v/>
      </c>
      <c r="AF336" s="107" t="n">
        <v>24500</v>
      </c>
      <c r="AG336" s="102">
        <f>((AF337-L337)/L337)*100</f>
        <v/>
      </c>
      <c r="AH336" s="106">
        <f>AJ337-AF337</f>
        <v/>
      </c>
      <c r="AI336" s="106" t="n">
        <v>26990</v>
      </c>
      <c r="AJ336" s="106" t="n">
        <v>24990</v>
      </c>
      <c r="AK336" s="14">
        <f>(AJ337-L337)/L337*100</f>
        <v/>
      </c>
      <c r="AL336" s="14" t="n"/>
      <c r="AM336" s="14">
        <f>AH337/AJ337%</f>
        <v/>
      </c>
      <c r="AN336" s="14">
        <f>AK337-AG337</f>
        <v/>
      </c>
      <c r="AO336" s="103">
        <f>AJ337/L337</f>
        <v/>
      </c>
      <c r="AP336" s="14">
        <f>(AJ337-AB337)/100</f>
        <v/>
      </c>
      <c r="AQ336" s="14">
        <f>(AJ337-AC337)/100</f>
        <v/>
      </c>
      <c r="AR336" s="104">
        <f>AI337/94</f>
        <v/>
      </c>
      <c r="AS336" s="104">
        <f>AJ337/94</f>
        <v/>
      </c>
      <c r="AT336" s="105">
        <f>AI337/24</f>
        <v/>
      </c>
      <c r="AU336" s="105">
        <f>AJ337/24</f>
        <v/>
      </c>
      <c r="AV336" s="105">
        <f>AI337/125</f>
        <v/>
      </c>
      <c r="AW336" s="105">
        <f>AJ337/125</f>
        <v/>
      </c>
      <c r="AX336" s="107" t="n"/>
      <c r="AY336" s="107" t="n"/>
    </row>
    <row r="337" ht="15.75" customHeight="1" s="258">
      <c r="A337" s="96" t="n"/>
      <c r="B337" s="96" t="inlineStr">
        <is>
          <t>6 in / Chakras</t>
        </is>
      </c>
      <c r="C337" s="96" t="inlineStr">
        <is>
          <t>MI-SB-H-ET-C-6</t>
        </is>
      </c>
      <c r="D337" s="94" t="n"/>
      <c r="E337" s="96" t="n">
        <v>125</v>
      </c>
      <c r="F337" s="96" t="n">
        <v>10</v>
      </c>
      <c r="G337" s="94" t="n">
        <v>83061000</v>
      </c>
      <c r="H337" s="97" t="n">
        <v>0.05</v>
      </c>
      <c r="I337" s="96">
        <f>D338*H338</f>
        <v/>
      </c>
      <c r="J337" s="107" t="n"/>
      <c r="K337" s="96">
        <f>D338*4%</f>
        <v/>
      </c>
      <c r="L337" s="98">
        <f>K338+J338+I338+F338+E338+D338</f>
        <v/>
      </c>
      <c r="M337" s="96">
        <f>D338*1%</f>
        <v/>
      </c>
      <c r="N337" s="99">
        <f>L338*8%</f>
        <v/>
      </c>
      <c r="O337" s="99">
        <f>L338*10%</f>
        <v/>
      </c>
      <c r="P337" s="99">
        <f>L338*5%</f>
        <v/>
      </c>
      <c r="Q337" s="99">
        <f>L338*2%</f>
        <v/>
      </c>
      <c r="R337" s="99">
        <f>AC338*0.5%</f>
        <v/>
      </c>
      <c r="S337" s="99">
        <f>L338*1%</f>
        <v/>
      </c>
      <c r="T337" s="100">
        <f>S338+Q338+P338+O338+N338+M338</f>
        <v/>
      </c>
      <c r="U337" s="96">
        <f>AC338*1%</f>
        <v/>
      </c>
      <c r="V337" s="44">
        <f>AC338*5%</f>
        <v/>
      </c>
      <c r="W337" s="96">
        <f>AC338*1%</f>
        <v/>
      </c>
      <c r="X337" s="96">
        <f>AC338*8%</f>
        <v/>
      </c>
      <c r="Y337" s="96">
        <f>U338+V338+W338+X338</f>
        <v/>
      </c>
      <c r="Z337" s="100">
        <f>Y338+T338+L338</f>
        <v/>
      </c>
      <c r="AA337" s="101">
        <f>Z338*20%</f>
        <v/>
      </c>
      <c r="AB337" s="99">
        <f>Z338+AA338</f>
        <v/>
      </c>
      <c r="AC337" s="96">
        <f>D338*2.1</f>
        <v/>
      </c>
      <c r="AD337" s="99">
        <f>AB338-AC338</f>
        <v/>
      </c>
      <c r="AE337" s="99">
        <f>AD338/AB338*100</f>
        <v/>
      </c>
      <c r="AF337" s="107" t="n">
        <v>10500</v>
      </c>
      <c r="AG337" s="102">
        <f>((AF338-L338)/L338)*100</f>
        <v/>
      </c>
      <c r="AH337" s="106">
        <f>AJ338-AF338</f>
        <v/>
      </c>
      <c r="AI337" s="106" t="n">
        <v>11990</v>
      </c>
      <c r="AJ337" s="106" t="n">
        <v>10990</v>
      </c>
      <c r="AK337" s="14">
        <f>(AJ338-L338)/L338*100</f>
        <v/>
      </c>
      <c r="AL337" s="14" t="n"/>
      <c r="AM337" s="14">
        <f>AH338/AJ338%</f>
        <v/>
      </c>
      <c r="AN337" s="14">
        <f>AK338-AG338</f>
        <v/>
      </c>
      <c r="AO337" s="103">
        <f>AJ338/L338</f>
        <v/>
      </c>
      <c r="AP337" s="14">
        <f>(AJ338-AB338)/100</f>
        <v/>
      </c>
      <c r="AQ337" s="14">
        <f>(AJ338-AC338)/100</f>
        <v/>
      </c>
      <c r="AR337" s="104">
        <f>AI338/94</f>
        <v/>
      </c>
      <c r="AS337" s="104">
        <f>AJ338/94</f>
        <v/>
      </c>
      <c r="AT337" s="105">
        <f>AI338/24</f>
        <v/>
      </c>
      <c r="AU337" s="105">
        <f>AJ338/24</f>
        <v/>
      </c>
      <c r="AV337" s="105">
        <f>AI338/125</f>
        <v/>
      </c>
      <c r="AW337" s="105">
        <f>AJ338/125</f>
        <v/>
      </c>
      <c r="AX337" s="107" t="n"/>
      <c r="AY337" s="107" t="n"/>
    </row>
    <row r="338" ht="15.75" customHeight="1" s="258">
      <c r="A338" s="96" t="n"/>
      <c r="B338" s="96" t="inlineStr">
        <is>
          <t>7 in / Chakras</t>
        </is>
      </c>
      <c r="C338" s="96" t="inlineStr">
        <is>
          <t>MI-SB-H-ET-C-7</t>
        </is>
      </c>
      <c r="D338" s="94" t="n"/>
      <c r="E338" s="96" t="n">
        <v>125</v>
      </c>
      <c r="F338" s="96" t="n">
        <v>10</v>
      </c>
      <c r="G338" s="94" t="n">
        <v>83061000</v>
      </c>
      <c r="H338" s="97" t="n">
        <v>0.05</v>
      </c>
      <c r="I338" s="96">
        <f>D339*H339</f>
        <v/>
      </c>
      <c r="J338" s="107" t="n"/>
      <c r="K338" s="96">
        <f>D339*4%</f>
        <v/>
      </c>
      <c r="L338" s="98">
        <f>K339+J339+I339+F339+E339+D339</f>
        <v/>
      </c>
      <c r="M338" s="96">
        <f>D339*1%</f>
        <v/>
      </c>
      <c r="N338" s="99">
        <f>L339*8%</f>
        <v/>
      </c>
      <c r="O338" s="99">
        <f>L339*10%</f>
        <v/>
      </c>
      <c r="P338" s="99">
        <f>L339*5%</f>
        <v/>
      </c>
      <c r="Q338" s="99">
        <f>L339*2%</f>
        <v/>
      </c>
      <c r="R338" s="99">
        <f>AC339*0.5%</f>
        <v/>
      </c>
      <c r="S338" s="99">
        <f>L339*1%</f>
        <v/>
      </c>
      <c r="T338" s="100">
        <f>S339+Q339+P339+O339+N339+M339</f>
        <v/>
      </c>
      <c r="U338" s="96">
        <f>AC339*1%</f>
        <v/>
      </c>
      <c r="V338" s="44">
        <f>AC339*5%</f>
        <v/>
      </c>
      <c r="W338" s="96">
        <f>AC339*1%</f>
        <v/>
      </c>
      <c r="X338" s="96">
        <f>AC339*8%</f>
        <v/>
      </c>
      <c r="Y338" s="96">
        <f>U339+V339+W339+X339</f>
        <v/>
      </c>
      <c r="Z338" s="100">
        <f>Y339+T339+L339</f>
        <v/>
      </c>
      <c r="AA338" s="101">
        <f>Z339*20%</f>
        <v/>
      </c>
      <c r="AB338" s="99">
        <f>Z339+AA339</f>
        <v/>
      </c>
      <c r="AC338" s="96">
        <f>D339*2.1</f>
        <v/>
      </c>
      <c r="AD338" s="99">
        <f>AB339-AC339</f>
        <v/>
      </c>
      <c r="AE338" s="99">
        <f>AD339/AB339*100</f>
        <v/>
      </c>
      <c r="AF338" s="107" t="n">
        <v>12500</v>
      </c>
      <c r="AG338" s="102">
        <f>((AF339-L339)/L339)*100</f>
        <v/>
      </c>
      <c r="AH338" s="106">
        <f>AJ339-AF339</f>
        <v/>
      </c>
      <c r="AI338" s="106" t="n">
        <v>13990</v>
      </c>
      <c r="AJ338" s="106" t="n">
        <v>12990</v>
      </c>
      <c r="AK338" s="14">
        <f>(AJ339-L339)/L339*100</f>
        <v/>
      </c>
      <c r="AL338" s="14" t="n"/>
      <c r="AM338" s="14">
        <f>AH339/AJ339%</f>
        <v/>
      </c>
      <c r="AN338" s="14">
        <f>AK339-AG339</f>
        <v/>
      </c>
      <c r="AO338" s="103">
        <f>AJ339/L339</f>
        <v/>
      </c>
      <c r="AP338" s="14">
        <f>(AJ339-AB339)/100</f>
        <v/>
      </c>
      <c r="AQ338" s="14">
        <f>(AJ339-AC339)/100</f>
        <v/>
      </c>
      <c r="AR338" s="104">
        <f>AI339/94</f>
        <v/>
      </c>
      <c r="AS338" s="104">
        <f>AJ339/94</f>
        <v/>
      </c>
      <c r="AT338" s="105">
        <f>AI339/24</f>
        <v/>
      </c>
      <c r="AU338" s="105">
        <f>AJ339/24</f>
        <v/>
      </c>
      <c r="AV338" s="105">
        <f>AI339/125</f>
        <v/>
      </c>
      <c r="AW338" s="105">
        <f>AJ339/125</f>
        <v/>
      </c>
      <c r="AX338" s="107" t="n"/>
      <c r="AY338" s="107" t="n"/>
    </row>
    <row r="339" ht="15.75" customHeight="1" s="258">
      <c r="A339" s="96" t="n"/>
      <c r="B339" s="96" t="inlineStr">
        <is>
          <t>8 in / Chakras</t>
        </is>
      </c>
      <c r="C339" s="96" t="inlineStr">
        <is>
          <t>MI-SB-H-ET-C-8</t>
        </is>
      </c>
      <c r="D339" s="94" t="n"/>
      <c r="E339" s="96" t="n">
        <v>145</v>
      </c>
      <c r="F339" s="96" t="n">
        <v>10</v>
      </c>
      <c r="G339" s="94" t="n">
        <v>83061000</v>
      </c>
      <c r="H339" s="97" t="n">
        <v>0.05</v>
      </c>
      <c r="I339" s="96">
        <f>D340*H340</f>
        <v/>
      </c>
      <c r="J339" s="107" t="n"/>
      <c r="K339" s="96">
        <f>D340*4%</f>
        <v/>
      </c>
      <c r="L339" s="98">
        <f>K340+J340+I340+F340+E340+D340</f>
        <v/>
      </c>
      <c r="M339" s="96">
        <f>D340*1%</f>
        <v/>
      </c>
      <c r="N339" s="99">
        <f>L340*8%</f>
        <v/>
      </c>
      <c r="O339" s="99">
        <f>L340*10%</f>
        <v/>
      </c>
      <c r="P339" s="99">
        <f>L340*5%</f>
        <v/>
      </c>
      <c r="Q339" s="99">
        <f>L340*2%</f>
        <v/>
      </c>
      <c r="R339" s="99">
        <f>AC340*0.5%</f>
        <v/>
      </c>
      <c r="S339" s="99">
        <f>L340*1%</f>
        <v/>
      </c>
      <c r="T339" s="100">
        <f>S340+Q340+P340+O340+N340+M340</f>
        <v/>
      </c>
      <c r="U339" s="96">
        <f>AC340*1%</f>
        <v/>
      </c>
      <c r="V339" s="44">
        <f>AC340*5%</f>
        <v/>
      </c>
      <c r="W339" s="96">
        <f>AC340*1%</f>
        <v/>
      </c>
      <c r="X339" s="96">
        <f>AC340*8%</f>
        <v/>
      </c>
      <c r="Y339" s="96">
        <f>U340+V340+W340+X340</f>
        <v/>
      </c>
      <c r="Z339" s="100">
        <f>Y340+T340+L340</f>
        <v/>
      </c>
      <c r="AA339" s="101">
        <f>Z340*20%</f>
        <v/>
      </c>
      <c r="AB339" s="99">
        <f>Z340+AA340</f>
        <v/>
      </c>
      <c r="AC339" s="96">
        <f>D340*2.1</f>
        <v/>
      </c>
      <c r="AD339" s="99">
        <f>AB340-AC340</f>
        <v/>
      </c>
      <c r="AE339" s="99">
        <f>AD340/AB340*100</f>
        <v/>
      </c>
      <c r="AF339" s="107" t="n">
        <v>14500</v>
      </c>
      <c r="AG339" s="102">
        <f>((AF340-L340)/L340)*100</f>
        <v/>
      </c>
      <c r="AH339" s="106">
        <f>AJ340-AF340</f>
        <v/>
      </c>
      <c r="AI339" s="106" t="n">
        <v>15990</v>
      </c>
      <c r="AJ339" s="106" t="n">
        <v>14990</v>
      </c>
      <c r="AK339" s="14">
        <f>(AJ340-L340)/L340*100</f>
        <v/>
      </c>
      <c r="AL339" s="14" t="n"/>
      <c r="AM339" s="14">
        <f>AH340/AJ340%</f>
        <v/>
      </c>
      <c r="AN339" s="14">
        <f>AK340-AG340</f>
        <v/>
      </c>
      <c r="AO339" s="103">
        <f>AJ340/L340</f>
        <v/>
      </c>
      <c r="AP339" s="14">
        <f>(AJ340-AB340)/100</f>
        <v/>
      </c>
      <c r="AQ339" s="14">
        <f>(AJ340-AC340)/100</f>
        <v/>
      </c>
      <c r="AR339" s="104">
        <f>AI340/94</f>
        <v/>
      </c>
      <c r="AS339" s="104">
        <f>AJ340/94</f>
        <v/>
      </c>
      <c r="AT339" s="105">
        <f>AI340/24</f>
        <v/>
      </c>
      <c r="AU339" s="105">
        <f>AJ340/24</f>
        <v/>
      </c>
      <c r="AV339" s="105">
        <f>AI340/125</f>
        <v/>
      </c>
      <c r="AW339" s="105">
        <f>AJ340/125</f>
        <v/>
      </c>
      <c r="AX339" s="107" t="n"/>
      <c r="AY339" s="107" t="n"/>
    </row>
    <row r="340" ht="15.75" customHeight="1" s="258">
      <c r="A340" s="96" t="n"/>
      <c r="B340" s="96" t="inlineStr">
        <is>
          <t>9 in / Chakras</t>
        </is>
      </c>
      <c r="C340" s="96" t="inlineStr">
        <is>
          <t>MI-SB-H-ET-C-9</t>
        </is>
      </c>
      <c r="D340" s="94" t="n"/>
      <c r="E340" s="96" t="n">
        <v>145</v>
      </c>
      <c r="F340" s="96" t="n">
        <v>10</v>
      </c>
      <c r="G340" s="94" t="n">
        <v>83061000</v>
      </c>
      <c r="H340" s="97" t="n">
        <v>0.05</v>
      </c>
      <c r="I340" s="96">
        <f>D341*H341</f>
        <v/>
      </c>
      <c r="J340" s="107" t="n"/>
      <c r="K340" s="96">
        <f>D341*4%</f>
        <v/>
      </c>
      <c r="L340" s="98">
        <f>K341+J341+I341+F341+E341+D341</f>
        <v/>
      </c>
      <c r="M340" s="96">
        <f>D341*1%</f>
        <v/>
      </c>
      <c r="N340" s="99">
        <f>L341*8%</f>
        <v/>
      </c>
      <c r="O340" s="99">
        <f>L341*10%</f>
        <v/>
      </c>
      <c r="P340" s="99">
        <f>L341*5%</f>
        <v/>
      </c>
      <c r="Q340" s="99">
        <f>L341*2%</f>
        <v/>
      </c>
      <c r="R340" s="99">
        <f>AC341*0.5%</f>
        <v/>
      </c>
      <c r="S340" s="99">
        <f>L341*1%</f>
        <v/>
      </c>
      <c r="T340" s="100">
        <f>S341+Q341+P341+O341+N341+M341</f>
        <v/>
      </c>
      <c r="U340" s="96">
        <f>AC341*1%</f>
        <v/>
      </c>
      <c r="V340" s="44">
        <f>AC341*5%</f>
        <v/>
      </c>
      <c r="W340" s="96">
        <f>AC341*1%</f>
        <v/>
      </c>
      <c r="X340" s="96">
        <f>AC341*8%</f>
        <v/>
      </c>
      <c r="Y340" s="96">
        <f>U341+V341+W341+X341</f>
        <v/>
      </c>
      <c r="Z340" s="100">
        <f>Y341+T341+L341</f>
        <v/>
      </c>
      <c r="AA340" s="101">
        <f>Z341*20%</f>
        <v/>
      </c>
      <c r="AB340" s="99">
        <f>Z341+AA341</f>
        <v/>
      </c>
      <c r="AC340" s="96">
        <f>D341*2.1</f>
        <v/>
      </c>
      <c r="AD340" s="99">
        <f>AB341-AC341</f>
        <v/>
      </c>
      <c r="AE340" s="99">
        <f>AD341/AB341*100</f>
        <v/>
      </c>
      <c r="AF340" s="107" t="n">
        <v>16500</v>
      </c>
      <c r="AG340" s="102">
        <f>((AF341-L341)/L341)*100</f>
        <v/>
      </c>
      <c r="AH340" s="106">
        <f>AJ341-AF341</f>
        <v/>
      </c>
      <c r="AI340" s="106" t="n">
        <v>17990</v>
      </c>
      <c r="AJ340" s="106" t="n">
        <v>16990</v>
      </c>
      <c r="AK340" s="14">
        <f>(AJ341-L341)/L341*100</f>
        <v/>
      </c>
      <c r="AL340" s="14" t="n"/>
      <c r="AM340" s="14">
        <f>AH341/AJ341%</f>
        <v/>
      </c>
      <c r="AN340" s="14">
        <f>AK341-AG341</f>
        <v/>
      </c>
      <c r="AO340" s="103">
        <f>AJ341/L341</f>
        <v/>
      </c>
      <c r="AP340" s="14">
        <f>(AJ341-AB341)/100</f>
        <v/>
      </c>
      <c r="AQ340" s="14">
        <f>(AJ341-AC341)/100</f>
        <v/>
      </c>
      <c r="AR340" s="104">
        <f>AI341/94</f>
        <v/>
      </c>
      <c r="AS340" s="104">
        <f>AJ341/94</f>
        <v/>
      </c>
      <c r="AT340" s="105">
        <f>AI341/24</f>
        <v/>
      </c>
      <c r="AU340" s="105">
        <f>AJ341/24</f>
        <v/>
      </c>
      <c r="AV340" s="105">
        <f>AI341/125</f>
        <v/>
      </c>
      <c r="AW340" s="105">
        <f>AJ341/125</f>
        <v/>
      </c>
      <c r="AX340" s="107" t="n"/>
      <c r="AY340" s="107" t="n"/>
    </row>
    <row r="341" ht="15.75" customHeight="1" s="258">
      <c r="A341" s="96" t="n"/>
      <c r="B341" s="96" t="inlineStr">
        <is>
          <t>Dorje / 10 in</t>
        </is>
      </c>
      <c r="C341" s="96" t="inlineStr">
        <is>
          <t>MI-SB-H-ET-DJ-10</t>
        </is>
      </c>
      <c r="D341" s="94" t="n"/>
      <c r="E341" s="96" t="n">
        <v>145</v>
      </c>
      <c r="F341" s="96" t="n">
        <v>10</v>
      </c>
      <c r="G341" s="94" t="n">
        <v>83061000</v>
      </c>
      <c r="H341" s="97" t="n">
        <v>0.05</v>
      </c>
      <c r="I341" s="96">
        <f>D342*H342</f>
        <v/>
      </c>
      <c r="J341" s="107" t="n"/>
      <c r="K341" s="96">
        <f>D342*4%</f>
        <v/>
      </c>
      <c r="L341" s="98">
        <f>K342+J342+I342+F342+E342+D342</f>
        <v/>
      </c>
      <c r="M341" s="96">
        <f>D342*1%</f>
        <v/>
      </c>
      <c r="N341" s="99">
        <f>L342*8%</f>
        <v/>
      </c>
      <c r="O341" s="99">
        <f>L342*10%</f>
        <v/>
      </c>
      <c r="P341" s="99">
        <f>L342*5%</f>
        <v/>
      </c>
      <c r="Q341" s="99">
        <f>L342*2%</f>
        <v/>
      </c>
      <c r="R341" s="99">
        <f>AC342*0.5%</f>
        <v/>
      </c>
      <c r="S341" s="99">
        <f>L342*1%</f>
        <v/>
      </c>
      <c r="T341" s="100">
        <f>S342+Q342+P342+O342+N342+M342</f>
        <v/>
      </c>
      <c r="U341" s="96">
        <f>AC342*1%</f>
        <v/>
      </c>
      <c r="V341" s="44">
        <f>AC342*5%</f>
        <v/>
      </c>
      <c r="W341" s="96">
        <f>AC342*1%</f>
        <v/>
      </c>
      <c r="X341" s="96">
        <f>AC342*8%</f>
        <v/>
      </c>
      <c r="Y341" s="96">
        <f>U342+V342+W342+X342</f>
        <v/>
      </c>
      <c r="Z341" s="100">
        <f>Y342+T342+L342</f>
        <v/>
      </c>
      <c r="AA341" s="101">
        <f>Z342*20%</f>
        <v/>
      </c>
      <c r="AB341" s="99">
        <f>Z342+AA342</f>
        <v/>
      </c>
      <c r="AC341" s="96">
        <f>D342*2.1</f>
        <v/>
      </c>
      <c r="AD341" s="99">
        <f>AB342-AC342</f>
        <v/>
      </c>
      <c r="AE341" s="99">
        <f>AD342/AB342*100</f>
        <v/>
      </c>
      <c r="AF341" s="107" t="n">
        <v>16500</v>
      </c>
      <c r="AG341" s="102">
        <f>((AF342-L342)/L342)*100</f>
        <v/>
      </c>
      <c r="AH341" s="106">
        <f>AJ342-AF342</f>
        <v/>
      </c>
      <c r="AI341" s="106" t="n">
        <v>17990</v>
      </c>
      <c r="AJ341" s="106" t="n">
        <v>16990</v>
      </c>
      <c r="AK341" s="14">
        <f>(AJ342-L342)/L342*100</f>
        <v/>
      </c>
      <c r="AL341" s="14" t="n"/>
      <c r="AM341" s="14">
        <f>AH342/AJ342%</f>
        <v/>
      </c>
      <c r="AN341" s="14">
        <f>AK342-AG342</f>
        <v/>
      </c>
      <c r="AO341" s="103">
        <f>AJ342/L342</f>
        <v/>
      </c>
      <c r="AP341" s="14">
        <f>(AJ342-AB342)/100</f>
        <v/>
      </c>
      <c r="AQ341" s="14">
        <f>(AJ342-AC342)/100</f>
        <v/>
      </c>
      <c r="AR341" s="104">
        <f>AI342/94</f>
        <v/>
      </c>
      <c r="AS341" s="104">
        <f>AJ342/94</f>
        <v/>
      </c>
      <c r="AT341" s="105">
        <f>AI342/24</f>
        <v/>
      </c>
      <c r="AU341" s="105">
        <f>AJ342/24</f>
        <v/>
      </c>
      <c r="AV341" s="105">
        <f>AI342/125</f>
        <v/>
      </c>
      <c r="AW341" s="105">
        <f>AJ342/125</f>
        <v/>
      </c>
      <c r="AX341" s="107" t="n"/>
      <c r="AY341" s="107" t="n"/>
    </row>
    <row r="342" ht="15.75" customHeight="1" s="258">
      <c r="A342" s="96" t="n"/>
      <c r="B342" s="96" t="inlineStr">
        <is>
          <t>Dorje / 11 in</t>
        </is>
      </c>
      <c r="C342" s="96" t="inlineStr">
        <is>
          <t>MI-SB-H-ET-DJ-11</t>
        </is>
      </c>
      <c r="D342" s="94" t="n"/>
      <c r="E342" s="96" t="n">
        <v>145</v>
      </c>
      <c r="F342" s="96" t="n">
        <v>10</v>
      </c>
      <c r="G342" s="94" t="n">
        <v>83061000</v>
      </c>
      <c r="H342" s="97" t="n">
        <v>0.05</v>
      </c>
      <c r="I342" s="96">
        <f>D343*H343</f>
        <v/>
      </c>
      <c r="J342" s="107" t="n"/>
      <c r="K342" s="96">
        <f>D343*4%</f>
        <v/>
      </c>
      <c r="L342" s="98">
        <f>K343+J343+I343+F343+E343+D343</f>
        <v/>
      </c>
      <c r="M342" s="96">
        <f>D343*1%</f>
        <v/>
      </c>
      <c r="N342" s="99">
        <f>L343*8%</f>
        <v/>
      </c>
      <c r="O342" s="99">
        <f>L343*10%</f>
        <v/>
      </c>
      <c r="P342" s="99">
        <f>L343*5%</f>
        <v/>
      </c>
      <c r="Q342" s="99">
        <f>L343*2%</f>
        <v/>
      </c>
      <c r="R342" s="99">
        <f>AC343*0.5%</f>
        <v/>
      </c>
      <c r="S342" s="99">
        <f>L343*1%</f>
        <v/>
      </c>
      <c r="T342" s="100">
        <f>S343+Q343+P343+O343+N343+M343</f>
        <v/>
      </c>
      <c r="U342" s="96">
        <f>AC343*1%</f>
        <v/>
      </c>
      <c r="V342" s="44">
        <f>AC343*5%</f>
        <v/>
      </c>
      <c r="W342" s="96">
        <f>AC343*1%</f>
        <v/>
      </c>
      <c r="X342" s="96">
        <f>AC343*8%</f>
        <v/>
      </c>
      <c r="Y342" s="96">
        <f>U343+V343+W343+X343</f>
        <v/>
      </c>
      <c r="Z342" s="100">
        <f>Y343+T343+L343</f>
        <v/>
      </c>
      <c r="AA342" s="101">
        <f>Z343*20%</f>
        <v/>
      </c>
      <c r="AB342" s="99">
        <f>Z343+AA343</f>
        <v/>
      </c>
      <c r="AC342" s="96">
        <f>D343*2.1</f>
        <v/>
      </c>
      <c r="AD342" s="99">
        <f>AB343-AC343</f>
        <v/>
      </c>
      <c r="AE342" s="99">
        <f>AD343/AB343*100</f>
        <v/>
      </c>
      <c r="AF342" s="107" t="n">
        <v>19500</v>
      </c>
      <c r="AG342" s="102">
        <f>((AF343-L343)/L343)*100</f>
        <v/>
      </c>
      <c r="AH342" s="106">
        <f>AJ343-AF343</f>
        <v/>
      </c>
      <c r="AI342" s="106" t="n">
        <v>21990</v>
      </c>
      <c r="AJ342" s="106" t="n">
        <v>19990</v>
      </c>
      <c r="AK342" s="14">
        <f>(AJ343-L343)/L343*100</f>
        <v/>
      </c>
      <c r="AL342" s="14" t="n"/>
      <c r="AM342" s="14">
        <f>AH343/AJ343%</f>
        <v/>
      </c>
      <c r="AN342" s="14">
        <f>AK343-AG343</f>
        <v/>
      </c>
      <c r="AO342" s="103">
        <f>AJ343/L343</f>
        <v/>
      </c>
      <c r="AP342" s="14">
        <f>(AJ343-AB343)/100</f>
        <v/>
      </c>
      <c r="AQ342" s="14">
        <f>(AJ343-AC343)/100</f>
        <v/>
      </c>
      <c r="AR342" s="104">
        <f>AI343/94</f>
        <v/>
      </c>
      <c r="AS342" s="104">
        <f>AJ343/94</f>
        <v/>
      </c>
      <c r="AT342" s="105">
        <f>AI343/24</f>
        <v/>
      </c>
      <c r="AU342" s="105">
        <f>AJ343/24</f>
        <v/>
      </c>
      <c r="AV342" s="105">
        <f>AI343/125</f>
        <v/>
      </c>
      <c r="AW342" s="105">
        <f>AJ343/125</f>
        <v/>
      </c>
      <c r="AX342" s="107" t="n"/>
      <c r="AY342" s="107" t="n"/>
    </row>
    <row r="343" ht="15.75" customHeight="1" s="258">
      <c r="A343" s="96" t="n"/>
      <c r="B343" s="96" t="inlineStr">
        <is>
          <t>Dorje / 12 in</t>
        </is>
      </c>
      <c r="C343" s="96" t="inlineStr">
        <is>
          <t>MI-SB-H-ET-DJ-12</t>
        </is>
      </c>
      <c r="D343" s="94" t="n"/>
      <c r="E343" s="96" t="n">
        <v>145</v>
      </c>
      <c r="F343" s="96" t="n">
        <v>10</v>
      </c>
      <c r="G343" s="94" t="n">
        <v>83061000</v>
      </c>
      <c r="H343" s="97" t="n">
        <v>0.05</v>
      </c>
      <c r="I343" s="96">
        <f>D344*H344</f>
        <v/>
      </c>
      <c r="J343" s="107" t="n"/>
      <c r="K343" s="96">
        <f>D344*4%</f>
        <v/>
      </c>
      <c r="L343" s="98">
        <f>K344+J344+I344+F344+E344+D344</f>
        <v/>
      </c>
      <c r="M343" s="96">
        <f>D344*1%</f>
        <v/>
      </c>
      <c r="N343" s="99">
        <f>L344*8%</f>
        <v/>
      </c>
      <c r="O343" s="99">
        <f>L344*10%</f>
        <v/>
      </c>
      <c r="P343" s="99">
        <f>L344*5%</f>
        <v/>
      </c>
      <c r="Q343" s="99">
        <f>L344*2%</f>
        <v/>
      </c>
      <c r="R343" s="99">
        <f>AC344*0.5%</f>
        <v/>
      </c>
      <c r="S343" s="99">
        <f>L344*1%</f>
        <v/>
      </c>
      <c r="T343" s="100">
        <f>S344+Q344+P344+O344+N344+M344</f>
        <v/>
      </c>
      <c r="U343" s="96">
        <f>AC344*1%</f>
        <v/>
      </c>
      <c r="V343" s="44">
        <f>AC344*5%</f>
        <v/>
      </c>
      <c r="W343" s="96">
        <f>AC344*1%</f>
        <v/>
      </c>
      <c r="X343" s="96">
        <f>AC344*8%</f>
        <v/>
      </c>
      <c r="Y343" s="96">
        <f>U344+V344+W344+X344</f>
        <v/>
      </c>
      <c r="Z343" s="100">
        <f>Y344+T344+L344</f>
        <v/>
      </c>
      <c r="AA343" s="101">
        <f>Z344*20%</f>
        <v/>
      </c>
      <c r="AB343" s="99">
        <f>Z344+AA344</f>
        <v/>
      </c>
      <c r="AC343" s="96">
        <f>D344*2.1</f>
        <v/>
      </c>
      <c r="AD343" s="99">
        <f>AB344-AC344</f>
        <v/>
      </c>
      <c r="AE343" s="99">
        <f>AD344/AB344*100</f>
        <v/>
      </c>
      <c r="AF343" s="107" t="n">
        <v>22500</v>
      </c>
      <c r="AG343" s="102">
        <f>((AF344-L344)/L344)*100</f>
        <v/>
      </c>
      <c r="AH343" s="106">
        <f>AJ344-AF344</f>
        <v/>
      </c>
      <c r="AI343" s="106" t="n">
        <v>24990</v>
      </c>
      <c r="AJ343" s="106" t="n">
        <v>22990</v>
      </c>
      <c r="AK343" s="14">
        <f>(AJ344-L344)/L344*100</f>
        <v/>
      </c>
      <c r="AL343" s="14" t="n"/>
      <c r="AM343" s="14">
        <f>AH344/AJ344%</f>
        <v/>
      </c>
      <c r="AN343" s="14">
        <f>AK344-AG344</f>
        <v/>
      </c>
      <c r="AO343" s="103">
        <f>AJ344/L344</f>
        <v/>
      </c>
      <c r="AP343" s="14">
        <f>(AJ344-AB344)/100</f>
        <v/>
      </c>
      <c r="AQ343" s="14">
        <f>(AJ344-AC344)/100</f>
        <v/>
      </c>
      <c r="AR343" s="104">
        <f>AI344/94</f>
        <v/>
      </c>
      <c r="AS343" s="104">
        <f>AJ344/94</f>
        <v/>
      </c>
      <c r="AT343" s="105">
        <f>AI344/24</f>
        <v/>
      </c>
      <c r="AU343" s="105">
        <f>AJ344/24</f>
        <v/>
      </c>
      <c r="AV343" s="105">
        <f>AI344/125</f>
        <v/>
      </c>
      <c r="AW343" s="105">
        <f>AJ344/125</f>
        <v/>
      </c>
      <c r="AX343" s="107" t="n"/>
      <c r="AY343" s="107" t="n"/>
    </row>
    <row r="344" ht="15.75" customHeight="1" s="258">
      <c r="A344" s="96" t="n"/>
      <c r="B344" s="96" t="inlineStr">
        <is>
          <t>Dorje / 6 in</t>
        </is>
      </c>
      <c r="C344" s="96" t="inlineStr">
        <is>
          <t>MI-SB-H-ET-DJ-6</t>
        </is>
      </c>
      <c r="D344" s="94" t="n"/>
      <c r="E344" s="96" t="n">
        <v>125</v>
      </c>
      <c r="F344" s="96" t="n">
        <v>10</v>
      </c>
      <c r="G344" s="94" t="n">
        <v>83061000</v>
      </c>
      <c r="H344" s="97" t="n">
        <v>0.05</v>
      </c>
      <c r="I344" s="96">
        <f>D345*H345</f>
        <v/>
      </c>
      <c r="J344" s="107" t="n"/>
      <c r="K344" s="96">
        <f>D345*4%</f>
        <v/>
      </c>
      <c r="L344" s="98">
        <f>K345+J345+I345+F345+E345+D345</f>
        <v/>
      </c>
      <c r="M344" s="96">
        <f>D345*1%</f>
        <v/>
      </c>
      <c r="N344" s="99">
        <f>L345*8%</f>
        <v/>
      </c>
      <c r="O344" s="99">
        <f>L345*10%</f>
        <v/>
      </c>
      <c r="P344" s="99">
        <f>L345*5%</f>
        <v/>
      </c>
      <c r="Q344" s="99">
        <f>L345*2%</f>
        <v/>
      </c>
      <c r="R344" s="99">
        <f>AC345*0.5%</f>
        <v/>
      </c>
      <c r="S344" s="99">
        <f>L345*1%</f>
        <v/>
      </c>
      <c r="T344" s="100">
        <f>S345+Q345+P345+O345+N345+M345</f>
        <v/>
      </c>
      <c r="U344" s="96">
        <f>AC345*1%</f>
        <v/>
      </c>
      <c r="V344" s="44">
        <f>AC345*5%</f>
        <v/>
      </c>
      <c r="W344" s="96">
        <f>AC345*1%</f>
        <v/>
      </c>
      <c r="X344" s="96">
        <f>AC345*8%</f>
        <v/>
      </c>
      <c r="Y344" s="96">
        <f>U345+V345+W345+X345</f>
        <v/>
      </c>
      <c r="Z344" s="100">
        <f>Y345+T345+L345</f>
        <v/>
      </c>
      <c r="AA344" s="101">
        <f>Z345*20%</f>
        <v/>
      </c>
      <c r="AB344" s="99">
        <f>Z345+AA345</f>
        <v/>
      </c>
      <c r="AC344" s="96">
        <f>D345*2.1</f>
        <v/>
      </c>
      <c r="AD344" s="99">
        <f>AB345-AC345</f>
        <v/>
      </c>
      <c r="AE344" s="99">
        <f>AD345/AB345*100</f>
        <v/>
      </c>
      <c r="AF344" s="107" t="n"/>
      <c r="AG344" s="102">
        <f>((AF345-L345)/L345)*100</f>
        <v/>
      </c>
      <c r="AH344" s="106">
        <f>AJ345-AF345</f>
        <v/>
      </c>
      <c r="AI344" s="106">
        <f>AF345+(AF345*9%)</f>
        <v/>
      </c>
      <c r="AJ344" s="106">
        <f>AI345-(AI345*7%)</f>
        <v/>
      </c>
      <c r="AK344" s="14">
        <f>(AJ345-L345)/L345*100</f>
        <v/>
      </c>
      <c r="AL344" s="14" t="n"/>
      <c r="AM344" s="14">
        <f>AH345/AJ345%</f>
        <v/>
      </c>
      <c r="AN344" s="14">
        <f>AK345-AG345</f>
        <v/>
      </c>
      <c r="AO344" s="103">
        <f>AJ345/L345</f>
        <v/>
      </c>
      <c r="AP344" s="14">
        <f>(AJ345-AB345)/100</f>
        <v/>
      </c>
      <c r="AQ344" s="14">
        <f>(AJ345-AC345)/100</f>
        <v/>
      </c>
      <c r="AR344" s="104">
        <f>AI345/94</f>
        <v/>
      </c>
      <c r="AS344" s="104">
        <f>AJ345/94</f>
        <v/>
      </c>
      <c r="AT344" s="105">
        <f>AI345/24</f>
        <v/>
      </c>
      <c r="AU344" s="105">
        <f>AJ345/24</f>
        <v/>
      </c>
      <c r="AV344" s="105">
        <f>AI345/125</f>
        <v/>
      </c>
      <c r="AW344" s="105">
        <f>AJ345/125</f>
        <v/>
      </c>
      <c r="AX344" s="107" t="n"/>
      <c r="AY344" s="107" t="n"/>
    </row>
    <row r="345" ht="15.75" customHeight="1" s="258">
      <c r="A345" s="96" t="n"/>
      <c r="B345" s="96" t="inlineStr">
        <is>
          <t>Dorje / 7 in</t>
        </is>
      </c>
      <c r="C345" s="96" t="inlineStr">
        <is>
          <t>MI-SB-H-ET-DJ-7</t>
        </is>
      </c>
      <c r="D345" s="94" t="n"/>
      <c r="E345" s="96" t="n">
        <v>125</v>
      </c>
      <c r="F345" s="96" t="n">
        <v>10</v>
      </c>
      <c r="G345" s="94" t="n">
        <v>83061000</v>
      </c>
      <c r="H345" s="97" t="n">
        <v>0.05</v>
      </c>
      <c r="I345" s="96">
        <f>D346*H346</f>
        <v/>
      </c>
      <c r="J345" s="107" t="n"/>
      <c r="K345" s="96">
        <f>D346*4%</f>
        <v/>
      </c>
      <c r="L345" s="98">
        <f>K346+J346+I346+F346+E346+D346</f>
        <v/>
      </c>
      <c r="M345" s="96">
        <f>D346*1%</f>
        <v/>
      </c>
      <c r="N345" s="99">
        <f>L346*8%</f>
        <v/>
      </c>
      <c r="O345" s="99">
        <f>L346*10%</f>
        <v/>
      </c>
      <c r="P345" s="99">
        <f>L346*5%</f>
        <v/>
      </c>
      <c r="Q345" s="99">
        <f>L346*2%</f>
        <v/>
      </c>
      <c r="R345" s="99">
        <f>AC346*0.5%</f>
        <v/>
      </c>
      <c r="S345" s="99">
        <f>L346*1%</f>
        <v/>
      </c>
      <c r="T345" s="100">
        <f>S346+Q346+P346+O346+N346+M346</f>
        <v/>
      </c>
      <c r="U345" s="96">
        <f>AC346*1%</f>
        <v/>
      </c>
      <c r="V345" s="44">
        <f>AC346*5%</f>
        <v/>
      </c>
      <c r="W345" s="96">
        <f>AC346*1%</f>
        <v/>
      </c>
      <c r="X345" s="96">
        <f>AC346*8%</f>
        <v/>
      </c>
      <c r="Y345" s="96">
        <f>U346+V346+W346+X346</f>
        <v/>
      </c>
      <c r="Z345" s="100">
        <f>Y346+T346+L346</f>
        <v/>
      </c>
      <c r="AA345" s="101">
        <f>Z346*20%</f>
        <v/>
      </c>
      <c r="AB345" s="99">
        <f>Z346+AA346</f>
        <v/>
      </c>
      <c r="AC345" s="96">
        <f>D346*2.1</f>
        <v/>
      </c>
      <c r="AD345" s="99">
        <f>AB346-AC346</f>
        <v/>
      </c>
      <c r="AE345" s="99">
        <f>AD346/AB346*100</f>
        <v/>
      </c>
      <c r="AF345" s="107" t="n">
        <v>10500</v>
      </c>
      <c r="AG345" s="102">
        <f>((AF346-L346)/L346)*100</f>
        <v/>
      </c>
      <c r="AH345" s="106">
        <f>AJ346-AF346</f>
        <v/>
      </c>
      <c r="AI345" s="106" t="n">
        <v>11990</v>
      </c>
      <c r="AJ345" s="106" t="n">
        <v>10990</v>
      </c>
      <c r="AK345" s="14">
        <f>(AJ346-L346)/L346*100</f>
        <v/>
      </c>
      <c r="AL345" s="14" t="n"/>
      <c r="AM345" s="14">
        <f>AH346/AJ346%</f>
        <v/>
      </c>
      <c r="AN345" s="14">
        <f>AK346-AG346</f>
        <v/>
      </c>
      <c r="AO345" s="103">
        <f>AJ346/L346</f>
        <v/>
      </c>
      <c r="AP345" s="14">
        <f>(AJ346-AB346)/100</f>
        <v/>
      </c>
      <c r="AQ345" s="14">
        <f>(AJ346-AC346)/100</f>
        <v/>
      </c>
      <c r="AR345" s="104">
        <f>AI346/94</f>
        <v/>
      </c>
      <c r="AS345" s="104">
        <f>AJ346/94</f>
        <v/>
      </c>
      <c r="AT345" s="105">
        <f>AI346/24</f>
        <v/>
      </c>
      <c r="AU345" s="105">
        <f>AJ346/24</f>
        <v/>
      </c>
      <c r="AV345" s="105">
        <f>AI346/125</f>
        <v/>
      </c>
      <c r="AW345" s="105">
        <f>AJ346/125</f>
        <v/>
      </c>
      <c r="AX345" s="107" t="n"/>
      <c r="AY345" s="107" t="n"/>
    </row>
    <row r="346" ht="15.75" customHeight="1" s="258">
      <c r="A346" s="96" t="n"/>
      <c r="B346" s="96" t="inlineStr">
        <is>
          <t>8 in / Dorje</t>
        </is>
      </c>
      <c r="C346" s="96" t="inlineStr">
        <is>
          <t>MI-SB-H-ET-DJ-8</t>
        </is>
      </c>
      <c r="D346" s="94" t="n"/>
      <c r="E346" s="96" t="n">
        <v>145</v>
      </c>
      <c r="F346" s="96" t="n">
        <v>10</v>
      </c>
      <c r="G346" s="94" t="n">
        <v>83061000</v>
      </c>
      <c r="H346" s="97" t="n">
        <v>0.05</v>
      </c>
      <c r="I346" s="96">
        <f>D347*H347</f>
        <v/>
      </c>
      <c r="J346" s="107" t="n"/>
      <c r="K346" s="96">
        <f>D347*4%</f>
        <v/>
      </c>
      <c r="L346" s="98">
        <f>K347+J347+I347+F347+E347+D347</f>
        <v/>
      </c>
      <c r="M346" s="96">
        <f>D347*1%</f>
        <v/>
      </c>
      <c r="N346" s="99">
        <f>L347*8%</f>
        <v/>
      </c>
      <c r="O346" s="99">
        <f>L347*10%</f>
        <v/>
      </c>
      <c r="P346" s="99">
        <f>L347*5%</f>
        <v/>
      </c>
      <c r="Q346" s="99">
        <f>L347*2%</f>
        <v/>
      </c>
      <c r="R346" s="99">
        <f>AC347*0.5%</f>
        <v/>
      </c>
      <c r="S346" s="99">
        <f>L347*1%</f>
        <v/>
      </c>
      <c r="T346" s="100">
        <f>S347+Q347+P347+O347+N347+M347</f>
        <v/>
      </c>
      <c r="U346" s="96">
        <f>AC347*1%</f>
        <v/>
      </c>
      <c r="V346" s="44">
        <f>AC347*5%</f>
        <v/>
      </c>
      <c r="W346" s="96">
        <f>AC347*1%</f>
        <v/>
      </c>
      <c r="X346" s="96">
        <f>AC347*8%</f>
        <v/>
      </c>
      <c r="Y346" s="96">
        <f>U347+V347+W347+X347</f>
        <v/>
      </c>
      <c r="Z346" s="100">
        <f>Y347+T347+L347</f>
        <v/>
      </c>
      <c r="AA346" s="101">
        <f>Z347*20%</f>
        <v/>
      </c>
      <c r="AB346" s="99">
        <f>Z347+AA347</f>
        <v/>
      </c>
      <c r="AC346" s="96">
        <f>D347*2.1</f>
        <v/>
      </c>
      <c r="AD346" s="99">
        <f>AB347-AC347</f>
        <v/>
      </c>
      <c r="AE346" s="99">
        <f>AD347/AB347*100</f>
        <v/>
      </c>
      <c r="AF346" s="107" t="n">
        <v>12500</v>
      </c>
      <c r="AG346" s="102">
        <f>((AF347-L347)/L347)*100</f>
        <v/>
      </c>
      <c r="AH346" s="106">
        <f>AJ347-AF347</f>
        <v/>
      </c>
      <c r="AI346" s="106" t="n">
        <v>13990</v>
      </c>
      <c r="AJ346" s="106" t="n">
        <v>12990</v>
      </c>
      <c r="AK346" s="14">
        <f>(AJ347-L347)/L347*100</f>
        <v/>
      </c>
      <c r="AL346" s="14" t="n"/>
      <c r="AM346" s="14">
        <f>AH347/AJ347%</f>
        <v/>
      </c>
      <c r="AN346" s="14">
        <f>AK347-AG347</f>
        <v/>
      </c>
      <c r="AO346" s="103">
        <f>AJ347/L347</f>
        <v/>
      </c>
      <c r="AP346" s="14">
        <f>(AJ347-AB347)/100</f>
        <v/>
      </c>
      <c r="AQ346" s="14">
        <f>(AJ347-AC347)/100</f>
        <v/>
      </c>
      <c r="AR346" s="104">
        <f>AI347/94</f>
        <v/>
      </c>
      <c r="AS346" s="104">
        <f>AJ347/94</f>
        <v/>
      </c>
      <c r="AT346" s="105">
        <f>AI347/24</f>
        <v/>
      </c>
      <c r="AU346" s="105">
        <f>AJ347/24</f>
        <v/>
      </c>
      <c r="AV346" s="105">
        <f>AI347/125</f>
        <v/>
      </c>
      <c r="AW346" s="105">
        <f>AJ347/125</f>
        <v/>
      </c>
      <c r="AX346" s="107" t="n"/>
      <c r="AY346" s="107" t="n"/>
    </row>
    <row r="347" ht="15.75" customHeight="1" s="258">
      <c r="A347" s="96" t="n"/>
      <c r="B347" s="96" t="inlineStr">
        <is>
          <t>Dorje / 9 in</t>
        </is>
      </c>
      <c r="C347" s="96" t="inlineStr">
        <is>
          <t>MI-SB-H-ET-DJ-9</t>
        </is>
      </c>
      <c r="D347" s="94" t="n"/>
      <c r="E347" s="96" t="n">
        <v>145</v>
      </c>
      <c r="F347" s="96" t="n">
        <v>10</v>
      </c>
      <c r="G347" s="94" t="n">
        <v>83061000</v>
      </c>
      <c r="H347" s="97" t="n">
        <v>0.05</v>
      </c>
      <c r="I347" s="96">
        <f>D348*H348</f>
        <v/>
      </c>
      <c r="J347" s="107" t="n"/>
      <c r="K347" s="96">
        <f>D348*4%</f>
        <v/>
      </c>
      <c r="L347" s="98">
        <f>K348+J348+I348+F348+E348+D348</f>
        <v/>
      </c>
      <c r="M347" s="96">
        <f>D348*1%</f>
        <v/>
      </c>
      <c r="N347" s="99">
        <f>L348*8%</f>
        <v/>
      </c>
      <c r="O347" s="99">
        <f>L348*10%</f>
        <v/>
      </c>
      <c r="P347" s="99">
        <f>L348*5%</f>
        <v/>
      </c>
      <c r="Q347" s="99">
        <f>L348*2%</f>
        <v/>
      </c>
      <c r="R347" s="99">
        <f>AC348*0.5%</f>
        <v/>
      </c>
      <c r="S347" s="99">
        <f>L348*1%</f>
        <v/>
      </c>
      <c r="T347" s="100">
        <f>S348+Q348+P348+O348+N348+M348</f>
        <v/>
      </c>
      <c r="U347" s="96">
        <f>AC348*1%</f>
        <v/>
      </c>
      <c r="V347" s="44">
        <f>AC348*5%</f>
        <v/>
      </c>
      <c r="W347" s="96">
        <f>AC348*1%</f>
        <v/>
      </c>
      <c r="X347" s="96">
        <f>AC348*8%</f>
        <v/>
      </c>
      <c r="Y347" s="96">
        <f>U348+V348+W348+X348</f>
        <v/>
      </c>
      <c r="Z347" s="100">
        <f>Y348+T348+L348</f>
        <v/>
      </c>
      <c r="AA347" s="101">
        <f>Z348*20%</f>
        <v/>
      </c>
      <c r="AB347" s="99">
        <f>Z348+AA348</f>
        <v/>
      </c>
      <c r="AC347" s="96">
        <f>D348*2.1</f>
        <v/>
      </c>
      <c r="AD347" s="99">
        <f>AB348-AC348</f>
        <v/>
      </c>
      <c r="AE347" s="99">
        <f>AD348/AB348*100</f>
        <v/>
      </c>
      <c r="AF347" s="107" t="n">
        <v>14500</v>
      </c>
      <c r="AG347" s="102">
        <f>((AF348-L348)/L348)*100</f>
        <v/>
      </c>
      <c r="AH347" s="106">
        <f>AJ348-AF348</f>
        <v/>
      </c>
      <c r="AI347" s="106" t="n">
        <v>15990</v>
      </c>
      <c r="AJ347" s="106" t="n">
        <v>15490</v>
      </c>
      <c r="AK347" s="14">
        <f>(AJ348-L348)/L348*100</f>
        <v/>
      </c>
      <c r="AL347" s="14" t="n"/>
      <c r="AM347" s="14">
        <f>AH348/AJ348%</f>
        <v/>
      </c>
      <c r="AN347" s="14">
        <f>AK348-AG348</f>
        <v/>
      </c>
      <c r="AO347" s="103">
        <f>AJ348/L348</f>
        <v/>
      </c>
      <c r="AP347" s="14">
        <f>(AJ348-AB348)/100</f>
        <v/>
      </c>
      <c r="AQ347" s="14">
        <f>(AJ348-AC348)/100</f>
        <v/>
      </c>
      <c r="AR347" s="104">
        <f>AI348/94</f>
        <v/>
      </c>
      <c r="AS347" s="104">
        <f>AJ348/94</f>
        <v/>
      </c>
      <c r="AT347" s="105">
        <f>AI348/24</f>
        <v/>
      </c>
      <c r="AU347" s="105">
        <f>AJ348/24</f>
        <v/>
      </c>
      <c r="AV347" s="105">
        <f>AI348/125</f>
        <v/>
      </c>
      <c r="AW347" s="105">
        <f>AJ348/125</f>
        <v/>
      </c>
      <c r="AX347" s="107" t="n"/>
      <c r="AY347" s="107" t="n"/>
    </row>
    <row r="348" ht="15.75" customHeight="1" s="258">
      <c r="A348" s="96" t="n"/>
      <c r="B348" s="96" t="inlineStr">
        <is>
          <t>Flower of Life / 10 in</t>
        </is>
      </c>
      <c r="C348" s="96" t="inlineStr">
        <is>
          <t>MI-SB-H-ET-FL-10</t>
        </is>
      </c>
      <c r="D348" s="94" t="n"/>
      <c r="E348" s="96" t="n">
        <v>145</v>
      </c>
      <c r="F348" s="96" t="n">
        <v>10</v>
      </c>
      <c r="G348" s="94" t="n">
        <v>83061000</v>
      </c>
      <c r="H348" s="97" t="n">
        <v>0.05</v>
      </c>
      <c r="I348" s="96">
        <f>D349*H349</f>
        <v/>
      </c>
      <c r="J348" s="107" t="n"/>
      <c r="K348" s="96">
        <f>D349*4%</f>
        <v/>
      </c>
      <c r="L348" s="98">
        <f>K349+J349+I349+F349+E349+D349</f>
        <v/>
      </c>
      <c r="M348" s="96">
        <f>D349*1%</f>
        <v/>
      </c>
      <c r="N348" s="99">
        <f>L349*8%</f>
        <v/>
      </c>
      <c r="O348" s="99">
        <f>L349*10%</f>
        <v/>
      </c>
      <c r="P348" s="99">
        <f>L349*5%</f>
        <v/>
      </c>
      <c r="Q348" s="99">
        <f>L349*2%</f>
        <v/>
      </c>
      <c r="R348" s="99">
        <f>AC349*0.5%</f>
        <v/>
      </c>
      <c r="S348" s="99">
        <f>L349*1%</f>
        <v/>
      </c>
      <c r="T348" s="100">
        <f>S349+Q349+P349+O349+N349+M349</f>
        <v/>
      </c>
      <c r="U348" s="96">
        <f>AC349*1%</f>
        <v/>
      </c>
      <c r="V348" s="44">
        <f>AC349*5%</f>
        <v/>
      </c>
      <c r="W348" s="96">
        <f>AC349*1%</f>
        <v/>
      </c>
      <c r="X348" s="96">
        <f>AC349*8%</f>
        <v/>
      </c>
      <c r="Y348" s="96">
        <f>U349+V349+W349+X349</f>
        <v/>
      </c>
      <c r="Z348" s="100">
        <f>Y349+T349+L349</f>
        <v/>
      </c>
      <c r="AA348" s="101">
        <f>Z349*20%</f>
        <v/>
      </c>
      <c r="AB348" s="99">
        <f>Z349+AA349</f>
        <v/>
      </c>
      <c r="AC348" s="96">
        <f>D349*2.1</f>
        <v/>
      </c>
      <c r="AD348" s="99">
        <f>AB349-AC349</f>
        <v/>
      </c>
      <c r="AE348" s="99">
        <f>AD349/AB349*100</f>
        <v/>
      </c>
      <c r="AF348" s="107" t="n">
        <v>16500</v>
      </c>
      <c r="AG348" s="102">
        <f>((AF349-L349)/L349)*100</f>
        <v/>
      </c>
      <c r="AH348" s="106">
        <f>AJ349-AF349</f>
        <v/>
      </c>
      <c r="AI348" s="106" t="n">
        <v>17990</v>
      </c>
      <c r="AJ348" s="106" t="n">
        <v>16990</v>
      </c>
      <c r="AK348" s="14">
        <f>(AJ349-L349)/L349*100</f>
        <v/>
      </c>
      <c r="AL348" s="14" t="n"/>
      <c r="AM348" s="14">
        <f>AH349/AJ349%</f>
        <v/>
      </c>
      <c r="AN348" s="14">
        <f>AK349-AG349</f>
        <v/>
      </c>
      <c r="AO348" s="103">
        <f>AJ349/L349</f>
        <v/>
      </c>
      <c r="AP348" s="14">
        <f>(AJ349-AB349)/100</f>
        <v/>
      </c>
      <c r="AQ348" s="14">
        <f>(AJ349-AC349)/100</f>
        <v/>
      </c>
      <c r="AR348" s="104">
        <f>AI349/94</f>
        <v/>
      </c>
      <c r="AS348" s="104">
        <f>AJ349/94</f>
        <v/>
      </c>
      <c r="AT348" s="105">
        <f>AI349/24</f>
        <v/>
      </c>
      <c r="AU348" s="105">
        <f>AJ349/24</f>
        <v/>
      </c>
      <c r="AV348" s="105">
        <f>AI349/125</f>
        <v/>
      </c>
      <c r="AW348" s="105">
        <f>AJ349/125</f>
        <v/>
      </c>
      <c r="AX348" s="107" t="n"/>
      <c r="AY348" s="107" t="n"/>
    </row>
    <row r="349" ht="15.75" customHeight="1" s="258">
      <c r="A349" s="96" t="n"/>
      <c r="B349" s="96" t="inlineStr">
        <is>
          <t>Flower of Life / 11 in</t>
        </is>
      </c>
      <c r="C349" s="96" t="inlineStr">
        <is>
          <t>MI-SB-H-ET-FL-11</t>
        </is>
      </c>
      <c r="D349" s="94" t="n"/>
      <c r="E349" s="96" t="n">
        <v>145</v>
      </c>
      <c r="F349" s="96" t="n">
        <v>10</v>
      </c>
      <c r="G349" s="94" t="n">
        <v>83061000</v>
      </c>
      <c r="H349" s="97" t="n">
        <v>0.05</v>
      </c>
      <c r="I349" s="96">
        <f>D350*H350</f>
        <v/>
      </c>
      <c r="J349" s="107" t="n"/>
      <c r="K349" s="96">
        <f>D350*4%</f>
        <v/>
      </c>
      <c r="L349" s="98">
        <f>K350+J350+I350+F350+E350+D350</f>
        <v/>
      </c>
      <c r="M349" s="96">
        <f>D350*1%</f>
        <v/>
      </c>
      <c r="N349" s="99">
        <f>L350*8%</f>
        <v/>
      </c>
      <c r="O349" s="99">
        <f>L350*10%</f>
        <v/>
      </c>
      <c r="P349" s="99">
        <f>L350*5%</f>
        <v/>
      </c>
      <c r="Q349" s="99">
        <f>L350*2%</f>
        <v/>
      </c>
      <c r="R349" s="99">
        <f>AC350*0.5%</f>
        <v/>
      </c>
      <c r="S349" s="99">
        <f>L350*1%</f>
        <v/>
      </c>
      <c r="T349" s="100">
        <f>S350+Q350+P350+O350+N350+M350</f>
        <v/>
      </c>
      <c r="U349" s="96">
        <f>AC350*1%</f>
        <v/>
      </c>
      <c r="V349" s="44">
        <f>AC350*5%</f>
        <v/>
      </c>
      <c r="W349" s="96">
        <f>AC350*1%</f>
        <v/>
      </c>
      <c r="X349" s="96">
        <f>AC350*8%</f>
        <v/>
      </c>
      <c r="Y349" s="96">
        <f>U350+V350+W350+X350</f>
        <v/>
      </c>
      <c r="Z349" s="100">
        <f>Y350+T350+L350</f>
        <v/>
      </c>
      <c r="AA349" s="101">
        <f>Z350*20%</f>
        <v/>
      </c>
      <c r="AB349" s="99">
        <f>Z350+AA350</f>
        <v/>
      </c>
      <c r="AC349" s="96">
        <f>D350*2.1</f>
        <v/>
      </c>
      <c r="AD349" s="99">
        <f>AB350-AC350</f>
        <v/>
      </c>
      <c r="AE349" s="99">
        <f>AD350/AB350*100</f>
        <v/>
      </c>
      <c r="AF349" s="107" t="n">
        <v>19500</v>
      </c>
      <c r="AG349" s="102">
        <f>((AF350-L350)/L350)*100</f>
        <v/>
      </c>
      <c r="AH349" s="106">
        <f>AJ350-AF350</f>
        <v/>
      </c>
      <c r="AI349" s="106" t="n">
        <v>21990</v>
      </c>
      <c r="AJ349" s="106" t="n">
        <v>19990</v>
      </c>
      <c r="AK349" s="14">
        <f>(AJ350-L350)/L350*100</f>
        <v/>
      </c>
      <c r="AL349" s="14" t="n"/>
      <c r="AM349" s="14">
        <f>AH350/AJ350%</f>
        <v/>
      </c>
      <c r="AN349" s="14">
        <f>AK350-AG350</f>
        <v/>
      </c>
      <c r="AO349" s="103">
        <f>AJ350/L350</f>
        <v/>
      </c>
      <c r="AP349" s="14">
        <f>(AJ350-AB350)/100</f>
        <v/>
      </c>
      <c r="AQ349" s="14">
        <f>(AJ350-AC350)/100</f>
        <v/>
      </c>
      <c r="AR349" s="104">
        <f>AI350/94</f>
        <v/>
      </c>
      <c r="AS349" s="104">
        <f>AJ350/94</f>
        <v/>
      </c>
      <c r="AT349" s="105">
        <f>AI350/24</f>
        <v/>
      </c>
      <c r="AU349" s="105">
        <f>AJ350/24</f>
        <v/>
      </c>
      <c r="AV349" s="105">
        <f>AI350/125</f>
        <v/>
      </c>
      <c r="AW349" s="105">
        <f>AJ350/125</f>
        <v/>
      </c>
      <c r="AX349" s="107" t="n"/>
      <c r="AY349" s="107" t="n"/>
    </row>
    <row r="350" ht="15.75" customHeight="1" s="258">
      <c r="A350" s="96" t="n"/>
      <c r="B350" s="96" t="inlineStr">
        <is>
          <t>Flower of Life / 12 in</t>
        </is>
      </c>
      <c r="C350" s="96" t="inlineStr">
        <is>
          <t>MI-SB-H-ET-FL-12</t>
        </is>
      </c>
      <c r="D350" s="94" t="n"/>
      <c r="E350" s="96" t="n">
        <v>145</v>
      </c>
      <c r="F350" s="96" t="n">
        <v>10</v>
      </c>
      <c r="G350" s="94" t="n">
        <v>83061000</v>
      </c>
      <c r="H350" s="97" t="n">
        <v>0.05</v>
      </c>
      <c r="I350" s="96">
        <f>D351*H351</f>
        <v/>
      </c>
      <c r="J350" s="107" t="n"/>
      <c r="K350" s="96">
        <f>D351*4%</f>
        <v/>
      </c>
      <c r="L350" s="98">
        <f>K351+J351+I351+F351+E351+D351</f>
        <v/>
      </c>
      <c r="M350" s="96">
        <f>D351*1%</f>
        <v/>
      </c>
      <c r="N350" s="99">
        <f>L351*8%</f>
        <v/>
      </c>
      <c r="O350" s="99">
        <f>L351*10%</f>
        <v/>
      </c>
      <c r="P350" s="99">
        <f>L351*5%</f>
        <v/>
      </c>
      <c r="Q350" s="99">
        <f>L351*2%</f>
        <v/>
      </c>
      <c r="R350" s="99">
        <f>AC351*0.5%</f>
        <v/>
      </c>
      <c r="S350" s="99">
        <f>L351*1%</f>
        <v/>
      </c>
      <c r="T350" s="100">
        <f>S351+Q351+P351+O351+N351+M351</f>
        <v/>
      </c>
      <c r="U350" s="96">
        <f>AC351*1%</f>
        <v/>
      </c>
      <c r="V350" s="44">
        <f>AC351*5%</f>
        <v/>
      </c>
      <c r="W350" s="96">
        <f>AC351*1%</f>
        <v/>
      </c>
      <c r="X350" s="96">
        <f>AC351*8%</f>
        <v/>
      </c>
      <c r="Y350" s="96">
        <f>U351+V351+W351+X351</f>
        <v/>
      </c>
      <c r="Z350" s="100">
        <f>Y351+T351+L351</f>
        <v/>
      </c>
      <c r="AA350" s="101">
        <f>Z351*20%</f>
        <v/>
      </c>
      <c r="AB350" s="99">
        <f>Z351+AA351</f>
        <v/>
      </c>
      <c r="AC350" s="96">
        <f>D351*2.1</f>
        <v/>
      </c>
      <c r="AD350" s="99">
        <f>AB351-AC351</f>
        <v/>
      </c>
      <c r="AE350" s="99">
        <f>AD351/AB351*100</f>
        <v/>
      </c>
      <c r="AF350" s="107" t="n">
        <v>22500</v>
      </c>
      <c r="AG350" s="102">
        <f>((AF351-L351)/L351)*100</f>
        <v/>
      </c>
      <c r="AH350" s="106">
        <f>AJ351-AF351</f>
        <v/>
      </c>
      <c r="AI350" s="106" t="n">
        <v>24990</v>
      </c>
      <c r="AJ350" s="106" t="n">
        <v>22990</v>
      </c>
      <c r="AK350" s="14">
        <f>(AJ351-L351)/L351*100</f>
        <v/>
      </c>
      <c r="AL350" s="14" t="n"/>
      <c r="AM350" s="14">
        <f>AH351/AJ351%</f>
        <v/>
      </c>
      <c r="AN350" s="14">
        <f>AK351-AG351</f>
        <v/>
      </c>
      <c r="AO350" s="103">
        <f>AJ351/L351</f>
        <v/>
      </c>
      <c r="AP350" s="14">
        <f>(AJ351-AB351)/100</f>
        <v/>
      </c>
      <c r="AQ350" s="14">
        <f>(AJ351-AC351)/100</f>
        <v/>
      </c>
      <c r="AR350" s="104">
        <f>AI351/94</f>
        <v/>
      </c>
      <c r="AS350" s="104">
        <f>AJ351/94</f>
        <v/>
      </c>
      <c r="AT350" s="105">
        <f>AI351/24</f>
        <v/>
      </c>
      <c r="AU350" s="105">
        <f>AJ351/24</f>
        <v/>
      </c>
      <c r="AV350" s="105">
        <f>AI351/125</f>
        <v/>
      </c>
      <c r="AW350" s="105">
        <f>AJ351/125</f>
        <v/>
      </c>
      <c r="AX350" s="107" t="n"/>
      <c r="AY350" s="107" t="n"/>
    </row>
    <row r="351" ht="15.75" customHeight="1" s="258">
      <c r="A351" s="96" t="n"/>
      <c r="B351" s="96" t="inlineStr">
        <is>
          <t>Flower of Life / 6 in</t>
        </is>
      </c>
      <c r="C351" s="96" t="inlineStr">
        <is>
          <t>MI-SB-H-ET-FL-6</t>
        </is>
      </c>
      <c r="D351" s="94" t="n"/>
      <c r="E351" s="96" t="n">
        <v>125</v>
      </c>
      <c r="F351" s="96" t="n">
        <v>10</v>
      </c>
      <c r="G351" s="94" t="n">
        <v>83061000</v>
      </c>
      <c r="H351" s="97" t="n">
        <v>0.05</v>
      </c>
      <c r="I351" s="96">
        <f>D352*H352</f>
        <v/>
      </c>
      <c r="J351" s="107" t="n"/>
      <c r="K351" s="96">
        <f>D352*4%</f>
        <v/>
      </c>
      <c r="L351" s="98">
        <f>K352+J352+I352+F352+E352+D352</f>
        <v/>
      </c>
      <c r="M351" s="96">
        <f>D352*1%</f>
        <v/>
      </c>
      <c r="N351" s="99">
        <f>L352*8%</f>
        <v/>
      </c>
      <c r="O351" s="99">
        <f>L352*10%</f>
        <v/>
      </c>
      <c r="P351" s="99">
        <f>L352*5%</f>
        <v/>
      </c>
      <c r="Q351" s="99">
        <f>L352*2%</f>
        <v/>
      </c>
      <c r="R351" s="99">
        <f>AC352*0.5%</f>
        <v/>
      </c>
      <c r="S351" s="99">
        <f>L352*1%</f>
        <v/>
      </c>
      <c r="T351" s="100">
        <f>S352+Q352+P352+O352+N352+M352</f>
        <v/>
      </c>
      <c r="U351" s="96">
        <f>AC352*1%</f>
        <v/>
      </c>
      <c r="V351" s="44">
        <f>AC352*5%</f>
        <v/>
      </c>
      <c r="W351" s="96">
        <f>AC352*1%</f>
        <v/>
      </c>
      <c r="X351" s="96">
        <f>AC352*8%</f>
        <v/>
      </c>
      <c r="Y351" s="96">
        <f>U352+V352+W352+X352</f>
        <v/>
      </c>
      <c r="Z351" s="100">
        <f>Y352+T352+L352</f>
        <v/>
      </c>
      <c r="AA351" s="101">
        <f>Z352*20%</f>
        <v/>
      </c>
      <c r="AB351" s="99">
        <f>Z352+AA352</f>
        <v/>
      </c>
      <c r="AC351" s="96">
        <f>D352*2.1</f>
        <v/>
      </c>
      <c r="AD351" s="99">
        <f>AB352-AC352</f>
        <v/>
      </c>
      <c r="AE351" s="99">
        <f>AD352/AB352*100</f>
        <v/>
      </c>
      <c r="AF351" s="107" t="n">
        <v>8500</v>
      </c>
      <c r="AG351" s="102">
        <f>((AF352-L352)/L352)*100</f>
        <v/>
      </c>
      <c r="AH351" s="106">
        <f>AJ352-AF352</f>
        <v/>
      </c>
      <c r="AI351" s="106" t="n">
        <v>9990</v>
      </c>
      <c r="AJ351" s="106" t="n">
        <v>8990</v>
      </c>
      <c r="AK351" s="14">
        <f>(AJ352-L352)/L352*100</f>
        <v/>
      </c>
      <c r="AL351" s="14" t="n"/>
      <c r="AM351" s="14">
        <f>AH352/AJ352%</f>
        <v/>
      </c>
      <c r="AN351" s="14">
        <f>AK352-AG352</f>
        <v/>
      </c>
      <c r="AO351" s="103">
        <f>AJ352/L352</f>
        <v/>
      </c>
      <c r="AP351" s="14">
        <f>(AJ352-AB352)/100</f>
        <v/>
      </c>
      <c r="AQ351" s="14">
        <f>(AJ352-AC352)/100</f>
        <v/>
      </c>
      <c r="AR351" s="104">
        <f>AI352/94</f>
        <v/>
      </c>
      <c r="AS351" s="104">
        <f>AJ352/94</f>
        <v/>
      </c>
      <c r="AT351" s="105">
        <f>AI352/24</f>
        <v/>
      </c>
      <c r="AU351" s="105">
        <f>AJ352/24</f>
        <v/>
      </c>
      <c r="AV351" s="105">
        <f>AI352/125</f>
        <v/>
      </c>
      <c r="AW351" s="105">
        <f>AJ352/125</f>
        <v/>
      </c>
      <c r="AX351" s="107" t="n"/>
      <c r="AY351" s="107" t="n"/>
    </row>
    <row r="352" ht="15.75" customHeight="1" s="258">
      <c r="A352" s="96" t="n"/>
      <c r="B352" s="96" t="inlineStr">
        <is>
          <t>Flower of Life / 7 in</t>
        </is>
      </c>
      <c r="C352" s="96" t="inlineStr">
        <is>
          <t>MI-SB-H-ET-FL-7</t>
        </is>
      </c>
      <c r="D352" s="94" t="n"/>
      <c r="E352" s="96" t="n">
        <v>125</v>
      </c>
      <c r="F352" s="96" t="n">
        <v>10</v>
      </c>
      <c r="G352" s="94" t="n">
        <v>83061000</v>
      </c>
      <c r="H352" s="97" t="n">
        <v>0.05</v>
      </c>
      <c r="I352" s="96">
        <f>D353*H353</f>
        <v/>
      </c>
      <c r="J352" s="107" t="n"/>
      <c r="K352" s="96">
        <f>D353*4%</f>
        <v/>
      </c>
      <c r="L352" s="98">
        <f>K353+J353+I353+F353+E353+D353</f>
        <v/>
      </c>
      <c r="M352" s="96">
        <f>D353*1%</f>
        <v/>
      </c>
      <c r="N352" s="99">
        <f>L353*8%</f>
        <v/>
      </c>
      <c r="O352" s="99">
        <f>L353*10%</f>
        <v/>
      </c>
      <c r="P352" s="99">
        <f>L353*5%</f>
        <v/>
      </c>
      <c r="Q352" s="99">
        <f>L353*2%</f>
        <v/>
      </c>
      <c r="R352" s="99">
        <f>AC353*0.5%</f>
        <v/>
      </c>
      <c r="S352" s="99">
        <f>L353*1%</f>
        <v/>
      </c>
      <c r="T352" s="100">
        <f>S353+Q353+P353+O353+N353+M353</f>
        <v/>
      </c>
      <c r="U352" s="96">
        <f>AC353*1%</f>
        <v/>
      </c>
      <c r="V352" s="44">
        <f>AC353*5%</f>
        <v/>
      </c>
      <c r="W352" s="96">
        <f>AC353*1%</f>
        <v/>
      </c>
      <c r="X352" s="96">
        <f>AC353*8%</f>
        <v/>
      </c>
      <c r="Y352" s="96">
        <f>U353+V353+W353+X353</f>
        <v/>
      </c>
      <c r="Z352" s="100">
        <f>Y353+T353+L353</f>
        <v/>
      </c>
      <c r="AA352" s="101">
        <f>Z353*20%</f>
        <v/>
      </c>
      <c r="AB352" s="99">
        <f>Z353+AA353</f>
        <v/>
      </c>
      <c r="AC352" s="96">
        <f>D353*2.1</f>
        <v/>
      </c>
      <c r="AD352" s="99">
        <f>AB353-AC353</f>
        <v/>
      </c>
      <c r="AE352" s="99">
        <f>AD353/AB353*100</f>
        <v/>
      </c>
      <c r="AF352" s="107" t="n">
        <v>10500</v>
      </c>
      <c r="AG352" s="102">
        <f>((AF353-L353)/L353)*100</f>
        <v/>
      </c>
      <c r="AH352" s="106">
        <f>AJ353-AF353</f>
        <v/>
      </c>
      <c r="AI352" s="106" t="n">
        <v>12990</v>
      </c>
      <c r="AJ352" s="106" t="n">
        <v>10990</v>
      </c>
      <c r="AK352" s="14">
        <f>(AJ353-L353)/L353*100</f>
        <v/>
      </c>
      <c r="AL352" s="14" t="n"/>
      <c r="AM352" s="14">
        <f>AH353/AJ353%</f>
        <v/>
      </c>
      <c r="AN352" s="14">
        <f>AK353-AG353</f>
        <v/>
      </c>
      <c r="AO352" s="103">
        <f>AJ353/L353</f>
        <v/>
      </c>
      <c r="AP352" s="14">
        <f>(AJ353-AB353)/100</f>
        <v/>
      </c>
      <c r="AQ352" s="14">
        <f>(AJ353-AC353)/100</f>
        <v/>
      </c>
      <c r="AR352" s="104">
        <f>AI353/94</f>
        <v/>
      </c>
      <c r="AS352" s="104">
        <f>AJ353/94</f>
        <v/>
      </c>
      <c r="AT352" s="105">
        <f>AI353/24</f>
        <v/>
      </c>
      <c r="AU352" s="105">
        <f>AJ353/24</f>
        <v/>
      </c>
      <c r="AV352" s="105">
        <f>AI353/125</f>
        <v/>
      </c>
      <c r="AW352" s="105">
        <f>AJ353/125</f>
        <v/>
      </c>
      <c r="AX352" s="107" t="n"/>
      <c r="AY352" s="107" t="n"/>
    </row>
    <row r="353" ht="15.75" customHeight="1" s="258">
      <c r="A353" s="96" t="n"/>
      <c r="B353" s="96" t="inlineStr">
        <is>
          <t>8 in / Flower of Life</t>
        </is>
      </c>
      <c r="C353" s="96" t="inlineStr">
        <is>
          <t>MI-SB-H-ET-FL-8</t>
        </is>
      </c>
      <c r="D353" s="94" t="n"/>
      <c r="E353" s="96" t="n">
        <v>145</v>
      </c>
      <c r="F353" s="96" t="n">
        <v>10</v>
      </c>
      <c r="G353" s="94" t="n">
        <v>83061000</v>
      </c>
      <c r="H353" s="97" t="n">
        <v>0.05</v>
      </c>
      <c r="I353" s="96">
        <f>D354*H354</f>
        <v/>
      </c>
      <c r="J353" s="107" t="n"/>
      <c r="K353" s="96">
        <f>D354*4%</f>
        <v/>
      </c>
      <c r="L353" s="98">
        <f>K354+J354+I354+F354+E354+D354</f>
        <v/>
      </c>
      <c r="M353" s="96">
        <f>D354*1%</f>
        <v/>
      </c>
      <c r="N353" s="99">
        <f>L354*8%</f>
        <v/>
      </c>
      <c r="O353" s="99">
        <f>L354*10%</f>
        <v/>
      </c>
      <c r="P353" s="99">
        <f>L354*5%</f>
        <v/>
      </c>
      <c r="Q353" s="99">
        <f>L354*2%</f>
        <v/>
      </c>
      <c r="R353" s="99">
        <f>AC354*0.5%</f>
        <v/>
      </c>
      <c r="S353" s="99">
        <f>L354*1%</f>
        <v/>
      </c>
      <c r="T353" s="100">
        <f>S354+Q354+P354+O354+N354+M354</f>
        <v/>
      </c>
      <c r="U353" s="96">
        <f>AC354*1%</f>
        <v/>
      </c>
      <c r="V353" s="44">
        <f>AC354*5%</f>
        <v/>
      </c>
      <c r="W353" s="96">
        <f>AC354*1%</f>
        <v/>
      </c>
      <c r="X353" s="96">
        <f>AC354*8%</f>
        <v/>
      </c>
      <c r="Y353" s="96">
        <f>U354+V354+W354+X354</f>
        <v/>
      </c>
      <c r="Z353" s="100">
        <f>Y354+T354+L354</f>
        <v/>
      </c>
      <c r="AA353" s="101">
        <f>Z354*20%</f>
        <v/>
      </c>
      <c r="AB353" s="99">
        <f>Z354+AA354</f>
        <v/>
      </c>
      <c r="AC353" s="96">
        <f>D354*2.1</f>
        <v/>
      </c>
      <c r="AD353" s="99">
        <f>AB354-AC354</f>
        <v/>
      </c>
      <c r="AE353" s="99">
        <f>AD354/AB354*100</f>
        <v/>
      </c>
      <c r="AF353" s="107" t="n">
        <v>12500</v>
      </c>
      <c r="AG353" s="102">
        <f>((AF354-L354)/L354)*100</f>
        <v/>
      </c>
      <c r="AH353" s="106">
        <f>AJ354-AF354</f>
        <v/>
      </c>
      <c r="AI353" s="106" t="n">
        <v>14990</v>
      </c>
      <c r="AJ353" s="106" t="n">
        <v>12990</v>
      </c>
      <c r="AK353" s="14">
        <f>(AJ354-L354)/L354*100</f>
        <v/>
      </c>
      <c r="AL353" s="14" t="n"/>
      <c r="AM353" s="14">
        <f>AH354/AJ354%</f>
        <v/>
      </c>
      <c r="AN353" s="14">
        <f>AK354-AG354</f>
        <v/>
      </c>
      <c r="AO353" s="103">
        <f>AJ354/L354</f>
        <v/>
      </c>
      <c r="AP353" s="14">
        <f>(AJ354-AB354)/100</f>
        <v/>
      </c>
      <c r="AQ353" s="14">
        <f>(AJ354-AC354)/100</f>
        <v/>
      </c>
      <c r="AR353" s="104">
        <f>AI354/94</f>
        <v/>
      </c>
      <c r="AS353" s="104">
        <f>AJ354/94</f>
        <v/>
      </c>
      <c r="AT353" s="105">
        <f>AI354/24</f>
        <v/>
      </c>
      <c r="AU353" s="105">
        <f>AJ354/24</f>
        <v/>
      </c>
      <c r="AV353" s="105">
        <f>AI354/125</f>
        <v/>
      </c>
      <c r="AW353" s="105">
        <f>AJ354/125</f>
        <v/>
      </c>
      <c r="AX353" s="107" t="n"/>
      <c r="AY353" s="107" t="n"/>
    </row>
    <row r="354" ht="15.75" customHeight="1" s="258">
      <c r="A354" s="96" t="n"/>
      <c r="B354" s="96" t="inlineStr">
        <is>
          <t>Flower of Life / 9 in</t>
        </is>
      </c>
      <c r="C354" s="96" t="inlineStr">
        <is>
          <t>MI-SB-H-ET-FL-9</t>
        </is>
      </c>
      <c r="D354" s="94" t="n"/>
      <c r="E354" s="96" t="n">
        <v>145</v>
      </c>
      <c r="F354" s="96" t="n">
        <v>10</v>
      </c>
      <c r="G354" s="94" t="n">
        <v>83061000</v>
      </c>
      <c r="H354" s="97" t="n">
        <v>0.05</v>
      </c>
      <c r="I354" s="96">
        <f>D355*H355</f>
        <v/>
      </c>
      <c r="J354" s="107" t="n"/>
      <c r="K354" s="96">
        <f>D355*4%</f>
        <v/>
      </c>
      <c r="L354" s="98">
        <f>K355+J355+I355+F355+E355+D355</f>
        <v/>
      </c>
      <c r="M354" s="96">
        <f>D355*1%</f>
        <v/>
      </c>
      <c r="N354" s="99">
        <f>L355*8%</f>
        <v/>
      </c>
      <c r="O354" s="99">
        <f>L355*10%</f>
        <v/>
      </c>
      <c r="P354" s="99">
        <f>L355*5%</f>
        <v/>
      </c>
      <c r="Q354" s="99">
        <f>L355*2%</f>
        <v/>
      </c>
      <c r="R354" s="99">
        <f>AC355*0.5%</f>
        <v/>
      </c>
      <c r="S354" s="99">
        <f>L355*1%</f>
        <v/>
      </c>
      <c r="T354" s="100">
        <f>S355+Q355+P355+O355+N355+M355</f>
        <v/>
      </c>
      <c r="U354" s="96">
        <f>AC355*1%</f>
        <v/>
      </c>
      <c r="V354" s="44">
        <f>AC355*5%</f>
        <v/>
      </c>
      <c r="W354" s="96">
        <f>AC355*1%</f>
        <v/>
      </c>
      <c r="X354" s="96">
        <f>AC355*8%</f>
        <v/>
      </c>
      <c r="Y354" s="96">
        <f>U355+V355+W355+X355</f>
        <v/>
      </c>
      <c r="Z354" s="100">
        <f>Y355+T355+L355</f>
        <v/>
      </c>
      <c r="AA354" s="101">
        <f>Z355*20%</f>
        <v/>
      </c>
      <c r="AB354" s="99">
        <f>Z355+AA355</f>
        <v/>
      </c>
      <c r="AC354" s="96">
        <f>D355*2.1</f>
        <v/>
      </c>
      <c r="AD354" s="99">
        <f>AB355-AC355</f>
        <v/>
      </c>
      <c r="AE354" s="99">
        <f>AD355/AB355*100</f>
        <v/>
      </c>
      <c r="AF354" s="107" t="n">
        <v>14500</v>
      </c>
      <c r="AG354" s="102">
        <f>((AF355-L355)/L355)*100</f>
        <v/>
      </c>
      <c r="AH354" s="106">
        <f>AJ355-AF355</f>
        <v/>
      </c>
      <c r="AI354" s="106" t="n">
        <v>16990</v>
      </c>
      <c r="AJ354" s="106" t="n">
        <v>14990</v>
      </c>
      <c r="AK354" s="14">
        <f>(AJ355-L355)/L355*100</f>
        <v/>
      </c>
      <c r="AL354" s="14" t="n"/>
      <c r="AM354" s="14">
        <f>AH355/AJ355%</f>
        <v/>
      </c>
      <c r="AN354" s="14">
        <f>AK355-AG355</f>
        <v/>
      </c>
      <c r="AO354" s="103">
        <f>AJ355/L355</f>
        <v/>
      </c>
      <c r="AP354" s="14">
        <f>(AJ355-AB355)/100</f>
        <v/>
      </c>
      <c r="AQ354" s="14">
        <f>(AJ355-AC355)/100</f>
        <v/>
      </c>
      <c r="AR354" s="104">
        <f>AI355/94</f>
        <v/>
      </c>
      <c r="AS354" s="104">
        <f>AJ355/94</f>
        <v/>
      </c>
      <c r="AT354" s="105">
        <f>AI355/24</f>
        <v/>
      </c>
      <c r="AU354" s="105">
        <f>AJ355/24</f>
        <v/>
      </c>
      <c r="AV354" s="105">
        <f>AI355/125</f>
        <v/>
      </c>
      <c r="AW354" s="105">
        <f>AJ355/125</f>
        <v/>
      </c>
      <c r="AX354" s="107" t="n"/>
      <c r="AY354" s="107" t="n"/>
    </row>
    <row r="355" ht="15.75" customHeight="1" s="258">
      <c r="A355" s="96" t="n"/>
      <c r="B355" s="96" t="inlineStr">
        <is>
          <t>10 in / Om</t>
        </is>
      </c>
      <c r="C355" s="96" t="inlineStr">
        <is>
          <t>MI-SB-H-ET-O-C-10</t>
        </is>
      </c>
      <c r="D355" s="94" t="n"/>
      <c r="E355" s="96" t="n">
        <v>145</v>
      </c>
      <c r="F355" s="96" t="n">
        <v>10</v>
      </c>
      <c r="G355" s="94" t="n">
        <v>83061000</v>
      </c>
      <c r="H355" s="97" t="n">
        <v>0.05</v>
      </c>
      <c r="I355" s="96">
        <f>D356*H356</f>
        <v/>
      </c>
      <c r="J355" s="107" t="n"/>
      <c r="K355" s="96">
        <f>D356*4%</f>
        <v/>
      </c>
      <c r="L355" s="98">
        <f>K356+J356+I356+F356+E356+D356</f>
        <v/>
      </c>
      <c r="M355" s="96">
        <f>D356*1%</f>
        <v/>
      </c>
      <c r="N355" s="99">
        <f>L356*8%</f>
        <v/>
      </c>
      <c r="O355" s="99">
        <f>L356*10%</f>
        <v/>
      </c>
      <c r="P355" s="99">
        <f>L356*5%</f>
        <v/>
      </c>
      <c r="Q355" s="99">
        <f>L356*2%</f>
        <v/>
      </c>
      <c r="R355" s="99">
        <f>AC356*0.5%</f>
        <v/>
      </c>
      <c r="S355" s="99">
        <f>L356*1%</f>
        <v/>
      </c>
      <c r="T355" s="100">
        <f>S356+Q356+P356+O356+N356+M356</f>
        <v/>
      </c>
      <c r="U355" s="96">
        <f>AC356*1%</f>
        <v/>
      </c>
      <c r="V355" s="44">
        <f>AC356*5%</f>
        <v/>
      </c>
      <c r="W355" s="96">
        <f>AC356*1%</f>
        <v/>
      </c>
      <c r="X355" s="96">
        <f>AC356*8%</f>
        <v/>
      </c>
      <c r="Y355" s="96">
        <f>U356+V356+W356+X356</f>
        <v/>
      </c>
      <c r="Z355" s="100">
        <f>Y356+T356+L356</f>
        <v/>
      </c>
      <c r="AA355" s="101">
        <f>Z356*20%</f>
        <v/>
      </c>
      <c r="AB355" s="99">
        <f>Z356+AA356</f>
        <v/>
      </c>
      <c r="AC355" s="96">
        <f>D356*2.1</f>
        <v/>
      </c>
      <c r="AD355" s="99">
        <f>AB356-AC356</f>
        <v/>
      </c>
      <c r="AE355" s="99">
        <f>AD356/AB356*100</f>
        <v/>
      </c>
      <c r="AF355" s="107" t="n">
        <v>16500</v>
      </c>
      <c r="AG355" s="102">
        <f>((AF356-L356)/L356)*100</f>
        <v/>
      </c>
      <c r="AH355" s="106">
        <f>AJ356-AF356</f>
        <v/>
      </c>
      <c r="AI355" s="106" t="n">
        <v>18990</v>
      </c>
      <c r="AJ355" s="106" t="n">
        <v>16990</v>
      </c>
      <c r="AK355" s="14">
        <f>(AJ356-L356)/L356*100</f>
        <v/>
      </c>
      <c r="AL355" s="14" t="n"/>
      <c r="AM355" s="14">
        <f>AH356/AJ356%</f>
        <v/>
      </c>
      <c r="AN355" s="14">
        <f>AK356-AG356</f>
        <v/>
      </c>
      <c r="AO355" s="103">
        <f>AJ356/L356</f>
        <v/>
      </c>
      <c r="AP355" s="14">
        <f>(AJ356-AB356)/100</f>
        <v/>
      </c>
      <c r="AQ355" s="14">
        <f>(AJ356-AC356)/100</f>
        <v/>
      </c>
      <c r="AR355" s="104">
        <f>AI356/94</f>
        <v/>
      </c>
      <c r="AS355" s="104">
        <f>AJ356/94</f>
        <v/>
      </c>
      <c r="AT355" s="105">
        <f>AI356/24</f>
        <v/>
      </c>
      <c r="AU355" s="105">
        <f>AJ356/24</f>
        <v/>
      </c>
      <c r="AV355" s="105">
        <f>AI356/125</f>
        <v/>
      </c>
      <c r="AW355" s="105">
        <f>AJ356/125</f>
        <v/>
      </c>
      <c r="AX355" s="107" t="n"/>
      <c r="AY355" s="107" t="n"/>
    </row>
    <row r="356" ht="15.75" customHeight="1" s="258">
      <c r="A356" s="96" t="n"/>
      <c r="B356" s="96" t="inlineStr">
        <is>
          <t>Om / 11 in</t>
        </is>
      </c>
      <c r="C356" s="96" t="inlineStr">
        <is>
          <t>MI-SB-H-ET-O-C-11</t>
        </is>
      </c>
      <c r="D356" s="94" t="n"/>
      <c r="E356" s="96" t="n">
        <v>145</v>
      </c>
      <c r="F356" s="96" t="n">
        <v>10</v>
      </c>
      <c r="G356" s="94" t="n">
        <v>83061000</v>
      </c>
      <c r="H356" s="97" t="n">
        <v>0.05</v>
      </c>
      <c r="I356" s="96">
        <f>D357*H357</f>
        <v/>
      </c>
      <c r="J356" s="107" t="n"/>
      <c r="K356" s="96">
        <f>D357*4%</f>
        <v/>
      </c>
      <c r="L356" s="98">
        <f>K357+J357+I357+F357+E357+D357</f>
        <v/>
      </c>
      <c r="M356" s="96">
        <f>D357*1%</f>
        <v/>
      </c>
      <c r="N356" s="99">
        <f>L357*8%</f>
        <v/>
      </c>
      <c r="O356" s="99">
        <f>L357*10%</f>
        <v/>
      </c>
      <c r="P356" s="99">
        <f>L357*5%</f>
        <v/>
      </c>
      <c r="Q356" s="99">
        <f>L357*2%</f>
        <v/>
      </c>
      <c r="R356" s="99">
        <f>AC357*0.5%</f>
        <v/>
      </c>
      <c r="S356" s="99">
        <f>L357*1%</f>
        <v/>
      </c>
      <c r="T356" s="100">
        <f>S357+Q357+P357+O357+N357+M357</f>
        <v/>
      </c>
      <c r="U356" s="96">
        <f>AC357*1%</f>
        <v/>
      </c>
      <c r="V356" s="44">
        <f>AC357*5%</f>
        <v/>
      </c>
      <c r="W356" s="96">
        <f>AC357*1%</f>
        <v/>
      </c>
      <c r="X356" s="96">
        <f>AC357*8%</f>
        <v/>
      </c>
      <c r="Y356" s="96">
        <f>U357+V357+W357+X357</f>
        <v/>
      </c>
      <c r="Z356" s="100">
        <f>Y357+T357+L357</f>
        <v/>
      </c>
      <c r="AA356" s="101">
        <f>Z357*20%</f>
        <v/>
      </c>
      <c r="AB356" s="99">
        <f>Z357+AA357</f>
        <v/>
      </c>
      <c r="AC356" s="96">
        <f>D357*2.1</f>
        <v/>
      </c>
      <c r="AD356" s="99">
        <f>AB357-AC357</f>
        <v/>
      </c>
      <c r="AE356" s="99">
        <f>AD357/AB357*100</f>
        <v/>
      </c>
      <c r="AF356" s="107" t="n">
        <v>19500</v>
      </c>
      <c r="AG356" s="102">
        <f>((AF357-L357)/L357)*100</f>
        <v/>
      </c>
      <c r="AH356" s="106">
        <f>AJ357-AF357</f>
        <v/>
      </c>
      <c r="AI356" s="106" t="n">
        <v>21990</v>
      </c>
      <c r="AJ356" s="106" t="n">
        <v>19990</v>
      </c>
      <c r="AK356" s="14">
        <f>(AJ357-L357)/L357*100</f>
        <v/>
      </c>
      <c r="AL356" s="14" t="n"/>
      <c r="AM356" s="14">
        <f>AH357/AJ357%</f>
        <v/>
      </c>
      <c r="AN356" s="14">
        <f>AK357-AG357</f>
        <v/>
      </c>
      <c r="AO356" s="103">
        <f>AJ357/L357</f>
        <v/>
      </c>
      <c r="AP356" s="14">
        <f>(AJ357-AB357)/100</f>
        <v/>
      </c>
      <c r="AQ356" s="14">
        <f>(AJ357-AC357)/100</f>
        <v/>
      </c>
      <c r="AR356" s="104">
        <f>AI357/94</f>
        <v/>
      </c>
      <c r="AS356" s="104">
        <f>AJ357/94</f>
        <v/>
      </c>
      <c r="AT356" s="105">
        <f>AI357/24</f>
        <v/>
      </c>
      <c r="AU356" s="105">
        <f>AJ357/24</f>
        <v/>
      </c>
      <c r="AV356" s="105">
        <f>AI357/125</f>
        <v/>
      </c>
      <c r="AW356" s="105">
        <f>AJ357/125</f>
        <v/>
      </c>
      <c r="AX356" s="107" t="n"/>
      <c r="AY356" s="107" t="n"/>
    </row>
    <row r="357" ht="15.75" customHeight="1" s="258">
      <c r="A357" s="96" t="n"/>
      <c r="B357" s="96" t="inlineStr">
        <is>
          <t>12 in / Om</t>
        </is>
      </c>
      <c r="C357" s="96" t="inlineStr">
        <is>
          <t>MI-SB-H-ET-O-C-12</t>
        </is>
      </c>
      <c r="D357" s="94" t="n"/>
      <c r="E357" s="96" t="n">
        <v>145</v>
      </c>
      <c r="F357" s="96" t="n">
        <v>10</v>
      </c>
      <c r="G357" s="94" t="n">
        <v>83061000</v>
      </c>
      <c r="H357" s="97" t="n">
        <v>0.05</v>
      </c>
      <c r="I357" s="96">
        <f>D358*H358</f>
        <v/>
      </c>
      <c r="J357" s="107" t="n"/>
      <c r="K357" s="96">
        <f>D358*4%</f>
        <v/>
      </c>
      <c r="L357" s="98">
        <f>K358+J358+I358+F358+E358+D358</f>
        <v/>
      </c>
      <c r="M357" s="96">
        <f>D358*1%</f>
        <v/>
      </c>
      <c r="N357" s="99">
        <f>L358*8%</f>
        <v/>
      </c>
      <c r="O357" s="99">
        <f>L358*10%</f>
        <v/>
      </c>
      <c r="P357" s="99">
        <f>L358*5%</f>
        <v/>
      </c>
      <c r="Q357" s="99">
        <f>L358*2%</f>
        <v/>
      </c>
      <c r="R357" s="99">
        <f>AC358*0.5%</f>
        <v/>
      </c>
      <c r="S357" s="99">
        <f>L358*1%</f>
        <v/>
      </c>
      <c r="T357" s="100">
        <f>S358+Q358+P358+O358+N358+M358</f>
        <v/>
      </c>
      <c r="U357" s="96">
        <f>AC358*1%</f>
        <v/>
      </c>
      <c r="V357" s="44">
        <f>AC358*5%</f>
        <v/>
      </c>
      <c r="W357" s="96">
        <f>AC358*1%</f>
        <v/>
      </c>
      <c r="X357" s="96">
        <f>AC358*8%</f>
        <v/>
      </c>
      <c r="Y357" s="96">
        <f>U358+V358+W358+X358</f>
        <v/>
      </c>
      <c r="Z357" s="100">
        <f>Y358+T358+L358</f>
        <v/>
      </c>
      <c r="AA357" s="101">
        <f>Z358*20%</f>
        <v/>
      </c>
      <c r="AB357" s="99">
        <f>Z358+AA358</f>
        <v/>
      </c>
      <c r="AC357" s="96">
        <f>D358*2.1</f>
        <v/>
      </c>
      <c r="AD357" s="99">
        <f>AB358-AC358</f>
        <v/>
      </c>
      <c r="AE357" s="99">
        <f>AD358/AB358*100</f>
        <v/>
      </c>
      <c r="AF357" s="107" t="n">
        <v>22500</v>
      </c>
      <c r="AG357" s="102">
        <f>((AF358-L358)/L358)*100</f>
        <v/>
      </c>
      <c r="AH357" s="106">
        <f>AJ358-AF358</f>
        <v/>
      </c>
      <c r="AI357" s="106" t="n">
        <v>24990</v>
      </c>
      <c r="AJ357" s="106" t="n">
        <v>23490</v>
      </c>
      <c r="AK357" s="14">
        <f>(AJ358-L358)/L358*100</f>
        <v/>
      </c>
      <c r="AL357" s="14" t="n"/>
      <c r="AM357" s="14">
        <f>AH358/AJ358%</f>
        <v/>
      </c>
      <c r="AN357" s="14">
        <f>AK358-AG358</f>
        <v/>
      </c>
      <c r="AO357" s="103">
        <f>AJ358/L358</f>
        <v/>
      </c>
      <c r="AP357" s="14">
        <f>(AJ358-AB358)/100</f>
        <v/>
      </c>
      <c r="AQ357" s="14">
        <f>(AJ358-AC358)/100</f>
        <v/>
      </c>
      <c r="AR357" s="104">
        <f>AI358/94</f>
        <v/>
      </c>
      <c r="AS357" s="104">
        <f>AJ358/94</f>
        <v/>
      </c>
      <c r="AT357" s="105">
        <f>AI358/24</f>
        <v/>
      </c>
      <c r="AU357" s="105">
        <f>AJ358/24</f>
        <v/>
      </c>
      <c r="AV357" s="105">
        <f>AI358/125</f>
        <v/>
      </c>
      <c r="AW357" s="105">
        <f>AJ358/125</f>
        <v/>
      </c>
      <c r="AX357" s="107" t="n"/>
      <c r="AY357" s="107" t="n"/>
    </row>
    <row r="358" ht="15.75" customHeight="1" s="258">
      <c r="A358" s="96" t="n"/>
      <c r="B358" s="96" t="inlineStr">
        <is>
          <t>6 in / Om</t>
        </is>
      </c>
      <c r="C358" s="96" t="inlineStr">
        <is>
          <t>MI-SB-H-ET-O-C-6</t>
        </is>
      </c>
      <c r="D358" s="94" t="n"/>
      <c r="E358" s="96" t="n">
        <v>125</v>
      </c>
      <c r="F358" s="96" t="n">
        <v>10</v>
      </c>
      <c r="G358" s="94" t="n">
        <v>83061000</v>
      </c>
      <c r="H358" s="97" t="n">
        <v>0.05</v>
      </c>
      <c r="I358" s="96">
        <f>D359*H359</f>
        <v/>
      </c>
      <c r="J358" s="107" t="n"/>
      <c r="K358" s="96">
        <f>D359*4%</f>
        <v/>
      </c>
      <c r="L358" s="98">
        <f>K359+J359+I359+F359+E359+D359</f>
        <v/>
      </c>
      <c r="M358" s="96">
        <f>D359*1%</f>
        <v/>
      </c>
      <c r="N358" s="99">
        <f>L359*8%</f>
        <v/>
      </c>
      <c r="O358" s="99">
        <f>L359*10%</f>
        <v/>
      </c>
      <c r="P358" s="99">
        <f>L359*5%</f>
        <v/>
      </c>
      <c r="Q358" s="99">
        <f>L359*2%</f>
        <v/>
      </c>
      <c r="R358" s="99">
        <f>AC359*0.5%</f>
        <v/>
      </c>
      <c r="S358" s="99">
        <f>L359*1%</f>
        <v/>
      </c>
      <c r="T358" s="100">
        <f>S359+Q359+P359+O359+N359+M359</f>
        <v/>
      </c>
      <c r="U358" s="96">
        <f>AC359*1%</f>
        <v/>
      </c>
      <c r="V358" s="44">
        <f>AC359*5%</f>
        <v/>
      </c>
      <c r="W358" s="96">
        <f>AC359*1%</f>
        <v/>
      </c>
      <c r="X358" s="96">
        <f>AC359*8%</f>
        <v/>
      </c>
      <c r="Y358" s="96">
        <f>U359+V359+W359+X359</f>
        <v/>
      </c>
      <c r="Z358" s="100">
        <f>Y359+T359+L359</f>
        <v/>
      </c>
      <c r="AA358" s="101">
        <f>Z359*20%</f>
        <v/>
      </c>
      <c r="AB358" s="99">
        <f>Z359+AA359</f>
        <v/>
      </c>
      <c r="AC358" s="96">
        <f>D359*2.1</f>
        <v/>
      </c>
      <c r="AD358" s="99">
        <f>AB359-AC359</f>
        <v/>
      </c>
      <c r="AE358" s="99">
        <f>AD359/AB359*100</f>
        <v/>
      </c>
      <c r="AF358" s="107" t="n">
        <v>8500</v>
      </c>
      <c r="AG358" s="102">
        <f>((AF359-L359)/L359)*100</f>
        <v/>
      </c>
      <c r="AH358" s="106">
        <f>AJ359-AF359</f>
        <v/>
      </c>
      <c r="AI358" s="106" t="n">
        <v>9990</v>
      </c>
      <c r="AJ358" s="106" t="n">
        <v>8990</v>
      </c>
      <c r="AK358" s="14">
        <f>(AJ359-L359)/L359*100</f>
        <v/>
      </c>
      <c r="AL358" s="14" t="n"/>
      <c r="AM358" s="14">
        <f>AH359/AJ359%</f>
        <v/>
      </c>
      <c r="AN358" s="14">
        <f>AK359-AG359</f>
        <v/>
      </c>
      <c r="AO358" s="103">
        <f>AJ359/L359</f>
        <v/>
      </c>
      <c r="AP358" s="14">
        <f>(AJ359-AB359)/100</f>
        <v/>
      </c>
      <c r="AQ358" s="14">
        <f>(AJ359-AC359)/100</f>
        <v/>
      </c>
      <c r="AR358" s="104">
        <f>AI359/94</f>
        <v/>
      </c>
      <c r="AS358" s="104">
        <f>AJ359/94</f>
        <v/>
      </c>
      <c r="AT358" s="105">
        <f>AI359/24</f>
        <v/>
      </c>
      <c r="AU358" s="105">
        <f>AJ359/24</f>
        <v/>
      </c>
      <c r="AV358" s="105">
        <f>AI359/125</f>
        <v/>
      </c>
      <c r="AW358" s="105">
        <f>AJ359/125</f>
        <v/>
      </c>
      <c r="AX358" s="107" t="n"/>
      <c r="AY358" s="107" t="n"/>
    </row>
    <row r="359" ht="15.75" customHeight="1" s="258">
      <c r="A359" s="96" t="n"/>
      <c r="B359" s="96" t="inlineStr">
        <is>
          <t>7 in / Om</t>
        </is>
      </c>
      <c r="C359" s="96" t="inlineStr">
        <is>
          <t>MI-SB-H-ET-O-C-7</t>
        </is>
      </c>
      <c r="D359" s="94" t="n"/>
      <c r="E359" s="96" t="n">
        <v>125</v>
      </c>
      <c r="F359" s="96" t="n">
        <v>10</v>
      </c>
      <c r="G359" s="94" t="n">
        <v>83061000</v>
      </c>
      <c r="H359" s="97" t="n">
        <v>0.05</v>
      </c>
      <c r="I359" s="96">
        <f>D360*H360</f>
        <v/>
      </c>
      <c r="J359" s="107" t="n"/>
      <c r="K359" s="96">
        <f>D360*4%</f>
        <v/>
      </c>
      <c r="L359" s="98">
        <f>K360+J360+I360+F360+E360+D360</f>
        <v/>
      </c>
      <c r="M359" s="96">
        <f>D360*1%</f>
        <v/>
      </c>
      <c r="N359" s="99">
        <f>L360*8%</f>
        <v/>
      </c>
      <c r="O359" s="99">
        <f>L360*10%</f>
        <v/>
      </c>
      <c r="P359" s="99">
        <f>L360*5%</f>
        <v/>
      </c>
      <c r="Q359" s="99">
        <f>L360*2%</f>
        <v/>
      </c>
      <c r="R359" s="99">
        <f>AC360*0.5%</f>
        <v/>
      </c>
      <c r="S359" s="99">
        <f>L360*1%</f>
        <v/>
      </c>
      <c r="T359" s="100">
        <f>S360+Q360+P360+O360+N360+M360</f>
        <v/>
      </c>
      <c r="U359" s="96">
        <f>AC360*1%</f>
        <v/>
      </c>
      <c r="V359" s="44">
        <f>AC360*5%</f>
        <v/>
      </c>
      <c r="W359" s="96">
        <f>AC360*1%</f>
        <v/>
      </c>
      <c r="X359" s="96">
        <f>AC360*8%</f>
        <v/>
      </c>
      <c r="Y359" s="96">
        <f>U360+V360+W360+X360</f>
        <v/>
      </c>
      <c r="Z359" s="100">
        <f>Y360+T360+L360</f>
        <v/>
      </c>
      <c r="AA359" s="101">
        <f>Z360*20%</f>
        <v/>
      </c>
      <c r="AB359" s="99">
        <f>Z360+AA360</f>
        <v/>
      </c>
      <c r="AC359" s="96">
        <f>D360*2.1</f>
        <v/>
      </c>
      <c r="AD359" s="99">
        <f>AB360-AC360</f>
        <v/>
      </c>
      <c r="AE359" s="99">
        <f>AD360/AB360*100</f>
        <v/>
      </c>
      <c r="AF359" s="107" t="n">
        <v>10500</v>
      </c>
      <c r="AG359" s="102">
        <f>((AF360-L360)/L360)*100</f>
        <v/>
      </c>
      <c r="AH359" s="106">
        <f>AJ360-AF360</f>
        <v/>
      </c>
      <c r="AI359" s="106" t="n">
        <v>11990</v>
      </c>
      <c r="AJ359" s="106" t="n">
        <v>10990</v>
      </c>
      <c r="AK359" s="14">
        <f>(AJ360-L360)/L360*100</f>
        <v/>
      </c>
      <c r="AL359" s="14" t="n"/>
      <c r="AM359" s="14">
        <f>AH360/AJ360%</f>
        <v/>
      </c>
      <c r="AN359" s="14">
        <f>AK360-AG360</f>
        <v/>
      </c>
      <c r="AO359" s="103">
        <f>AJ360/L360</f>
        <v/>
      </c>
      <c r="AP359" s="14">
        <f>(AJ360-AB360)/100</f>
        <v/>
      </c>
      <c r="AQ359" s="14">
        <f>(AJ360-AC360)/100</f>
        <v/>
      </c>
      <c r="AR359" s="104">
        <f>AI360/94</f>
        <v/>
      </c>
      <c r="AS359" s="104">
        <f>AJ360/94</f>
        <v/>
      </c>
      <c r="AT359" s="105">
        <f>AI360/24</f>
        <v/>
      </c>
      <c r="AU359" s="105">
        <f>AJ360/24</f>
        <v/>
      </c>
      <c r="AV359" s="105">
        <f>AI360/125</f>
        <v/>
      </c>
      <c r="AW359" s="105">
        <f>AJ360/125</f>
        <v/>
      </c>
      <c r="AX359" s="107" t="n"/>
      <c r="AY359" s="107" t="n"/>
    </row>
    <row r="360" ht="15.75" customHeight="1" s="258">
      <c r="A360" s="96" t="n"/>
      <c r="B360" s="96" t="inlineStr">
        <is>
          <t>8 in / Om</t>
        </is>
      </c>
      <c r="C360" s="96" t="inlineStr">
        <is>
          <t>MI-SB-H-ET-O-C-8</t>
        </is>
      </c>
      <c r="D360" s="94" t="n"/>
      <c r="E360" s="96" t="n">
        <v>145</v>
      </c>
      <c r="F360" s="96" t="n">
        <v>10</v>
      </c>
      <c r="G360" s="94" t="n">
        <v>83061000</v>
      </c>
      <c r="H360" s="97" t="n">
        <v>0.05</v>
      </c>
      <c r="I360" s="96">
        <f>D361*H361</f>
        <v/>
      </c>
      <c r="J360" s="107" t="n"/>
      <c r="K360" s="96">
        <f>D361*4%</f>
        <v/>
      </c>
      <c r="L360" s="98">
        <f>K361+J361+I361+F361+E361+D361</f>
        <v/>
      </c>
      <c r="M360" s="96">
        <f>D361*1%</f>
        <v/>
      </c>
      <c r="N360" s="99">
        <f>L361*8%</f>
        <v/>
      </c>
      <c r="O360" s="99">
        <f>L361*10%</f>
        <v/>
      </c>
      <c r="P360" s="99">
        <f>L361*5%</f>
        <v/>
      </c>
      <c r="Q360" s="99">
        <f>L361*2%</f>
        <v/>
      </c>
      <c r="R360" s="99">
        <f>AC361*0.5%</f>
        <v/>
      </c>
      <c r="S360" s="99">
        <f>L361*1%</f>
        <v/>
      </c>
      <c r="T360" s="100">
        <f>S361+Q361+P361+O361+N361+M361</f>
        <v/>
      </c>
      <c r="U360" s="96">
        <f>AC361*1%</f>
        <v/>
      </c>
      <c r="V360" s="44">
        <f>AC361*5%</f>
        <v/>
      </c>
      <c r="W360" s="96">
        <f>AC361*1%</f>
        <v/>
      </c>
      <c r="X360" s="96">
        <f>AC361*8%</f>
        <v/>
      </c>
      <c r="Y360" s="96">
        <f>U361+V361+W361+X361</f>
        <v/>
      </c>
      <c r="Z360" s="100">
        <f>Y361+T361+L361</f>
        <v/>
      </c>
      <c r="AA360" s="101">
        <f>Z361*20%</f>
        <v/>
      </c>
      <c r="AB360" s="99">
        <f>Z361+AA361</f>
        <v/>
      </c>
      <c r="AC360" s="96">
        <f>D361*2.1</f>
        <v/>
      </c>
      <c r="AD360" s="99">
        <f>AB361-AC361</f>
        <v/>
      </c>
      <c r="AE360" s="99">
        <f>AD361/AB361*100</f>
        <v/>
      </c>
      <c r="AF360" s="107" t="n">
        <v>12500</v>
      </c>
      <c r="AG360" s="102">
        <f>((AF361-L361)/L361)*100</f>
        <v/>
      </c>
      <c r="AH360" s="106">
        <f>AJ361-AF361</f>
        <v/>
      </c>
      <c r="AI360" s="106" t="n">
        <v>13900</v>
      </c>
      <c r="AJ360" s="106" t="n">
        <v>12900</v>
      </c>
      <c r="AK360" s="14">
        <f>(AJ361-L361)/L361*100</f>
        <v/>
      </c>
      <c r="AL360" s="14" t="n"/>
      <c r="AM360" s="14">
        <f>AH361/AJ361%</f>
        <v/>
      </c>
      <c r="AN360" s="14">
        <f>AK361-AG361</f>
        <v/>
      </c>
      <c r="AO360" s="103">
        <f>AJ361/L361</f>
        <v/>
      </c>
      <c r="AP360" s="14">
        <f>(AJ361-AB361)/100</f>
        <v/>
      </c>
      <c r="AQ360" s="14">
        <f>(AJ361-AC361)/100</f>
        <v/>
      </c>
      <c r="AR360" s="104">
        <f>AI361/94</f>
        <v/>
      </c>
      <c r="AS360" s="104">
        <f>AJ361/94</f>
        <v/>
      </c>
      <c r="AT360" s="105">
        <f>AI361/24</f>
        <v/>
      </c>
      <c r="AU360" s="105">
        <f>AJ361/24</f>
        <v/>
      </c>
      <c r="AV360" s="105">
        <f>AI361/125</f>
        <v/>
      </c>
      <c r="AW360" s="105">
        <f>AJ361/125</f>
        <v/>
      </c>
      <c r="AX360" s="107" t="n"/>
      <c r="AY360" s="107" t="n"/>
    </row>
    <row r="361" ht="15.75" customHeight="1" s="258">
      <c r="A361" s="96" t="n"/>
      <c r="B361" s="96" t="inlineStr">
        <is>
          <t>9 in / Om</t>
        </is>
      </c>
      <c r="C361" s="96" t="inlineStr">
        <is>
          <t>MI-SB-H-ET-O-C-9</t>
        </is>
      </c>
      <c r="D361" s="94" t="n"/>
      <c r="E361" s="96" t="n">
        <v>145</v>
      </c>
      <c r="F361" s="96" t="n">
        <v>10</v>
      </c>
      <c r="G361" s="94" t="n">
        <v>83061000</v>
      </c>
      <c r="H361" s="97" t="n">
        <v>0.05</v>
      </c>
      <c r="I361" s="96">
        <f>D362*H362</f>
        <v/>
      </c>
      <c r="J361" s="107" t="n"/>
      <c r="K361" s="96">
        <f>D362*4%</f>
        <v/>
      </c>
      <c r="L361" s="98">
        <f>K362+J362+I362+F362+E362+D362</f>
        <v/>
      </c>
      <c r="M361" s="96">
        <f>D362*1%</f>
        <v/>
      </c>
      <c r="N361" s="99">
        <f>L362*8%</f>
        <v/>
      </c>
      <c r="O361" s="99">
        <f>L362*10%</f>
        <v/>
      </c>
      <c r="P361" s="99">
        <f>L362*5%</f>
        <v/>
      </c>
      <c r="Q361" s="99">
        <f>L362*2%</f>
        <v/>
      </c>
      <c r="R361" s="99">
        <f>AC362*0.5%</f>
        <v/>
      </c>
      <c r="S361" s="99">
        <f>L362*1%</f>
        <v/>
      </c>
      <c r="T361" s="100">
        <f>S362+Q362+P362+O362+N362+M362</f>
        <v/>
      </c>
      <c r="U361" s="96">
        <f>AC362*1%</f>
        <v/>
      </c>
      <c r="V361" s="44">
        <f>AC362*5%</f>
        <v/>
      </c>
      <c r="W361" s="96">
        <f>AC362*1%</f>
        <v/>
      </c>
      <c r="X361" s="96">
        <f>AC362*8%</f>
        <v/>
      </c>
      <c r="Y361" s="96">
        <f>U362+V362+W362+X362</f>
        <v/>
      </c>
      <c r="Z361" s="100">
        <f>Y362+T362+L362</f>
        <v/>
      </c>
      <c r="AA361" s="101">
        <f>Z362*20%</f>
        <v/>
      </c>
      <c r="AB361" s="99">
        <f>Z362+AA362</f>
        <v/>
      </c>
      <c r="AC361" s="96">
        <f>D362*2.1</f>
        <v/>
      </c>
      <c r="AD361" s="99">
        <f>AB362-AC362</f>
        <v/>
      </c>
      <c r="AE361" s="99">
        <f>AD362/AB362*100</f>
        <v/>
      </c>
      <c r="AF361" s="107" t="n">
        <v>14500</v>
      </c>
      <c r="AG361" s="102">
        <f>((AF362-L362)/L362)*100</f>
        <v/>
      </c>
      <c r="AH361" s="106">
        <f>AJ362-AF362</f>
        <v/>
      </c>
      <c r="AI361" s="106" t="n">
        <v>16990</v>
      </c>
      <c r="AJ361" s="106" t="n">
        <v>14990</v>
      </c>
      <c r="AK361" s="14">
        <f>(AJ362-L362)/L362*100</f>
        <v/>
      </c>
      <c r="AL361" s="14" t="n"/>
      <c r="AM361" s="14">
        <f>AH362/AJ362%</f>
        <v/>
      </c>
      <c r="AN361" s="14">
        <f>AK362-AG362</f>
        <v/>
      </c>
      <c r="AO361" s="103">
        <f>AJ362/L362</f>
        <v/>
      </c>
      <c r="AP361" s="14">
        <f>(AJ362-AB362)/100</f>
        <v/>
      </c>
      <c r="AQ361" s="14">
        <f>(AJ362-AC362)/100</f>
        <v/>
      </c>
      <c r="AR361" s="104">
        <f>AI362/94</f>
        <v/>
      </c>
      <c r="AS361" s="104">
        <f>AJ362/94</f>
        <v/>
      </c>
      <c r="AT361" s="105">
        <f>AI362/24</f>
        <v/>
      </c>
      <c r="AU361" s="105">
        <f>AJ362/24</f>
        <v/>
      </c>
      <c r="AV361" s="105">
        <f>AI362/125</f>
        <v/>
      </c>
      <c r="AW361" s="105">
        <f>AJ362/125</f>
        <v/>
      </c>
      <c r="AX361" s="107" t="n"/>
      <c r="AY361" s="107" t="n"/>
    </row>
    <row r="362" ht="15.75" customHeight="1" s="258">
      <c r="A362" s="96" t="n"/>
      <c r="B362" s="96" t="inlineStr">
        <is>
          <t>Tara / 10 in</t>
        </is>
      </c>
      <c r="C362" s="96" t="inlineStr">
        <is>
          <t>MI-SB-H-ET-T-10</t>
        </is>
      </c>
      <c r="D362" s="94" t="n"/>
      <c r="E362" s="96" t="n">
        <v>145</v>
      </c>
      <c r="F362" s="96" t="n">
        <v>10</v>
      </c>
      <c r="G362" s="94" t="n">
        <v>83061000</v>
      </c>
      <c r="H362" s="97" t="n">
        <v>0.05</v>
      </c>
      <c r="I362" s="96">
        <f>D363*H363</f>
        <v/>
      </c>
      <c r="J362" s="107" t="n"/>
      <c r="K362" s="96">
        <f>D363*4%</f>
        <v/>
      </c>
      <c r="L362" s="98">
        <f>K363+J363+I363+F363+E363+D363</f>
        <v/>
      </c>
      <c r="M362" s="96">
        <f>D363*1%</f>
        <v/>
      </c>
      <c r="N362" s="99">
        <f>L363*8%</f>
        <v/>
      </c>
      <c r="O362" s="99">
        <f>L363*10%</f>
        <v/>
      </c>
      <c r="P362" s="99">
        <f>L363*5%</f>
        <v/>
      </c>
      <c r="Q362" s="99">
        <f>L363*2%</f>
        <v/>
      </c>
      <c r="R362" s="99">
        <f>AC363*0.5%</f>
        <v/>
      </c>
      <c r="S362" s="99">
        <f>L363*1%</f>
        <v/>
      </c>
      <c r="T362" s="100">
        <f>S363+Q363+P363+O363+N363+M363</f>
        <v/>
      </c>
      <c r="U362" s="96">
        <f>AC363*1%</f>
        <v/>
      </c>
      <c r="V362" s="44">
        <f>AC363*5%</f>
        <v/>
      </c>
      <c r="W362" s="96">
        <f>AC363*1%</f>
        <v/>
      </c>
      <c r="X362" s="96">
        <f>AC363*8%</f>
        <v/>
      </c>
      <c r="Y362" s="96">
        <f>U363+V363+W363+X363</f>
        <v/>
      </c>
      <c r="Z362" s="100">
        <f>Y363+T363+L363</f>
        <v/>
      </c>
      <c r="AA362" s="101">
        <f>Z363*20%</f>
        <v/>
      </c>
      <c r="AB362" s="99">
        <f>Z363+AA363</f>
        <v/>
      </c>
      <c r="AC362" s="96">
        <f>D363*2.1</f>
        <v/>
      </c>
      <c r="AD362" s="99">
        <f>AB363-AC363</f>
        <v/>
      </c>
      <c r="AE362" s="99">
        <f>AD363/AB363*100</f>
        <v/>
      </c>
      <c r="AF362" s="107" t="n">
        <v>18500</v>
      </c>
      <c r="AG362" s="102">
        <f>((AF363-L363)/L363)*100</f>
        <v/>
      </c>
      <c r="AH362" s="106">
        <f>AJ363-AF363</f>
        <v/>
      </c>
      <c r="AI362" s="106" t="n">
        <v>19990</v>
      </c>
      <c r="AJ362" s="106" t="n">
        <v>18990</v>
      </c>
      <c r="AK362" s="14">
        <f>(AJ363-L363)/L363*100</f>
        <v/>
      </c>
      <c r="AL362" s="14" t="n"/>
      <c r="AM362" s="14">
        <f>AH363/AJ363%</f>
        <v/>
      </c>
      <c r="AN362" s="14">
        <f>AK363-AG363</f>
        <v/>
      </c>
      <c r="AO362" s="103">
        <f>AJ363/L363</f>
        <v/>
      </c>
      <c r="AP362" s="14">
        <f>(AJ363-AB363)/100</f>
        <v/>
      </c>
      <c r="AQ362" s="14">
        <f>(AJ363-AC363)/100</f>
        <v/>
      </c>
      <c r="AR362" s="104">
        <f>AI363/94</f>
        <v/>
      </c>
      <c r="AS362" s="104">
        <f>AJ363/94</f>
        <v/>
      </c>
      <c r="AT362" s="105">
        <f>AI363/24</f>
        <v/>
      </c>
      <c r="AU362" s="105">
        <f>AJ363/24</f>
        <v/>
      </c>
      <c r="AV362" s="105">
        <f>AI363/125</f>
        <v/>
      </c>
      <c r="AW362" s="105">
        <f>AJ363/125</f>
        <v/>
      </c>
      <c r="AX362" s="107" t="n"/>
      <c r="AY362" s="107" t="n"/>
    </row>
    <row r="363" ht="15.75" customHeight="1" s="258">
      <c r="A363" s="96" t="n"/>
      <c r="B363" s="96" t="inlineStr">
        <is>
          <t>Tara / 11 in</t>
        </is>
      </c>
      <c r="C363" s="96" t="inlineStr">
        <is>
          <t>MI-SB-H-ET-T-11</t>
        </is>
      </c>
      <c r="D363" s="94" t="n"/>
      <c r="E363" s="96" t="n">
        <v>145</v>
      </c>
      <c r="F363" s="96" t="n">
        <v>10</v>
      </c>
      <c r="G363" s="94" t="n">
        <v>83061000</v>
      </c>
      <c r="H363" s="97" t="n">
        <v>0.05</v>
      </c>
      <c r="I363" s="96">
        <f>D364*H364</f>
        <v/>
      </c>
      <c r="J363" s="107" t="n"/>
      <c r="K363" s="96">
        <f>D364*4%</f>
        <v/>
      </c>
      <c r="L363" s="98">
        <f>K364+J364+I364+F364+E364+D364</f>
        <v/>
      </c>
      <c r="M363" s="96">
        <f>D364*1%</f>
        <v/>
      </c>
      <c r="N363" s="99">
        <f>L364*8%</f>
        <v/>
      </c>
      <c r="O363" s="99">
        <f>L364*10%</f>
        <v/>
      </c>
      <c r="P363" s="99">
        <f>L364*5%</f>
        <v/>
      </c>
      <c r="Q363" s="99">
        <f>L364*2%</f>
        <v/>
      </c>
      <c r="R363" s="99">
        <f>AC364*0.5%</f>
        <v/>
      </c>
      <c r="S363" s="99">
        <f>L364*1%</f>
        <v/>
      </c>
      <c r="T363" s="100">
        <f>S364+Q364+P364+O364+N364+M364</f>
        <v/>
      </c>
      <c r="U363" s="96">
        <f>AC364*1%</f>
        <v/>
      </c>
      <c r="V363" s="44">
        <f>AC364*5%</f>
        <v/>
      </c>
      <c r="W363" s="96">
        <f>AC364*1%</f>
        <v/>
      </c>
      <c r="X363" s="96">
        <f>AC364*8%</f>
        <v/>
      </c>
      <c r="Y363" s="96">
        <f>U364+V364+W364+X364</f>
        <v/>
      </c>
      <c r="Z363" s="100">
        <f>Y364+T364+L364</f>
        <v/>
      </c>
      <c r="AA363" s="101">
        <f>Z364*20%</f>
        <v/>
      </c>
      <c r="AB363" s="99">
        <f>Z364+AA364</f>
        <v/>
      </c>
      <c r="AC363" s="96">
        <f>D364*2.1</f>
        <v/>
      </c>
      <c r="AD363" s="99">
        <f>AB364-AC364</f>
        <v/>
      </c>
      <c r="AE363" s="99">
        <f>AD364/AB364*100</f>
        <v/>
      </c>
      <c r="AF363" s="107" t="n">
        <v>21500</v>
      </c>
      <c r="AG363" s="102">
        <f>((AF364-L364)/L364)*100</f>
        <v/>
      </c>
      <c r="AH363" s="106">
        <f>AJ364-AF364</f>
        <v/>
      </c>
      <c r="AI363" s="106" t="n">
        <v>24990</v>
      </c>
      <c r="AJ363" s="106" t="n">
        <v>22900</v>
      </c>
      <c r="AK363" s="14">
        <f>(AJ364-L364)/L364*100</f>
        <v/>
      </c>
      <c r="AL363" s="14" t="n"/>
      <c r="AM363" s="14">
        <f>AH364/AJ364%</f>
        <v/>
      </c>
      <c r="AN363" s="14">
        <f>AK364-AG364</f>
        <v/>
      </c>
      <c r="AO363" s="103">
        <f>AJ364/L364</f>
        <v/>
      </c>
      <c r="AP363" s="14">
        <f>(AJ364-AB364)/100</f>
        <v/>
      </c>
      <c r="AQ363" s="14">
        <f>(AJ364-AC364)/100</f>
        <v/>
      </c>
      <c r="AR363" s="104">
        <f>AI364/94</f>
        <v/>
      </c>
      <c r="AS363" s="104">
        <f>AJ364/94</f>
        <v/>
      </c>
      <c r="AT363" s="105">
        <f>AI364/24</f>
        <v/>
      </c>
      <c r="AU363" s="105">
        <f>AJ364/24</f>
        <v/>
      </c>
      <c r="AV363" s="105">
        <f>AI364/125</f>
        <v/>
      </c>
      <c r="AW363" s="105">
        <f>AJ364/125</f>
        <v/>
      </c>
      <c r="AX363" s="107" t="n"/>
      <c r="AY363" s="107" t="n"/>
    </row>
    <row r="364" ht="15.75" customHeight="1" s="258">
      <c r="A364" s="96" t="n"/>
      <c r="B364" s="96" t="inlineStr">
        <is>
          <t>Tara / 12 in</t>
        </is>
      </c>
      <c r="C364" s="96" t="inlineStr">
        <is>
          <t>MI-SB-H-ET-T-12</t>
        </is>
      </c>
      <c r="D364" s="94" t="n"/>
      <c r="E364" s="96" t="n">
        <v>145</v>
      </c>
      <c r="F364" s="96" t="n">
        <v>10</v>
      </c>
      <c r="G364" s="94" t="n">
        <v>83061000</v>
      </c>
      <c r="H364" s="97" t="n">
        <v>0.05</v>
      </c>
      <c r="I364" s="96">
        <f>D365*H365</f>
        <v/>
      </c>
      <c r="J364" s="107" t="n"/>
      <c r="K364" s="96">
        <f>D365*4%</f>
        <v/>
      </c>
      <c r="L364" s="98">
        <f>K365+J365+I365+F365+E365+D365</f>
        <v/>
      </c>
      <c r="M364" s="96">
        <f>D365*1%</f>
        <v/>
      </c>
      <c r="N364" s="99">
        <f>L365*8%</f>
        <v/>
      </c>
      <c r="O364" s="99">
        <f>L365*10%</f>
        <v/>
      </c>
      <c r="P364" s="99">
        <f>L365*5%</f>
        <v/>
      </c>
      <c r="Q364" s="99">
        <f>L365*2%</f>
        <v/>
      </c>
      <c r="R364" s="99">
        <f>AC365*0.5%</f>
        <v/>
      </c>
      <c r="S364" s="99">
        <f>L365*1%</f>
        <v/>
      </c>
      <c r="T364" s="100">
        <f>S365+Q365+P365+O365+N365+M365</f>
        <v/>
      </c>
      <c r="U364" s="96">
        <f>AC365*1%</f>
        <v/>
      </c>
      <c r="V364" s="44">
        <f>AC365*5%</f>
        <v/>
      </c>
      <c r="W364" s="96">
        <f>AC365*1%</f>
        <v/>
      </c>
      <c r="X364" s="96">
        <f>AC365*8%</f>
        <v/>
      </c>
      <c r="Y364" s="96">
        <f>U365+V365+W365+X365</f>
        <v/>
      </c>
      <c r="Z364" s="100">
        <f>Y365+T365+L365</f>
        <v/>
      </c>
      <c r="AA364" s="101">
        <f>Z365*20%</f>
        <v/>
      </c>
      <c r="AB364" s="99">
        <f>Z365+AA365</f>
        <v/>
      </c>
      <c r="AC364" s="96">
        <f>D365*2.1</f>
        <v/>
      </c>
      <c r="AD364" s="99">
        <f>AB365-AC365</f>
        <v/>
      </c>
      <c r="AE364" s="99">
        <f>AD365/AB365*100</f>
        <v/>
      </c>
      <c r="AF364" s="107" t="n">
        <v>24500</v>
      </c>
      <c r="AG364" s="102">
        <f>((AF365-L365)/L365)*100</f>
        <v/>
      </c>
      <c r="AH364" s="106">
        <f>AJ365-AF365</f>
        <v/>
      </c>
      <c r="AI364" s="106" t="n">
        <v>26990</v>
      </c>
      <c r="AJ364" s="106" t="n">
        <v>25990</v>
      </c>
      <c r="AK364" s="14">
        <f>(AJ365-L365)/L365*100</f>
        <v/>
      </c>
      <c r="AL364" s="14" t="n"/>
      <c r="AM364" s="14">
        <f>AH365/AJ365%</f>
        <v/>
      </c>
      <c r="AN364" s="14">
        <f>AK365-AG365</f>
        <v/>
      </c>
      <c r="AO364" s="103">
        <f>AJ365/L365</f>
        <v/>
      </c>
      <c r="AP364" s="14">
        <f>(AJ365-AB365)/100</f>
        <v/>
      </c>
      <c r="AQ364" s="14">
        <f>(AJ365-AC365)/100</f>
        <v/>
      </c>
      <c r="AR364" s="104">
        <f>AI365/94</f>
        <v/>
      </c>
      <c r="AS364" s="104">
        <f>AJ365/94</f>
        <v/>
      </c>
      <c r="AT364" s="105">
        <f>AI365/24</f>
        <v/>
      </c>
      <c r="AU364" s="105">
        <f>AJ365/24</f>
        <v/>
      </c>
      <c r="AV364" s="105">
        <f>AI365/125</f>
        <v/>
      </c>
      <c r="AW364" s="105">
        <f>AJ365/125</f>
        <v/>
      </c>
      <c r="AX364" s="107" t="n"/>
      <c r="AY364" s="107" t="n"/>
    </row>
    <row r="365" ht="15.75" customHeight="1" s="258">
      <c r="A365" s="96" t="n"/>
      <c r="B365" s="96" t="inlineStr">
        <is>
          <t>Tara / 6 in</t>
        </is>
      </c>
      <c r="C365" s="96" t="inlineStr">
        <is>
          <t>MI-SB-H-ET-T-6</t>
        </is>
      </c>
      <c r="D365" s="94" t="n"/>
      <c r="E365" s="96" t="n">
        <v>125</v>
      </c>
      <c r="F365" s="96" t="n">
        <v>10</v>
      </c>
      <c r="G365" s="94" t="n">
        <v>83061000</v>
      </c>
      <c r="H365" s="97" t="n">
        <v>0.05</v>
      </c>
      <c r="I365" s="96">
        <f>D366*H366</f>
        <v/>
      </c>
      <c r="J365" s="107" t="n"/>
      <c r="K365" s="96">
        <f>D366*4%</f>
        <v/>
      </c>
      <c r="L365" s="98">
        <f>K366+J366+I366+F366+E366+D366</f>
        <v/>
      </c>
      <c r="M365" s="96">
        <f>D366*1%</f>
        <v/>
      </c>
      <c r="N365" s="99">
        <f>L366*8%</f>
        <v/>
      </c>
      <c r="O365" s="99">
        <f>L366*10%</f>
        <v/>
      </c>
      <c r="P365" s="99">
        <f>L366*5%</f>
        <v/>
      </c>
      <c r="Q365" s="99">
        <f>L366*2%</f>
        <v/>
      </c>
      <c r="R365" s="99">
        <f>AC366*0.5%</f>
        <v/>
      </c>
      <c r="S365" s="99">
        <f>L366*1%</f>
        <v/>
      </c>
      <c r="T365" s="100">
        <f>S366+Q366+P366+O366+N366+M366</f>
        <v/>
      </c>
      <c r="U365" s="96">
        <f>AC366*1%</f>
        <v/>
      </c>
      <c r="V365" s="44">
        <f>AC366*5%</f>
        <v/>
      </c>
      <c r="W365" s="96">
        <f>AC366*1%</f>
        <v/>
      </c>
      <c r="X365" s="96">
        <f>AC366*8%</f>
        <v/>
      </c>
      <c r="Y365" s="96">
        <f>U366+V366+W366+X366</f>
        <v/>
      </c>
      <c r="Z365" s="100">
        <f>Y366+T366+L366</f>
        <v/>
      </c>
      <c r="AA365" s="101">
        <f>Z366*20%</f>
        <v/>
      </c>
      <c r="AB365" s="99">
        <f>Z366+AA366</f>
        <v/>
      </c>
      <c r="AC365" s="96">
        <f>D366*2.1</f>
        <v/>
      </c>
      <c r="AD365" s="99">
        <f>AB366-AC366</f>
        <v/>
      </c>
      <c r="AE365" s="99">
        <f>AD366/AB366*100</f>
        <v/>
      </c>
      <c r="AF365" s="107" t="n">
        <v>10500</v>
      </c>
      <c r="AG365" s="102">
        <f>((AF366-L366)/L366)*100</f>
        <v/>
      </c>
      <c r="AH365" s="106">
        <f>AJ366-AF366</f>
        <v/>
      </c>
      <c r="AI365" s="106" t="n">
        <v>12990</v>
      </c>
      <c r="AJ365" s="106" t="n">
        <v>10990</v>
      </c>
      <c r="AK365" s="14">
        <f>(AJ366-L366)/L366*100</f>
        <v/>
      </c>
      <c r="AL365" s="14" t="n"/>
      <c r="AM365" s="14">
        <f>AH366/AJ366%</f>
        <v/>
      </c>
      <c r="AN365" s="14">
        <f>AK366-AG366</f>
        <v/>
      </c>
      <c r="AO365" s="103">
        <f>AJ366/L366</f>
        <v/>
      </c>
      <c r="AP365" s="14">
        <f>(AJ366-AB366)/100</f>
        <v/>
      </c>
      <c r="AQ365" s="14">
        <f>(AJ366-AC366)/100</f>
        <v/>
      </c>
      <c r="AR365" s="104">
        <f>AI366/94</f>
        <v/>
      </c>
      <c r="AS365" s="104">
        <f>AJ366/94</f>
        <v/>
      </c>
      <c r="AT365" s="105">
        <f>AI366/24</f>
        <v/>
      </c>
      <c r="AU365" s="105">
        <f>AJ366/24</f>
        <v/>
      </c>
      <c r="AV365" s="105">
        <f>AI366/125</f>
        <v/>
      </c>
      <c r="AW365" s="105">
        <f>AJ366/125</f>
        <v/>
      </c>
      <c r="AX365" s="107" t="n"/>
      <c r="AY365" s="107" t="n"/>
    </row>
    <row r="366" ht="15.75" customHeight="1" s="258">
      <c r="A366" s="96" t="n"/>
      <c r="B366" s="96" t="inlineStr">
        <is>
          <t>Tara / 7 in</t>
        </is>
      </c>
      <c r="C366" s="96" t="inlineStr">
        <is>
          <t>MI-SB-H-ET-T-7</t>
        </is>
      </c>
      <c r="D366" s="94" t="n"/>
      <c r="E366" s="96" t="n">
        <v>125</v>
      </c>
      <c r="F366" s="96" t="n">
        <v>10</v>
      </c>
      <c r="G366" s="94" t="n">
        <v>83061000</v>
      </c>
      <c r="H366" s="97" t="n">
        <v>0.05</v>
      </c>
      <c r="I366" s="96">
        <f>D367*H367</f>
        <v/>
      </c>
      <c r="J366" s="107" t="n"/>
      <c r="K366" s="96">
        <f>D367*4%</f>
        <v/>
      </c>
      <c r="L366" s="98">
        <f>K367+J367+I367+F367+E367+D367</f>
        <v/>
      </c>
      <c r="M366" s="96">
        <f>D367*1%</f>
        <v/>
      </c>
      <c r="N366" s="99">
        <f>L367*8%</f>
        <v/>
      </c>
      <c r="O366" s="99">
        <f>L367*10%</f>
        <v/>
      </c>
      <c r="P366" s="99">
        <f>L367*5%</f>
        <v/>
      </c>
      <c r="Q366" s="99">
        <f>L367*2%</f>
        <v/>
      </c>
      <c r="R366" s="99">
        <f>AC367*0.5%</f>
        <v/>
      </c>
      <c r="S366" s="99">
        <f>L367*1%</f>
        <v/>
      </c>
      <c r="T366" s="100">
        <f>S367+Q367+P367+O367+N367+M367</f>
        <v/>
      </c>
      <c r="U366" s="96">
        <f>AC367*1%</f>
        <v/>
      </c>
      <c r="V366" s="44">
        <f>AC367*5%</f>
        <v/>
      </c>
      <c r="W366" s="96">
        <f>AC367*1%</f>
        <v/>
      </c>
      <c r="X366" s="96">
        <f>AC367*8%</f>
        <v/>
      </c>
      <c r="Y366" s="96">
        <f>U367+V367+W367+X367</f>
        <v/>
      </c>
      <c r="Z366" s="100">
        <f>Y367+T367+L367</f>
        <v/>
      </c>
      <c r="AA366" s="101">
        <f>Z367*20%</f>
        <v/>
      </c>
      <c r="AB366" s="99">
        <f>Z367+AA367</f>
        <v/>
      </c>
      <c r="AC366" s="96">
        <f>D367*2.1</f>
        <v/>
      </c>
      <c r="AD366" s="99">
        <f>AB367-AC367</f>
        <v/>
      </c>
      <c r="AE366" s="99">
        <f>AD367/AB367*100</f>
        <v/>
      </c>
      <c r="AF366" s="107" t="n">
        <v>12500</v>
      </c>
      <c r="AG366" s="102">
        <f>((AF367-L367)/L367)*100</f>
        <v/>
      </c>
      <c r="AH366" s="106">
        <f>AJ367-AF367</f>
        <v/>
      </c>
      <c r="AI366" s="106" t="n">
        <v>14990</v>
      </c>
      <c r="AJ366" s="106" t="n">
        <v>12990</v>
      </c>
      <c r="AK366" s="14">
        <f>(AJ367-L367)/L367*100</f>
        <v/>
      </c>
      <c r="AL366" s="14" t="n"/>
      <c r="AM366" s="14">
        <f>AH367/AJ367%</f>
        <v/>
      </c>
      <c r="AN366" s="14">
        <f>AK367-AG367</f>
        <v/>
      </c>
      <c r="AO366" s="103">
        <f>AJ367/L367</f>
        <v/>
      </c>
      <c r="AP366" s="14">
        <f>(AJ367-AB367)/100</f>
        <v/>
      </c>
      <c r="AQ366" s="14">
        <f>(AJ367-AC367)/100</f>
        <v/>
      </c>
      <c r="AR366" s="104">
        <f>AI367/94</f>
        <v/>
      </c>
      <c r="AS366" s="104">
        <f>AJ367/94</f>
        <v/>
      </c>
      <c r="AT366" s="105">
        <f>AI367/24</f>
        <v/>
      </c>
      <c r="AU366" s="105">
        <f>AJ367/24</f>
        <v/>
      </c>
      <c r="AV366" s="105">
        <f>AI367/125</f>
        <v/>
      </c>
      <c r="AW366" s="105">
        <f>AJ367/125</f>
        <v/>
      </c>
      <c r="AX366" s="107" t="n"/>
      <c r="AY366" s="107" t="n"/>
    </row>
    <row r="367" ht="15.75" customHeight="1" s="258">
      <c r="A367" s="96" t="n"/>
      <c r="B367" s="96" t="inlineStr">
        <is>
          <t>8 in / Tara</t>
        </is>
      </c>
      <c r="C367" s="96" t="inlineStr">
        <is>
          <t>MI-SB-H-ET-T-8</t>
        </is>
      </c>
      <c r="D367" s="94" t="n"/>
      <c r="E367" s="96" t="n">
        <v>145</v>
      </c>
      <c r="F367" s="96" t="n">
        <v>10</v>
      </c>
      <c r="G367" s="94" t="n">
        <v>83061000</v>
      </c>
      <c r="H367" s="97" t="n">
        <v>0.05</v>
      </c>
      <c r="I367" s="96">
        <f>D368*H368</f>
        <v/>
      </c>
      <c r="J367" s="107" t="n"/>
      <c r="K367" s="96">
        <f>D368*4%</f>
        <v/>
      </c>
      <c r="L367" s="98">
        <f>K368+J368+I368+F368+E368+D368</f>
        <v/>
      </c>
      <c r="M367" s="96">
        <f>D368*1%</f>
        <v/>
      </c>
      <c r="N367" s="99">
        <f>L368*8%</f>
        <v/>
      </c>
      <c r="O367" s="99">
        <f>L368*10%</f>
        <v/>
      </c>
      <c r="P367" s="99">
        <f>L368*5%</f>
        <v/>
      </c>
      <c r="Q367" s="99">
        <f>L368*2%</f>
        <v/>
      </c>
      <c r="R367" s="99">
        <f>AC368*0.5%</f>
        <v/>
      </c>
      <c r="S367" s="99">
        <f>L368*1%</f>
        <v/>
      </c>
      <c r="T367" s="100">
        <f>S368+Q368+P368+O368+N368+M368</f>
        <v/>
      </c>
      <c r="U367" s="96">
        <f>AC368*1%</f>
        <v/>
      </c>
      <c r="V367" s="44">
        <f>AC368*5%</f>
        <v/>
      </c>
      <c r="W367" s="96">
        <f>AC368*1%</f>
        <v/>
      </c>
      <c r="X367" s="96">
        <f>AC368*8%</f>
        <v/>
      </c>
      <c r="Y367" s="96">
        <f>U368+V368+W368+X368</f>
        <v/>
      </c>
      <c r="Z367" s="100">
        <f>Y368+T368+L368</f>
        <v/>
      </c>
      <c r="AA367" s="101">
        <f>Z368*20%</f>
        <v/>
      </c>
      <c r="AB367" s="99">
        <f>Z368+AA368</f>
        <v/>
      </c>
      <c r="AC367" s="96">
        <f>D368*2.1</f>
        <v/>
      </c>
      <c r="AD367" s="99">
        <f>AB368-AC368</f>
        <v/>
      </c>
      <c r="AE367" s="99">
        <f>AD368/AB368*100</f>
        <v/>
      </c>
      <c r="AF367" s="107" t="n">
        <v>14500</v>
      </c>
      <c r="AG367" s="102">
        <f>((AF368-L368)/L368)*100</f>
        <v/>
      </c>
      <c r="AH367" s="106">
        <f>AJ368-AF368</f>
        <v/>
      </c>
      <c r="AI367" s="106" t="n">
        <v>16990</v>
      </c>
      <c r="AJ367" s="106" t="n">
        <v>14990</v>
      </c>
      <c r="AK367" s="14">
        <f>(AJ368-L368)/L368*100</f>
        <v/>
      </c>
      <c r="AL367" s="14" t="n"/>
      <c r="AM367" s="14">
        <f>AH368/AJ368%</f>
        <v/>
      </c>
      <c r="AN367" s="14">
        <f>AK368-AG368</f>
        <v/>
      </c>
      <c r="AO367" s="103">
        <f>AJ368/L368</f>
        <v/>
      </c>
      <c r="AP367" s="14">
        <f>(AJ368-AB368)/100</f>
        <v/>
      </c>
      <c r="AQ367" s="14">
        <f>(AJ368-AC368)/100</f>
        <v/>
      </c>
      <c r="AR367" s="104">
        <f>AI368/94</f>
        <v/>
      </c>
      <c r="AS367" s="104">
        <f>AJ368/94</f>
        <v/>
      </c>
      <c r="AT367" s="105">
        <f>AI368/24</f>
        <v/>
      </c>
      <c r="AU367" s="105">
        <f>AJ368/24</f>
        <v/>
      </c>
      <c r="AV367" s="105">
        <f>AI368/125</f>
        <v/>
      </c>
      <c r="AW367" s="105">
        <f>AJ368/125</f>
        <v/>
      </c>
      <c r="AX367" s="107" t="n"/>
      <c r="AY367" s="107" t="n"/>
    </row>
    <row r="368" ht="15.75" customHeight="1" s="258">
      <c r="A368" s="96" t="n"/>
      <c r="B368" s="96" t="inlineStr">
        <is>
          <t>Tara / 9 in</t>
        </is>
      </c>
      <c r="C368" s="96" t="inlineStr">
        <is>
          <t>MI-SB-H-ET-T-9</t>
        </is>
      </c>
      <c r="D368" s="94" t="n"/>
      <c r="E368" s="96" t="n">
        <v>145</v>
      </c>
      <c r="F368" s="96" t="n">
        <v>10</v>
      </c>
      <c r="G368" s="94" t="n">
        <v>83061000</v>
      </c>
      <c r="H368" s="97" t="n">
        <v>0.05</v>
      </c>
      <c r="I368" s="96">
        <f>D369*H369</f>
        <v/>
      </c>
      <c r="J368" s="107" t="n"/>
      <c r="K368" s="96">
        <f>D369*4%</f>
        <v/>
      </c>
      <c r="L368" s="98">
        <f>K369+J369+I369+F369+E369+D369</f>
        <v/>
      </c>
      <c r="M368" s="96">
        <f>D369*1%</f>
        <v/>
      </c>
      <c r="N368" s="99">
        <f>L369*8%</f>
        <v/>
      </c>
      <c r="O368" s="99">
        <f>L369*10%</f>
        <v/>
      </c>
      <c r="P368" s="99">
        <f>L369*5%</f>
        <v/>
      </c>
      <c r="Q368" s="99">
        <f>L369*2%</f>
        <v/>
      </c>
      <c r="R368" s="99">
        <f>AC369*0.5%</f>
        <v/>
      </c>
      <c r="S368" s="99">
        <f>L369*1%</f>
        <v/>
      </c>
      <c r="T368" s="100">
        <f>S369+Q369+P369+O369+N369+M369</f>
        <v/>
      </c>
      <c r="U368" s="96">
        <f>AC369*1%</f>
        <v/>
      </c>
      <c r="V368" s="44">
        <f>AC369*5%</f>
        <v/>
      </c>
      <c r="W368" s="96">
        <f>AC369*1%</f>
        <v/>
      </c>
      <c r="X368" s="96">
        <f>AC369*8%</f>
        <v/>
      </c>
      <c r="Y368" s="96">
        <f>U369+V369+W369+X369</f>
        <v/>
      </c>
      <c r="Z368" s="100">
        <f>Y369+T369+L369</f>
        <v/>
      </c>
      <c r="AA368" s="101">
        <f>Z369*20%</f>
        <v/>
      </c>
      <c r="AB368" s="99">
        <f>Z369+AA369</f>
        <v/>
      </c>
      <c r="AC368" s="96">
        <f>D369*2.1</f>
        <v/>
      </c>
      <c r="AD368" s="99">
        <f>AB369-AC369</f>
        <v/>
      </c>
      <c r="AE368" s="99">
        <f>AD369/AB369*100</f>
        <v/>
      </c>
      <c r="AF368" s="107" t="n">
        <v>16500</v>
      </c>
      <c r="AG368" s="102">
        <f>((AF369-L369)/L369)*100</f>
        <v/>
      </c>
      <c r="AH368" s="106">
        <f>AJ369-AF369</f>
        <v/>
      </c>
      <c r="AI368" s="106" t="n">
        <v>18990</v>
      </c>
      <c r="AJ368" s="106" t="n">
        <v>16990</v>
      </c>
      <c r="AK368" s="14">
        <f>(AJ369-L369)/L369*100</f>
        <v/>
      </c>
      <c r="AL368" s="14" t="n"/>
      <c r="AM368" s="14">
        <f>AH369/AJ369%</f>
        <v/>
      </c>
      <c r="AN368" s="14">
        <f>AK369-AG369</f>
        <v/>
      </c>
      <c r="AO368" s="103">
        <f>AJ369/L369</f>
        <v/>
      </c>
      <c r="AP368" s="14">
        <f>(AJ369-AB369)/100</f>
        <v/>
      </c>
      <c r="AQ368" s="14">
        <f>(AJ369-AC369)/100</f>
        <v/>
      </c>
      <c r="AR368" s="104">
        <f>AI369/94</f>
        <v/>
      </c>
      <c r="AS368" s="104">
        <f>AJ369/94</f>
        <v/>
      </c>
      <c r="AT368" s="105">
        <f>AI369/24</f>
        <v/>
      </c>
      <c r="AU368" s="105">
        <f>AJ369/24</f>
        <v/>
      </c>
      <c r="AV368" s="105">
        <f>AI369/125</f>
        <v/>
      </c>
      <c r="AW368" s="105">
        <f>AJ369/125</f>
        <v/>
      </c>
      <c r="AX368" s="107" t="n"/>
      <c r="AY368" s="107" t="n"/>
    </row>
    <row r="369" ht="15.75" customHeight="1" s="258">
      <c r="A369" s="96" t="n"/>
      <c r="B369" s="96" t="inlineStr">
        <is>
          <t>Yin Yang / 6 in</t>
        </is>
      </c>
      <c r="C369" s="108" t="inlineStr">
        <is>
          <t>MI-SB-H-ET-YY-6</t>
        </is>
      </c>
      <c r="D369" s="94" t="n"/>
      <c r="E369" s="96" t="n">
        <v>125</v>
      </c>
      <c r="F369" s="96" t="n">
        <v>10</v>
      </c>
      <c r="G369" s="94" t="n">
        <v>83061000</v>
      </c>
      <c r="H369" s="97" t="n">
        <v>0.05</v>
      </c>
      <c r="I369" s="96">
        <f>D370*H370</f>
        <v/>
      </c>
      <c r="J369" s="107" t="n"/>
      <c r="K369" s="96">
        <f>D370*4%</f>
        <v/>
      </c>
      <c r="L369" s="98">
        <f>K370+J370+I370+F370+E370+D370</f>
        <v/>
      </c>
      <c r="M369" s="96">
        <f>D370*1%</f>
        <v/>
      </c>
      <c r="N369" s="99">
        <f>L370*8%</f>
        <v/>
      </c>
      <c r="O369" s="99">
        <f>L370*10%</f>
        <v/>
      </c>
      <c r="P369" s="99">
        <f>L370*5%</f>
        <v/>
      </c>
      <c r="Q369" s="99">
        <f>L370*2%</f>
        <v/>
      </c>
      <c r="R369" s="99">
        <f>AC370*0.5%</f>
        <v/>
      </c>
      <c r="S369" s="99">
        <f>L370*1%</f>
        <v/>
      </c>
      <c r="T369" s="100">
        <f>S370+Q370+P370+O370+N370+M370</f>
        <v/>
      </c>
      <c r="U369" s="96">
        <f>AC370*1%</f>
        <v/>
      </c>
      <c r="V369" s="44">
        <f>AC370*5%</f>
        <v/>
      </c>
      <c r="W369" s="96">
        <f>AC370*1%</f>
        <v/>
      </c>
      <c r="X369" s="96">
        <f>AC370*8%</f>
        <v/>
      </c>
      <c r="Y369" s="96">
        <f>U370+V370+W370+X370</f>
        <v/>
      </c>
      <c r="Z369" s="100">
        <f>Y370+T370+L370</f>
        <v/>
      </c>
      <c r="AA369" s="101">
        <f>Z370*20%</f>
        <v/>
      </c>
      <c r="AB369" s="99">
        <f>Z370+AA370</f>
        <v/>
      </c>
      <c r="AC369" s="96">
        <f>D370*2.1</f>
        <v/>
      </c>
      <c r="AD369" s="99">
        <f>AB370-AC370</f>
        <v/>
      </c>
      <c r="AE369" s="99">
        <f>AD370/AB370*100</f>
        <v/>
      </c>
      <c r="AF369" s="107" t="n"/>
      <c r="AG369" s="102">
        <f>((AF370-L370)/L370)*100</f>
        <v/>
      </c>
      <c r="AH369" s="106">
        <f>AJ370-AF370</f>
        <v/>
      </c>
      <c r="AI369" s="106">
        <f>AB370</f>
        <v/>
      </c>
      <c r="AJ369" s="106">
        <f>AI370-(AI370*7%)</f>
        <v/>
      </c>
      <c r="AK369" s="14">
        <f>(AJ370-L370)/L370*100</f>
        <v/>
      </c>
      <c r="AL369" s="14" t="n"/>
      <c r="AM369" s="14">
        <f>AH370/AJ370%</f>
        <v/>
      </c>
      <c r="AN369" s="14">
        <f>AK370-AG370</f>
        <v/>
      </c>
      <c r="AO369" s="103">
        <f>AJ370/L370</f>
        <v/>
      </c>
      <c r="AP369" s="14">
        <f>(AJ370-AB370)/100</f>
        <v/>
      </c>
      <c r="AQ369" s="14">
        <f>(AJ370-AC370)/100</f>
        <v/>
      </c>
      <c r="AR369" s="104">
        <f>AI370/94</f>
        <v/>
      </c>
      <c r="AS369" s="104">
        <f>AJ370/94</f>
        <v/>
      </c>
      <c r="AT369" s="105">
        <f>AI370/24</f>
        <v/>
      </c>
      <c r="AU369" s="105">
        <f>AJ370/24</f>
        <v/>
      </c>
      <c r="AV369" s="105">
        <f>AI370/125</f>
        <v/>
      </c>
      <c r="AW369" s="105">
        <f>AJ370/125</f>
        <v/>
      </c>
      <c r="AX369" s="107" t="n"/>
      <c r="AY369" s="107" t="n"/>
    </row>
    <row r="370" ht="15.75" customHeight="1" s="258">
      <c r="A370" s="96" t="n"/>
      <c r="B370" s="96" t="inlineStr">
        <is>
          <t>Yin Yang / 7 in</t>
        </is>
      </c>
      <c r="C370" s="108" t="inlineStr">
        <is>
          <t>MI-SB-H-ET-YY-7</t>
        </is>
      </c>
      <c r="D370" s="94" t="n"/>
      <c r="E370" s="96" t="n">
        <v>125</v>
      </c>
      <c r="F370" s="96" t="n">
        <v>10</v>
      </c>
      <c r="G370" s="94" t="n">
        <v>83061000</v>
      </c>
      <c r="H370" s="97" t="n">
        <v>0.05</v>
      </c>
      <c r="I370" s="96">
        <f>D371*H371</f>
        <v/>
      </c>
      <c r="J370" s="107" t="n"/>
      <c r="K370" s="96">
        <f>D371*4%</f>
        <v/>
      </c>
      <c r="L370" s="98">
        <f>K371+J371+I371+F371+E371+D371</f>
        <v/>
      </c>
      <c r="M370" s="96">
        <f>D371*1%</f>
        <v/>
      </c>
      <c r="N370" s="99">
        <f>L371*8%</f>
        <v/>
      </c>
      <c r="O370" s="99">
        <f>L371*10%</f>
        <v/>
      </c>
      <c r="P370" s="99">
        <f>L371*5%</f>
        <v/>
      </c>
      <c r="Q370" s="99">
        <f>L371*2%</f>
        <v/>
      </c>
      <c r="R370" s="99">
        <f>AC371*0.5%</f>
        <v/>
      </c>
      <c r="S370" s="99">
        <f>L371*1%</f>
        <v/>
      </c>
      <c r="T370" s="100">
        <f>S371+Q371+P371+O371+N371+M371</f>
        <v/>
      </c>
      <c r="U370" s="96">
        <f>AC371*1%</f>
        <v/>
      </c>
      <c r="V370" s="44">
        <f>AC371*5%</f>
        <v/>
      </c>
      <c r="W370" s="96">
        <f>AC371*1%</f>
        <v/>
      </c>
      <c r="X370" s="96">
        <f>AC371*8%</f>
        <v/>
      </c>
      <c r="Y370" s="96">
        <f>U371+V371+W371+X371</f>
        <v/>
      </c>
      <c r="Z370" s="100">
        <f>Y371+T371+L371</f>
        <v/>
      </c>
      <c r="AA370" s="101">
        <f>Z371*20%</f>
        <v/>
      </c>
      <c r="AB370" s="99">
        <f>Z371+AA371</f>
        <v/>
      </c>
      <c r="AC370" s="96">
        <f>D371*2.1</f>
        <v/>
      </c>
      <c r="AD370" s="99">
        <f>AB371-AC371</f>
        <v/>
      </c>
      <c r="AE370" s="99">
        <f>AD371/AB371*100</f>
        <v/>
      </c>
      <c r="AF370" s="107" t="n"/>
      <c r="AG370" s="102">
        <f>((AF371-L371)/L371)*100</f>
        <v/>
      </c>
      <c r="AH370" s="106">
        <f>AJ371-AF371</f>
        <v/>
      </c>
      <c r="AI370" s="106">
        <f>AB371</f>
        <v/>
      </c>
      <c r="AJ370" s="106">
        <f>AI371-(AI371*7%)</f>
        <v/>
      </c>
      <c r="AK370" s="14">
        <f>(AJ371-L371)/L371*100</f>
        <v/>
      </c>
      <c r="AL370" s="14" t="n"/>
      <c r="AM370" s="14">
        <f>AH371/AJ371%</f>
        <v/>
      </c>
      <c r="AN370" s="14">
        <f>AK371-AG371</f>
        <v/>
      </c>
      <c r="AO370" s="103">
        <f>AJ371/L371</f>
        <v/>
      </c>
      <c r="AP370" s="14">
        <f>(AJ371-AB371)/100</f>
        <v/>
      </c>
      <c r="AQ370" s="14">
        <f>(AJ371-AC371)/100</f>
        <v/>
      </c>
      <c r="AR370" s="104">
        <f>AI371/94</f>
        <v/>
      </c>
      <c r="AS370" s="104">
        <f>AJ371/94</f>
        <v/>
      </c>
      <c r="AT370" s="105">
        <f>AI371/24</f>
        <v/>
      </c>
      <c r="AU370" s="105">
        <f>AJ371/24</f>
        <v/>
      </c>
      <c r="AV370" s="105">
        <f>AI371/125</f>
        <v/>
      </c>
      <c r="AW370" s="105">
        <f>AJ371/125</f>
        <v/>
      </c>
      <c r="AX370" s="107" t="n"/>
      <c r="AY370" s="107" t="n"/>
    </row>
    <row r="371" ht="15.75" customHeight="1" s="258">
      <c r="A371" s="96" t="n"/>
      <c r="B371" s="96" t="inlineStr">
        <is>
          <t>8 in / Yin Yang</t>
        </is>
      </c>
      <c r="C371" s="108" t="inlineStr">
        <is>
          <t>MI-SB-H-ET-YY-8</t>
        </is>
      </c>
      <c r="D371" s="94" t="n"/>
      <c r="E371" s="96" t="n">
        <v>145</v>
      </c>
      <c r="F371" s="96" t="n">
        <v>10</v>
      </c>
      <c r="G371" s="94" t="n">
        <v>83061000</v>
      </c>
      <c r="H371" s="97" t="n">
        <v>0.05</v>
      </c>
      <c r="I371" s="96">
        <f>D372*H372</f>
        <v/>
      </c>
      <c r="J371" s="107" t="n"/>
      <c r="K371" s="96">
        <f>D372*4%</f>
        <v/>
      </c>
      <c r="L371" s="98">
        <f>K372+J372+I372+F372+E372+D372</f>
        <v/>
      </c>
      <c r="M371" s="96">
        <f>D372*1%</f>
        <v/>
      </c>
      <c r="N371" s="99">
        <f>L372*8%</f>
        <v/>
      </c>
      <c r="O371" s="99">
        <f>L372*10%</f>
        <v/>
      </c>
      <c r="P371" s="99">
        <f>L372*5%</f>
        <v/>
      </c>
      <c r="Q371" s="99">
        <f>L372*2%</f>
        <v/>
      </c>
      <c r="R371" s="99">
        <f>AC372*0.5%</f>
        <v/>
      </c>
      <c r="S371" s="99">
        <f>L372*1%</f>
        <v/>
      </c>
      <c r="T371" s="100">
        <f>S372+Q372+P372+O372+N372+M372</f>
        <v/>
      </c>
      <c r="U371" s="96">
        <f>AC372*1%</f>
        <v/>
      </c>
      <c r="V371" s="44">
        <f>AC372*5%</f>
        <v/>
      </c>
      <c r="W371" s="96">
        <f>AC372*1%</f>
        <v/>
      </c>
      <c r="X371" s="96">
        <f>AC372*8%</f>
        <v/>
      </c>
      <c r="Y371" s="96">
        <f>U372+V372+W372+X372</f>
        <v/>
      </c>
      <c r="Z371" s="100">
        <f>Y372+T372+L372</f>
        <v/>
      </c>
      <c r="AA371" s="101">
        <f>Z372*20%</f>
        <v/>
      </c>
      <c r="AB371" s="99">
        <f>Z372+AA372</f>
        <v/>
      </c>
      <c r="AC371" s="96">
        <f>D372*2.1</f>
        <v/>
      </c>
      <c r="AD371" s="99">
        <f>AB372-AC372</f>
        <v/>
      </c>
      <c r="AE371" s="99">
        <f>AD372/AB372*100</f>
        <v/>
      </c>
      <c r="AF371" s="107" t="n"/>
      <c r="AG371" s="102">
        <f>((AF372-L372)/L372)*100</f>
        <v/>
      </c>
      <c r="AH371" s="106">
        <f>AJ372-AF372</f>
        <v/>
      </c>
      <c r="AI371" s="106">
        <f>AB372</f>
        <v/>
      </c>
      <c r="AJ371" s="106">
        <f>AI372-(AI372*7%)</f>
        <v/>
      </c>
      <c r="AK371" s="14">
        <f>(AJ372-L372)/L372*100</f>
        <v/>
      </c>
      <c r="AL371" s="14" t="n"/>
      <c r="AM371" s="14">
        <f>AH372/AJ372%</f>
        <v/>
      </c>
      <c r="AN371" s="14">
        <f>AK372-AG372</f>
        <v/>
      </c>
      <c r="AO371" s="103">
        <f>AJ372/L372</f>
        <v/>
      </c>
      <c r="AP371" s="14">
        <f>(AJ372-AB372)/100</f>
        <v/>
      </c>
      <c r="AQ371" s="14">
        <f>(AJ372-AC372)/100</f>
        <v/>
      </c>
      <c r="AR371" s="104">
        <f>AI372/94</f>
        <v/>
      </c>
      <c r="AS371" s="104">
        <f>AJ372/94</f>
        <v/>
      </c>
      <c r="AT371" s="105">
        <f>AI372/24</f>
        <v/>
      </c>
      <c r="AU371" s="105">
        <f>AJ372/24</f>
        <v/>
      </c>
      <c r="AV371" s="105">
        <f>AI372/125</f>
        <v/>
      </c>
      <c r="AW371" s="105">
        <f>AJ372/125</f>
        <v/>
      </c>
      <c r="AX371" s="107" t="n"/>
      <c r="AY371" s="107" t="n"/>
    </row>
    <row r="372" ht="15.75" customHeight="1" s="258">
      <c r="A372" s="96" t="n"/>
      <c r="B372" s="96" t="inlineStr">
        <is>
          <t>Yin Yang / 9 in</t>
        </is>
      </c>
      <c r="C372" s="108" t="inlineStr">
        <is>
          <t>MI-SB-H-ET-YY-9</t>
        </is>
      </c>
      <c r="D372" s="94" t="n"/>
      <c r="E372" s="96" t="n">
        <v>145</v>
      </c>
      <c r="F372" s="96" t="n">
        <v>10</v>
      </c>
      <c r="G372" s="94" t="n">
        <v>83061000</v>
      </c>
      <c r="H372" s="97" t="n">
        <v>0.05</v>
      </c>
      <c r="I372" s="96">
        <f>D373*H373</f>
        <v/>
      </c>
      <c r="J372" s="107" t="n"/>
      <c r="K372" s="96">
        <f>D373*4%</f>
        <v/>
      </c>
      <c r="L372" s="98">
        <f>K373+J373+I373+F373+E373+D373</f>
        <v/>
      </c>
      <c r="M372" s="96">
        <f>D373*1%</f>
        <v/>
      </c>
      <c r="N372" s="99">
        <f>L373*8%</f>
        <v/>
      </c>
      <c r="O372" s="99">
        <f>L373*10%</f>
        <v/>
      </c>
      <c r="P372" s="99">
        <f>L373*5%</f>
        <v/>
      </c>
      <c r="Q372" s="99">
        <f>L373*2%</f>
        <v/>
      </c>
      <c r="R372" s="99">
        <f>AC373*0.5%</f>
        <v/>
      </c>
      <c r="S372" s="99">
        <f>L373*1%</f>
        <v/>
      </c>
      <c r="T372" s="100">
        <f>S373+Q373+P373+O373+N373+M373</f>
        <v/>
      </c>
      <c r="U372" s="96">
        <f>AC373*1%</f>
        <v/>
      </c>
      <c r="V372" s="44">
        <f>AC373*5%</f>
        <v/>
      </c>
      <c r="W372" s="96">
        <f>AC373*1%</f>
        <v/>
      </c>
      <c r="X372" s="96">
        <f>AC373*8%</f>
        <v/>
      </c>
      <c r="Y372" s="96">
        <f>U373+V373+W373+X373</f>
        <v/>
      </c>
      <c r="Z372" s="100">
        <f>Y373+T373+L373</f>
        <v/>
      </c>
      <c r="AA372" s="101">
        <f>Z373*20%</f>
        <v/>
      </c>
      <c r="AB372" s="99">
        <f>Z373+AA373</f>
        <v/>
      </c>
      <c r="AC372" s="96">
        <f>D373*2.1</f>
        <v/>
      </c>
      <c r="AD372" s="99">
        <f>AB373-AC373</f>
        <v/>
      </c>
      <c r="AE372" s="99">
        <f>AD373/AB373*100</f>
        <v/>
      </c>
      <c r="AF372" s="107" t="n"/>
      <c r="AG372" s="102">
        <f>((AF373-L373)/L373)*100</f>
        <v/>
      </c>
      <c r="AH372" s="106">
        <f>AJ373-AF373</f>
        <v/>
      </c>
      <c r="AI372" s="106">
        <f>AB373</f>
        <v/>
      </c>
      <c r="AJ372" s="106">
        <f>AI373-(AI373*7%)</f>
        <v/>
      </c>
      <c r="AK372" s="14">
        <f>(AJ373-L373)/L373*100</f>
        <v/>
      </c>
      <c r="AL372" s="14" t="n"/>
      <c r="AM372" s="14">
        <f>AH373/AJ373%</f>
        <v/>
      </c>
      <c r="AN372" s="14">
        <f>AK373-AG373</f>
        <v/>
      </c>
      <c r="AO372" s="103">
        <f>AJ373/L373</f>
        <v/>
      </c>
      <c r="AP372" s="14">
        <f>(AJ373-AB373)/100</f>
        <v/>
      </c>
      <c r="AQ372" s="14">
        <f>(AJ373-AC373)/100</f>
        <v/>
      </c>
      <c r="AR372" s="104">
        <f>AI373/94</f>
        <v/>
      </c>
      <c r="AS372" s="104">
        <f>AJ373/94</f>
        <v/>
      </c>
      <c r="AT372" s="105">
        <f>AI373/24</f>
        <v/>
      </c>
      <c r="AU372" s="105">
        <f>AJ373/24</f>
        <v/>
      </c>
      <c r="AV372" s="105">
        <f>AI373/125</f>
        <v/>
      </c>
      <c r="AW372" s="105">
        <f>AJ373/125</f>
        <v/>
      </c>
      <c r="AX372" s="107" t="n"/>
      <c r="AY372" s="107" t="n"/>
    </row>
    <row r="373" ht="15.75" customHeight="1" s="258">
      <c r="A373" s="96" t="n"/>
      <c r="B373" s="96" t="inlineStr">
        <is>
          <t>Yin Yang / 10 in</t>
        </is>
      </c>
      <c r="C373" s="108" t="inlineStr">
        <is>
          <t>MI-SB-H-ET-YY-10</t>
        </is>
      </c>
      <c r="D373" s="94" t="n"/>
      <c r="E373" s="96" t="n">
        <v>145</v>
      </c>
      <c r="F373" s="96" t="n">
        <v>10</v>
      </c>
      <c r="G373" s="94" t="n">
        <v>83061000</v>
      </c>
      <c r="H373" s="97" t="n">
        <v>0.05</v>
      </c>
      <c r="I373" s="96">
        <f>D374*H374</f>
        <v/>
      </c>
      <c r="J373" s="107" t="n"/>
      <c r="K373" s="96">
        <f>D374*4%</f>
        <v/>
      </c>
      <c r="L373" s="98">
        <f>K374+J374+I374+F374+E374+D374</f>
        <v/>
      </c>
      <c r="M373" s="96">
        <f>D374*1%</f>
        <v/>
      </c>
      <c r="N373" s="99">
        <f>L374*8%</f>
        <v/>
      </c>
      <c r="O373" s="99">
        <f>L374*10%</f>
        <v/>
      </c>
      <c r="P373" s="99">
        <f>L374*5%</f>
        <v/>
      </c>
      <c r="Q373" s="99">
        <f>L374*2%</f>
        <v/>
      </c>
      <c r="R373" s="99">
        <f>AC374*0.5%</f>
        <v/>
      </c>
      <c r="S373" s="99">
        <f>L374*1%</f>
        <v/>
      </c>
      <c r="T373" s="100">
        <f>S374+Q374+P374+O374+N374+M374</f>
        <v/>
      </c>
      <c r="U373" s="96">
        <f>AC374*1%</f>
        <v/>
      </c>
      <c r="V373" s="44">
        <f>AC374*5%</f>
        <v/>
      </c>
      <c r="W373" s="96">
        <f>AC374*1%</f>
        <v/>
      </c>
      <c r="X373" s="96">
        <f>AC374*8%</f>
        <v/>
      </c>
      <c r="Y373" s="96">
        <f>U374+V374+W374+X374</f>
        <v/>
      </c>
      <c r="Z373" s="100">
        <f>Y374+T374+L374</f>
        <v/>
      </c>
      <c r="AA373" s="101">
        <f>Z374*20%</f>
        <v/>
      </c>
      <c r="AB373" s="99">
        <f>Z374+AA374</f>
        <v/>
      </c>
      <c r="AC373" s="96">
        <f>D374*2.1</f>
        <v/>
      </c>
      <c r="AD373" s="99">
        <f>AB374-AC374</f>
        <v/>
      </c>
      <c r="AE373" s="99">
        <f>AD374/AB374*100</f>
        <v/>
      </c>
      <c r="AF373" s="107" t="n"/>
      <c r="AG373" s="102">
        <f>((AF374-L374)/L374)*100</f>
        <v/>
      </c>
      <c r="AH373" s="106">
        <f>AJ374-AF374</f>
        <v/>
      </c>
      <c r="AI373" s="106">
        <f>AB374</f>
        <v/>
      </c>
      <c r="AJ373" s="106">
        <f>AI374-(AI374*7%)</f>
        <v/>
      </c>
      <c r="AK373" s="14">
        <f>(AJ374-L374)/L374*100</f>
        <v/>
      </c>
      <c r="AL373" s="14" t="n"/>
      <c r="AM373" s="14">
        <f>AH374/AJ374%</f>
        <v/>
      </c>
      <c r="AN373" s="14">
        <f>AK374-AG374</f>
        <v/>
      </c>
      <c r="AO373" s="103">
        <f>AJ374/L374</f>
        <v/>
      </c>
      <c r="AP373" s="14">
        <f>(AJ374-AB374)/100</f>
        <v/>
      </c>
      <c r="AQ373" s="14">
        <f>(AJ374-AC374)/100</f>
        <v/>
      </c>
      <c r="AR373" s="104">
        <f>AI374/94</f>
        <v/>
      </c>
      <c r="AS373" s="104">
        <f>AJ374/94</f>
        <v/>
      </c>
      <c r="AT373" s="105">
        <f>AI374/24</f>
        <v/>
      </c>
      <c r="AU373" s="105">
        <f>AJ374/24</f>
        <v/>
      </c>
      <c r="AV373" s="105">
        <f>AI374/125</f>
        <v/>
      </c>
      <c r="AW373" s="105">
        <f>AJ374/125</f>
        <v/>
      </c>
      <c r="AX373" s="107" t="n"/>
      <c r="AY373" s="107" t="n"/>
    </row>
    <row r="374" ht="15.75" customHeight="1" s="258">
      <c r="A374" s="96" t="n"/>
      <c r="B374" s="96" t="inlineStr">
        <is>
          <t>Yin Yang / 11 in</t>
        </is>
      </c>
      <c r="C374" s="108" t="inlineStr">
        <is>
          <t>MI-SB-H-ET-YY-11</t>
        </is>
      </c>
      <c r="D374" s="94" t="n"/>
      <c r="E374" s="96" t="n">
        <v>145</v>
      </c>
      <c r="F374" s="96" t="n">
        <v>10</v>
      </c>
      <c r="G374" s="94" t="n">
        <v>83061000</v>
      </c>
      <c r="H374" s="97" t="n">
        <v>0.05</v>
      </c>
      <c r="I374" s="96">
        <f>D375*H375</f>
        <v/>
      </c>
      <c r="J374" s="107" t="n"/>
      <c r="K374" s="96">
        <f>D375*4%</f>
        <v/>
      </c>
      <c r="L374" s="98">
        <f>K375+J375+I375+F375+E375+D375</f>
        <v/>
      </c>
      <c r="M374" s="96">
        <f>D375*1%</f>
        <v/>
      </c>
      <c r="N374" s="99">
        <f>L375*8%</f>
        <v/>
      </c>
      <c r="O374" s="99">
        <f>L375*10%</f>
        <v/>
      </c>
      <c r="P374" s="99">
        <f>L375*5%</f>
        <v/>
      </c>
      <c r="Q374" s="99">
        <f>L375*2%</f>
        <v/>
      </c>
      <c r="R374" s="99">
        <f>AC375*0.5%</f>
        <v/>
      </c>
      <c r="S374" s="99">
        <f>L375*1%</f>
        <v/>
      </c>
      <c r="T374" s="100">
        <f>S375+Q375+P375+O375+N375+M375</f>
        <v/>
      </c>
      <c r="U374" s="96">
        <f>AC375*1%</f>
        <v/>
      </c>
      <c r="V374" s="44">
        <f>AC375*5%</f>
        <v/>
      </c>
      <c r="W374" s="96">
        <f>AC375*1%</f>
        <v/>
      </c>
      <c r="X374" s="96">
        <f>AC375*8%</f>
        <v/>
      </c>
      <c r="Y374" s="96">
        <f>U375+V375+W375+X375</f>
        <v/>
      </c>
      <c r="Z374" s="100">
        <f>Y375+T375+L375</f>
        <v/>
      </c>
      <c r="AA374" s="101">
        <f>Z375*20%</f>
        <v/>
      </c>
      <c r="AB374" s="99">
        <f>Z375+AA375</f>
        <v/>
      </c>
      <c r="AC374" s="96">
        <f>D375*2.1</f>
        <v/>
      </c>
      <c r="AD374" s="99">
        <f>AB375-AC375</f>
        <v/>
      </c>
      <c r="AE374" s="99">
        <f>AD375/AB375*100</f>
        <v/>
      </c>
      <c r="AF374" s="107" t="n"/>
      <c r="AG374" s="102">
        <f>((AF375-L375)/L375)*100</f>
        <v/>
      </c>
      <c r="AH374" s="106">
        <f>AJ375-AF375</f>
        <v/>
      </c>
      <c r="AI374" s="106">
        <f>AB375</f>
        <v/>
      </c>
      <c r="AJ374" s="106">
        <f>AI375-(AI375*7%)</f>
        <v/>
      </c>
      <c r="AK374" s="14">
        <f>(AJ375-L375)/L375*100</f>
        <v/>
      </c>
      <c r="AL374" s="14" t="n"/>
      <c r="AM374" s="14">
        <f>AH375/AJ375%</f>
        <v/>
      </c>
      <c r="AN374" s="14">
        <f>AK375-AG375</f>
        <v/>
      </c>
      <c r="AO374" s="103">
        <f>AJ375/L375</f>
        <v/>
      </c>
      <c r="AP374" s="14">
        <f>(AJ375-AB375)/100</f>
        <v/>
      </c>
      <c r="AQ374" s="14">
        <f>(AJ375-AC375)/100</f>
        <v/>
      </c>
      <c r="AR374" s="104">
        <f>AI375/94</f>
        <v/>
      </c>
      <c r="AS374" s="104">
        <f>AJ375/94</f>
        <v/>
      </c>
      <c r="AT374" s="105">
        <f>AI375/24</f>
        <v/>
      </c>
      <c r="AU374" s="105">
        <f>AJ375/24</f>
        <v/>
      </c>
      <c r="AV374" s="105">
        <f>AI375/125</f>
        <v/>
      </c>
      <c r="AW374" s="105">
        <f>AJ375/125</f>
        <v/>
      </c>
      <c r="AX374" s="107" t="n"/>
      <c r="AY374" s="107" t="n"/>
    </row>
    <row r="375" ht="15.75" customHeight="1" s="258">
      <c r="A375" s="96" t="n"/>
      <c r="B375" s="96" t="inlineStr">
        <is>
          <t>Yin Yang / 12 in</t>
        </is>
      </c>
      <c r="C375" s="108" t="inlineStr">
        <is>
          <t>MI-SB-H-ET-YY-12</t>
        </is>
      </c>
      <c r="D375" s="94" t="n"/>
      <c r="E375" s="96" t="n">
        <v>145</v>
      </c>
      <c r="F375" s="96" t="n">
        <v>10</v>
      </c>
      <c r="G375" s="94" t="n">
        <v>83061000</v>
      </c>
      <c r="H375" s="97" t="n">
        <v>0.05</v>
      </c>
      <c r="I375" s="96">
        <f>D376*H376</f>
        <v/>
      </c>
      <c r="J375" s="107" t="n"/>
      <c r="K375" s="96">
        <f>D376*4%</f>
        <v/>
      </c>
      <c r="L375" s="98">
        <f>K376+J376+I376+F376+E376+D376</f>
        <v/>
      </c>
      <c r="M375" s="96">
        <f>D376*1%</f>
        <v/>
      </c>
      <c r="N375" s="99">
        <f>L376*8%</f>
        <v/>
      </c>
      <c r="O375" s="99">
        <f>L376*10%</f>
        <v/>
      </c>
      <c r="P375" s="99">
        <f>L376*5%</f>
        <v/>
      </c>
      <c r="Q375" s="99">
        <f>L376*2%</f>
        <v/>
      </c>
      <c r="R375" s="99">
        <f>AC376*0.5%</f>
        <v/>
      </c>
      <c r="S375" s="99">
        <f>L376*1%</f>
        <v/>
      </c>
      <c r="T375" s="100">
        <f>S376+Q376+P376+O376+N376+M376</f>
        <v/>
      </c>
      <c r="U375" s="96">
        <f>AC376*1%</f>
        <v/>
      </c>
      <c r="V375" s="44">
        <f>AC376*5%</f>
        <v/>
      </c>
      <c r="W375" s="96">
        <f>AC376*1%</f>
        <v/>
      </c>
      <c r="X375" s="96">
        <f>AC376*8%</f>
        <v/>
      </c>
      <c r="Y375" s="96">
        <f>U376+V376+W376+X376</f>
        <v/>
      </c>
      <c r="Z375" s="100">
        <f>Y376+T376+L376</f>
        <v/>
      </c>
      <c r="AA375" s="101">
        <f>Z376*20%</f>
        <v/>
      </c>
      <c r="AB375" s="99">
        <f>Z376+AA376</f>
        <v/>
      </c>
      <c r="AC375" s="96">
        <f>D376*2.1</f>
        <v/>
      </c>
      <c r="AD375" s="99">
        <f>AB376-AC376</f>
        <v/>
      </c>
      <c r="AE375" s="99">
        <f>AD376/AB376*100</f>
        <v/>
      </c>
      <c r="AF375" s="107" t="n"/>
      <c r="AG375" s="102">
        <f>((AF376-L376)/L376)*100</f>
        <v/>
      </c>
      <c r="AH375" s="106">
        <f>AJ376-AF376</f>
        <v/>
      </c>
      <c r="AI375" s="106">
        <f>AB376</f>
        <v/>
      </c>
      <c r="AJ375" s="106">
        <f>AI376-(AI376*7%)</f>
        <v/>
      </c>
      <c r="AK375" s="14">
        <f>(AJ376-L376)/L376*100</f>
        <v/>
      </c>
      <c r="AL375" s="14" t="n"/>
      <c r="AM375" s="14">
        <f>AH376/AJ376%</f>
        <v/>
      </c>
      <c r="AN375" s="14">
        <f>AK376-AG376</f>
        <v/>
      </c>
      <c r="AO375" s="103">
        <f>AJ376/L376</f>
        <v/>
      </c>
      <c r="AP375" s="14">
        <f>(AJ376-AB376)/100</f>
        <v/>
      </c>
      <c r="AQ375" s="14">
        <f>(AJ376-AC376)/100</f>
        <v/>
      </c>
      <c r="AR375" s="104">
        <f>AI376/94</f>
        <v/>
      </c>
      <c r="AS375" s="104">
        <f>AJ376/94</f>
        <v/>
      </c>
      <c r="AT375" s="105">
        <f>AI376/24</f>
        <v/>
      </c>
      <c r="AU375" s="105">
        <f>AJ376/24</f>
        <v/>
      </c>
      <c r="AV375" s="105">
        <f>AI376/125</f>
        <v/>
      </c>
      <c r="AW375" s="105">
        <f>AJ376/125</f>
        <v/>
      </c>
      <c r="AX375" s="107" t="n"/>
      <c r="AY375" s="107" t="n"/>
    </row>
    <row r="376" ht="15.75" customHeight="1" s="258">
      <c r="A376" s="96" t="n"/>
      <c r="B376" s="96" t="inlineStr">
        <is>
          <t>6 in / Mantra</t>
        </is>
      </c>
      <c r="C376" s="108" t="inlineStr">
        <is>
          <t>MI-SB-H-ET-M-6</t>
        </is>
      </c>
      <c r="D376" s="94" t="n"/>
      <c r="E376" s="96" t="n">
        <v>125</v>
      </c>
      <c r="F376" s="96" t="n">
        <v>10</v>
      </c>
      <c r="G376" s="94" t="n">
        <v>83061000</v>
      </c>
      <c r="H376" s="97" t="n">
        <v>0.05</v>
      </c>
      <c r="I376" s="96">
        <f>D377*H377</f>
        <v/>
      </c>
      <c r="J376" s="107" t="n"/>
      <c r="K376" s="96">
        <f>D377*4%</f>
        <v/>
      </c>
      <c r="L376" s="98">
        <f>K377+J377+I377+F377+E377+D377</f>
        <v/>
      </c>
      <c r="M376" s="96">
        <f>D377*1%</f>
        <v/>
      </c>
      <c r="N376" s="99">
        <f>L377*8%</f>
        <v/>
      </c>
      <c r="O376" s="99">
        <f>L377*10%</f>
        <v/>
      </c>
      <c r="P376" s="99">
        <f>L377*5%</f>
        <v/>
      </c>
      <c r="Q376" s="99">
        <f>L377*2%</f>
        <v/>
      </c>
      <c r="R376" s="99">
        <f>AC377*0.5%</f>
        <v/>
      </c>
      <c r="S376" s="99">
        <f>L377*1%</f>
        <v/>
      </c>
      <c r="T376" s="100">
        <f>S377+Q377+P377+O377+N377+M377</f>
        <v/>
      </c>
      <c r="U376" s="96">
        <f>AC377*1%</f>
        <v/>
      </c>
      <c r="V376" s="44">
        <f>AC377*5%</f>
        <v/>
      </c>
      <c r="W376" s="96">
        <f>AC377*1%</f>
        <v/>
      </c>
      <c r="X376" s="96">
        <f>AC377*8%</f>
        <v/>
      </c>
      <c r="Y376" s="96">
        <f>U377+V377+W377+X377</f>
        <v/>
      </c>
      <c r="Z376" s="100">
        <f>Y377+T377+L377</f>
        <v/>
      </c>
      <c r="AA376" s="101">
        <f>Z377*20%</f>
        <v/>
      </c>
      <c r="AB376" s="99">
        <f>Z377+AA377</f>
        <v/>
      </c>
      <c r="AC376" s="96">
        <f>D377*2.1</f>
        <v/>
      </c>
      <c r="AD376" s="99">
        <f>AB377-AC377</f>
        <v/>
      </c>
      <c r="AE376" s="99">
        <f>AD377/AB377*100</f>
        <v/>
      </c>
      <c r="AF376" s="107" t="n"/>
      <c r="AG376" s="102">
        <f>((AF377-L377)/L377)*100</f>
        <v/>
      </c>
      <c r="AH376" s="106">
        <f>AJ377-AF377</f>
        <v/>
      </c>
      <c r="AI376" s="106">
        <f>AB377</f>
        <v/>
      </c>
      <c r="AJ376" s="106">
        <f>AI377-(AI377*7%)</f>
        <v/>
      </c>
      <c r="AK376" s="14">
        <f>(AJ377-L377)/L377*100</f>
        <v/>
      </c>
      <c r="AL376" s="14" t="n"/>
      <c r="AM376" s="14">
        <f>AH377/AJ377%</f>
        <v/>
      </c>
      <c r="AN376" s="14">
        <f>AK377-AG377</f>
        <v/>
      </c>
      <c r="AO376" s="103">
        <f>AJ377/L377</f>
        <v/>
      </c>
      <c r="AP376" s="14">
        <f>(AJ377-AB377)/100</f>
        <v/>
      </c>
      <c r="AQ376" s="14">
        <f>(AJ377-AC377)/100</f>
        <v/>
      </c>
      <c r="AR376" s="104">
        <f>AI377/94</f>
        <v/>
      </c>
      <c r="AS376" s="104">
        <f>AJ377/94</f>
        <v/>
      </c>
      <c r="AT376" s="105">
        <f>AI377/24</f>
        <v/>
      </c>
      <c r="AU376" s="105">
        <f>AJ377/24</f>
        <v/>
      </c>
      <c r="AV376" s="105">
        <f>AI377/125</f>
        <v/>
      </c>
      <c r="AW376" s="105">
        <f>AJ377/125</f>
        <v/>
      </c>
      <c r="AX376" s="107" t="n"/>
      <c r="AY376" s="107" t="n"/>
    </row>
    <row r="377" ht="15.75" customHeight="1" s="258">
      <c r="A377" s="96" t="n"/>
      <c r="B377" s="96" t="inlineStr">
        <is>
          <t>7 in / Mantra</t>
        </is>
      </c>
      <c r="C377" s="108" t="inlineStr">
        <is>
          <t>MI-SB-H-ET-M-7</t>
        </is>
      </c>
      <c r="D377" s="94" t="n"/>
      <c r="E377" s="96" t="n">
        <v>125</v>
      </c>
      <c r="F377" s="96" t="n">
        <v>10</v>
      </c>
      <c r="G377" s="94" t="n">
        <v>83061000</v>
      </c>
      <c r="H377" s="97" t="n">
        <v>0.05</v>
      </c>
      <c r="I377" s="96">
        <f>D378*H378</f>
        <v/>
      </c>
      <c r="J377" s="107" t="n"/>
      <c r="K377" s="96">
        <f>D378*4%</f>
        <v/>
      </c>
      <c r="L377" s="98">
        <f>K378+J378+I378+F378+E378+D378</f>
        <v/>
      </c>
      <c r="M377" s="96">
        <f>D378*1%</f>
        <v/>
      </c>
      <c r="N377" s="99">
        <f>L378*8%</f>
        <v/>
      </c>
      <c r="O377" s="99">
        <f>L378*10%</f>
        <v/>
      </c>
      <c r="P377" s="99">
        <f>L378*5%</f>
        <v/>
      </c>
      <c r="Q377" s="99">
        <f>L378*2%</f>
        <v/>
      </c>
      <c r="R377" s="99">
        <f>AC378*0.5%</f>
        <v/>
      </c>
      <c r="S377" s="99">
        <f>L378*1%</f>
        <v/>
      </c>
      <c r="T377" s="100">
        <f>S378+Q378+P378+O378+N378+M378</f>
        <v/>
      </c>
      <c r="U377" s="96">
        <f>AC378*1%</f>
        <v/>
      </c>
      <c r="V377" s="44">
        <f>AC378*5%</f>
        <v/>
      </c>
      <c r="W377" s="96">
        <f>AC378*1%</f>
        <v/>
      </c>
      <c r="X377" s="96">
        <f>AC378*8%</f>
        <v/>
      </c>
      <c r="Y377" s="96">
        <f>U378+V378+W378+X378</f>
        <v/>
      </c>
      <c r="Z377" s="100">
        <f>Y378+T378+L378</f>
        <v/>
      </c>
      <c r="AA377" s="101">
        <f>Z378*20%</f>
        <v/>
      </c>
      <c r="AB377" s="99">
        <f>Z378+AA378</f>
        <v/>
      </c>
      <c r="AC377" s="96">
        <f>D378*2.1</f>
        <v/>
      </c>
      <c r="AD377" s="99">
        <f>AB378-AC378</f>
        <v/>
      </c>
      <c r="AE377" s="99">
        <f>AD378/AB378*100</f>
        <v/>
      </c>
      <c r="AF377" s="107" t="n"/>
      <c r="AG377" s="102">
        <f>((AF378-L378)/L378)*100</f>
        <v/>
      </c>
      <c r="AH377" s="106">
        <f>AJ378-AF378</f>
        <v/>
      </c>
      <c r="AI377" s="106">
        <f>AB378</f>
        <v/>
      </c>
      <c r="AJ377" s="106">
        <f>AI378-(AI378*7%)</f>
        <v/>
      </c>
      <c r="AK377" s="14">
        <f>(AJ378-L378)/L378*100</f>
        <v/>
      </c>
      <c r="AL377" s="14" t="n"/>
      <c r="AM377" s="14">
        <f>AH378/AJ378%</f>
        <v/>
      </c>
      <c r="AN377" s="14">
        <f>AK378-AG378</f>
        <v/>
      </c>
      <c r="AO377" s="103">
        <f>AJ378/L378</f>
        <v/>
      </c>
      <c r="AP377" s="14">
        <f>(AJ378-AB378)/100</f>
        <v/>
      </c>
      <c r="AQ377" s="14">
        <f>(AJ378-AC378)/100</f>
        <v/>
      </c>
      <c r="AR377" s="104">
        <f>AI378/94</f>
        <v/>
      </c>
      <c r="AS377" s="104">
        <f>AJ378/94</f>
        <v/>
      </c>
      <c r="AT377" s="105">
        <f>AI378/24</f>
        <v/>
      </c>
      <c r="AU377" s="105">
        <f>AJ378/24</f>
        <v/>
      </c>
      <c r="AV377" s="105">
        <f>AI378/125</f>
        <v/>
      </c>
      <c r="AW377" s="105">
        <f>AJ378/125</f>
        <v/>
      </c>
      <c r="AX377" s="107" t="n"/>
      <c r="AY377" s="107" t="n"/>
    </row>
    <row r="378" ht="15.75" customHeight="1" s="258">
      <c r="A378" s="96" t="n"/>
      <c r="B378" s="96" t="inlineStr">
        <is>
          <t>8 in / Mantra</t>
        </is>
      </c>
      <c r="C378" s="108" t="inlineStr">
        <is>
          <t>MI-SB-H-ET-M-8</t>
        </is>
      </c>
      <c r="D378" s="94" t="n"/>
      <c r="E378" s="96" t="n">
        <v>145</v>
      </c>
      <c r="F378" s="96" t="n">
        <v>10</v>
      </c>
      <c r="G378" s="94" t="n">
        <v>83061000</v>
      </c>
      <c r="H378" s="97" t="n">
        <v>0.05</v>
      </c>
      <c r="I378" s="96">
        <f>D379*H379</f>
        <v/>
      </c>
      <c r="J378" s="107" t="n"/>
      <c r="K378" s="96">
        <f>D379*4%</f>
        <v/>
      </c>
      <c r="L378" s="98">
        <f>K379+J379+I379+F379+E379+D379</f>
        <v/>
      </c>
      <c r="M378" s="96">
        <f>D379*1%</f>
        <v/>
      </c>
      <c r="N378" s="99">
        <f>L379*8%</f>
        <v/>
      </c>
      <c r="O378" s="99">
        <f>L379*10%</f>
        <v/>
      </c>
      <c r="P378" s="99">
        <f>L379*5%</f>
        <v/>
      </c>
      <c r="Q378" s="99">
        <f>L379*2%</f>
        <v/>
      </c>
      <c r="R378" s="99">
        <f>AC379*0.5%</f>
        <v/>
      </c>
      <c r="S378" s="99">
        <f>L379*1%</f>
        <v/>
      </c>
      <c r="T378" s="100">
        <f>S379+Q379+P379+O379+N379+M379</f>
        <v/>
      </c>
      <c r="U378" s="96">
        <f>AC379*1%</f>
        <v/>
      </c>
      <c r="V378" s="44">
        <f>AC379*5%</f>
        <v/>
      </c>
      <c r="W378" s="96">
        <f>AC379*1%</f>
        <v/>
      </c>
      <c r="X378" s="96">
        <f>AC379*8%</f>
        <v/>
      </c>
      <c r="Y378" s="96">
        <f>U379+V379+W379+X379</f>
        <v/>
      </c>
      <c r="Z378" s="100">
        <f>Y379+T379+L379</f>
        <v/>
      </c>
      <c r="AA378" s="101">
        <f>Z379*20%</f>
        <v/>
      </c>
      <c r="AB378" s="99">
        <f>Z379+AA379</f>
        <v/>
      </c>
      <c r="AC378" s="96">
        <f>D379*2.1</f>
        <v/>
      </c>
      <c r="AD378" s="99">
        <f>AB379-AC379</f>
        <v/>
      </c>
      <c r="AE378" s="99">
        <f>AD379/AB379*100</f>
        <v/>
      </c>
      <c r="AF378" s="107" t="n"/>
      <c r="AG378" s="102">
        <f>((AF379-L379)/L379)*100</f>
        <v/>
      </c>
      <c r="AH378" s="106">
        <f>AJ379-AF379</f>
        <v/>
      </c>
      <c r="AI378" s="106">
        <f>AB379</f>
        <v/>
      </c>
      <c r="AJ378" s="106">
        <f>AI379-(AI379*7%)</f>
        <v/>
      </c>
      <c r="AK378" s="14">
        <f>(AJ379-L379)/L379*100</f>
        <v/>
      </c>
      <c r="AL378" s="14" t="n"/>
      <c r="AM378" s="14">
        <f>AH379/AJ379%</f>
        <v/>
      </c>
      <c r="AN378" s="14">
        <f>AK379-AG379</f>
        <v/>
      </c>
      <c r="AO378" s="103">
        <f>AJ379/L379</f>
        <v/>
      </c>
      <c r="AP378" s="14">
        <f>(AJ379-AB379)/100</f>
        <v/>
      </c>
      <c r="AQ378" s="14">
        <f>(AJ379-AC379)/100</f>
        <v/>
      </c>
      <c r="AR378" s="104">
        <f>AI379/94</f>
        <v/>
      </c>
      <c r="AS378" s="104">
        <f>AJ379/94</f>
        <v/>
      </c>
      <c r="AT378" s="105">
        <f>AI379/24</f>
        <v/>
      </c>
      <c r="AU378" s="105">
        <f>AJ379/24</f>
        <v/>
      </c>
      <c r="AV378" s="105">
        <f>AI379/125</f>
        <v/>
      </c>
      <c r="AW378" s="105">
        <f>AJ379/125</f>
        <v/>
      </c>
      <c r="AX378" s="107" t="n"/>
      <c r="AY378" s="107" t="n"/>
    </row>
    <row r="379" ht="15.75" customHeight="1" s="258">
      <c r="A379" s="96" t="n"/>
      <c r="B379" s="96" t="inlineStr">
        <is>
          <t>9 in / Mantra</t>
        </is>
      </c>
      <c r="C379" s="108" t="inlineStr">
        <is>
          <t>MI-SB-H-ET-M-9</t>
        </is>
      </c>
      <c r="D379" s="94" t="n"/>
      <c r="E379" s="96" t="n">
        <v>145</v>
      </c>
      <c r="F379" s="96" t="n">
        <v>10</v>
      </c>
      <c r="G379" s="94" t="n">
        <v>83061000</v>
      </c>
      <c r="H379" s="97" t="n">
        <v>0.05</v>
      </c>
      <c r="I379" s="96">
        <f>D380*H380</f>
        <v/>
      </c>
      <c r="J379" s="107" t="n"/>
      <c r="K379" s="96">
        <f>D380*4%</f>
        <v/>
      </c>
      <c r="L379" s="98">
        <f>K380+J380+I380+F380+E380+D380</f>
        <v/>
      </c>
      <c r="M379" s="96">
        <f>D380*1%</f>
        <v/>
      </c>
      <c r="N379" s="99">
        <f>L380*8%</f>
        <v/>
      </c>
      <c r="O379" s="99">
        <f>L380*10%</f>
        <v/>
      </c>
      <c r="P379" s="99">
        <f>L380*5%</f>
        <v/>
      </c>
      <c r="Q379" s="99">
        <f>L380*2%</f>
        <v/>
      </c>
      <c r="R379" s="99">
        <f>AC380*0.5%</f>
        <v/>
      </c>
      <c r="S379" s="99">
        <f>L380*1%</f>
        <v/>
      </c>
      <c r="T379" s="100">
        <f>S380+Q380+P380+O380+N380+M380</f>
        <v/>
      </c>
      <c r="U379" s="96">
        <f>AC380*1%</f>
        <v/>
      </c>
      <c r="V379" s="44">
        <f>AC380*5%</f>
        <v/>
      </c>
      <c r="W379" s="96">
        <f>AC380*1%</f>
        <v/>
      </c>
      <c r="X379" s="96">
        <f>AC380*8%</f>
        <v/>
      </c>
      <c r="Y379" s="96">
        <f>U380+V380+W380+X380</f>
        <v/>
      </c>
      <c r="Z379" s="100">
        <f>Y380+T380+L380</f>
        <v/>
      </c>
      <c r="AA379" s="101">
        <f>Z380*20%</f>
        <v/>
      </c>
      <c r="AB379" s="99">
        <f>Z380+AA380</f>
        <v/>
      </c>
      <c r="AC379" s="96">
        <f>D380*2.1</f>
        <v/>
      </c>
      <c r="AD379" s="99">
        <f>AB380-AC380</f>
        <v/>
      </c>
      <c r="AE379" s="99">
        <f>AD380/AB380*100</f>
        <v/>
      </c>
      <c r="AF379" s="107" t="n"/>
      <c r="AG379" s="102">
        <f>((AF380-L380)/L380)*100</f>
        <v/>
      </c>
      <c r="AH379" s="106">
        <f>AJ380-AF380</f>
        <v/>
      </c>
      <c r="AI379" s="106">
        <f>AB380</f>
        <v/>
      </c>
      <c r="AJ379" s="106">
        <f>AI380-(AI380*7%)</f>
        <v/>
      </c>
      <c r="AK379" s="14">
        <f>(AJ380-L380)/L380*100</f>
        <v/>
      </c>
      <c r="AL379" s="14" t="n"/>
      <c r="AM379" s="14">
        <f>AH380/AJ380%</f>
        <v/>
      </c>
      <c r="AN379" s="14">
        <f>AK380-AG380</f>
        <v/>
      </c>
      <c r="AO379" s="103">
        <f>AJ380/L380</f>
        <v/>
      </c>
      <c r="AP379" s="14">
        <f>(AJ380-AB380)/100</f>
        <v/>
      </c>
      <c r="AQ379" s="14">
        <f>(AJ380-AC380)/100</f>
        <v/>
      </c>
      <c r="AR379" s="104">
        <f>AI380/94</f>
        <v/>
      </c>
      <c r="AS379" s="104">
        <f>AJ380/94</f>
        <v/>
      </c>
      <c r="AT379" s="105">
        <f>AI380/24</f>
        <v/>
      </c>
      <c r="AU379" s="105">
        <f>AJ380/24</f>
        <v/>
      </c>
      <c r="AV379" s="105">
        <f>AI380/125</f>
        <v/>
      </c>
      <c r="AW379" s="105">
        <f>AJ380/125</f>
        <v/>
      </c>
      <c r="AX379" s="107" t="n"/>
      <c r="AY379" s="107" t="n"/>
    </row>
    <row r="380" ht="15.75" customHeight="1" s="258">
      <c r="A380" s="96" t="n"/>
      <c r="B380" s="96" t="inlineStr">
        <is>
          <t>10 in / Mantra</t>
        </is>
      </c>
      <c r="C380" s="108" t="inlineStr">
        <is>
          <t>MI-SB-H-ET-M-10</t>
        </is>
      </c>
      <c r="D380" s="94" t="n"/>
      <c r="E380" s="96" t="n">
        <v>145</v>
      </c>
      <c r="F380" s="96" t="n">
        <v>10</v>
      </c>
      <c r="G380" s="94" t="n">
        <v>83061000</v>
      </c>
      <c r="H380" s="97" t="n">
        <v>0.05</v>
      </c>
      <c r="I380" s="96">
        <f>D381*H381</f>
        <v/>
      </c>
      <c r="J380" s="107" t="n"/>
      <c r="K380" s="96">
        <f>D381*4%</f>
        <v/>
      </c>
      <c r="L380" s="98">
        <f>K381+J381+I381+F381+E381+D381</f>
        <v/>
      </c>
      <c r="M380" s="96">
        <f>D381*1%</f>
        <v/>
      </c>
      <c r="N380" s="99">
        <f>L381*8%</f>
        <v/>
      </c>
      <c r="O380" s="99">
        <f>L381*10%</f>
        <v/>
      </c>
      <c r="P380" s="99">
        <f>L381*5%</f>
        <v/>
      </c>
      <c r="Q380" s="99">
        <f>L381*2%</f>
        <v/>
      </c>
      <c r="R380" s="99">
        <f>AC381*0.5%</f>
        <v/>
      </c>
      <c r="S380" s="99">
        <f>L381*1%</f>
        <v/>
      </c>
      <c r="T380" s="100">
        <f>S381+Q381+P381+O381+N381+M381</f>
        <v/>
      </c>
      <c r="U380" s="96">
        <f>AC381*1%</f>
        <v/>
      </c>
      <c r="V380" s="44">
        <f>AC381*5%</f>
        <v/>
      </c>
      <c r="W380" s="96">
        <f>AC381*1%</f>
        <v/>
      </c>
      <c r="X380" s="96">
        <f>AC381*8%</f>
        <v/>
      </c>
      <c r="Y380" s="96">
        <f>U381+V381+W381+X381</f>
        <v/>
      </c>
      <c r="Z380" s="100">
        <f>Y381+T381+L381</f>
        <v/>
      </c>
      <c r="AA380" s="101">
        <f>Z381*20%</f>
        <v/>
      </c>
      <c r="AB380" s="99">
        <f>Z381+AA381</f>
        <v/>
      </c>
      <c r="AC380" s="96">
        <f>D381*2.1</f>
        <v/>
      </c>
      <c r="AD380" s="99">
        <f>AB381-AC381</f>
        <v/>
      </c>
      <c r="AE380" s="99">
        <f>AD381/AB381*100</f>
        <v/>
      </c>
      <c r="AF380" s="107" t="n"/>
      <c r="AG380" s="102">
        <f>((AF381-L381)/L381)*100</f>
        <v/>
      </c>
      <c r="AH380" s="106">
        <f>AJ381-AF381</f>
        <v/>
      </c>
      <c r="AI380" s="106">
        <f>AB381</f>
        <v/>
      </c>
      <c r="AJ380" s="106">
        <f>AI381-(AI381*7%)</f>
        <v/>
      </c>
      <c r="AK380" s="14">
        <f>(AJ381-L381)/L381*100</f>
        <v/>
      </c>
      <c r="AL380" s="14" t="n"/>
      <c r="AM380" s="14">
        <f>AH381/AJ381%</f>
        <v/>
      </c>
      <c r="AN380" s="14">
        <f>AK381-AG381</f>
        <v/>
      </c>
      <c r="AO380" s="103">
        <f>AJ381/L381</f>
        <v/>
      </c>
      <c r="AP380" s="14">
        <f>(AJ381-AB381)/100</f>
        <v/>
      </c>
      <c r="AQ380" s="14">
        <f>(AJ381-AC381)/100</f>
        <v/>
      </c>
      <c r="AR380" s="104">
        <f>AI381/94</f>
        <v/>
      </c>
      <c r="AS380" s="104">
        <f>AJ381/94</f>
        <v/>
      </c>
      <c r="AT380" s="105">
        <f>AI381/24</f>
        <v/>
      </c>
      <c r="AU380" s="105">
        <f>AJ381/24</f>
        <v/>
      </c>
      <c r="AV380" s="105">
        <f>AI381/125</f>
        <v/>
      </c>
      <c r="AW380" s="105">
        <f>AJ381/125</f>
        <v/>
      </c>
      <c r="AX380" s="107" t="n"/>
      <c r="AY380" s="107" t="n"/>
    </row>
    <row r="381" ht="15.75" customHeight="1" s="258">
      <c r="A381" s="96" t="n"/>
      <c r="B381" s="96" t="inlineStr">
        <is>
          <t>Mantra / 11 in</t>
        </is>
      </c>
      <c r="C381" s="108" t="inlineStr">
        <is>
          <t>MI-SB-H-ET-M-11</t>
        </is>
      </c>
      <c r="D381" s="94" t="n"/>
      <c r="E381" s="96" t="n">
        <v>145</v>
      </c>
      <c r="F381" s="96" t="n">
        <v>10</v>
      </c>
      <c r="G381" s="94" t="n">
        <v>83061000</v>
      </c>
      <c r="H381" s="97" t="n">
        <v>0.05</v>
      </c>
      <c r="I381" s="96">
        <f>D382*H382</f>
        <v/>
      </c>
      <c r="J381" s="107" t="n"/>
      <c r="K381" s="96">
        <f>D382*4%</f>
        <v/>
      </c>
      <c r="L381" s="98">
        <f>K382+J382+I382+F382+E382+D382</f>
        <v/>
      </c>
      <c r="M381" s="96">
        <f>D382*1%</f>
        <v/>
      </c>
      <c r="N381" s="99">
        <f>L382*8%</f>
        <v/>
      </c>
      <c r="O381" s="99">
        <f>L382*10%</f>
        <v/>
      </c>
      <c r="P381" s="99">
        <f>L382*5%</f>
        <v/>
      </c>
      <c r="Q381" s="99">
        <f>L382*2%</f>
        <v/>
      </c>
      <c r="R381" s="99">
        <f>AC382*0.5%</f>
        <v/>
      </c>
      <c r="S381" s="99">
        <f>L382*1%</f>
        <v/>
      </c>
      <c r="T381" s="100">
        <f>S382+Q382+P382+O382+N382+M382</f>
        <v/>
      </c>
      <c r="U381" s="96">
        <f>AC382*1%</f>
        <v/>
      </c>
      <c r="V381" s="44">
        <f>AC382*5%</f>
        <v/>
      </c>
      <c r="W381" s="96">
        <f>AC382*1%</f>
        <v/>
      </c>
      <c r="X381" s="96">
        <f>AC382*8%</f>
        <v/>
      </c>
      <c r="Y381" s="96">
        <f>U382+V382+W382+X382</f>
        <v/>
      </c>
      <c r="Z381" s="100">
        <f>Y382+T382+L382</f>
        <v/>
      </c>
      <c r="AA381" s="101">
        <f>Z382*20%</f>
        <v/>
      </c>
      <c r="AB381" s="99">
        <f>Z382+AA382</f>
        <v/>
      </c>
      <c r="AC381" s="96">
        <f>D382*2.1</f>
        <v/>
      </c>
      <c r="AD381" s="99">
        <f>AB382-AC382</f>
        <v/>
      </c>
      <c r="AE381" s="99">
        <f>AD382/AB382*100</f>
        <v/>
      </c>
      <c r="AF381" s="107" t="n"/>
      <c r="AG381" s="102">
        <f>((AF382-L382)/L382)*100</f>
        <v/>
      </c>
      <c r="AH381" s="106">
        <f>AJ382-AF382</f>
        <v/>
      </c>
      <c r="AI381" s="106">
        <f>AB382</f>
        <v/>
      </c>
      <c r="AJ381" s="106">
        <f>AI382-(AI382*7%)</f>
        <v/>
      </c>
      <c r="AK381" s="14">
        <f>(AJ382-L382)/L382*100</f>
        <v/>
      </c>
      <c r="AL381" s="14" t="n"/>
      <c r="AM381" s="14">
        <f>AH382/AJ382%</f>
        <v/>
      </c>
      <c r="AN381" s="14">
        <f>AK382-AG382</f>
        <v/>
      </c>
      <c r="AO381" s="103">
        <f>AJ382/L382</f>
        <v/>
      </c>
      <c r="AP381" s="14">
        <f>(AJ382-AB382)/100</f>
        <v/>
      </c>
      <c r="AQ381" s="14">
        <f>(AJ382-AC382)/100</f>
        <v/>
      </c>
      <c r="AR381" s="104">
        <f>AI382/94</f>
        <v/>
      </c>
      <c r="AS381" s="104">
        <f>AJ382/94</f>
        <v/>
      </c>
      <c r="AT381" s="105">
        <f>AI382/24</f>
        <v/>
      </c>
      <c r="AU381" s="105">
        <f>AJ382/24</f>
        <v/>
      </c>
      <c r="AV381" s="105">
        <f>AI382/125</f>
        <v/>
      </c>
      <c r="AW381" s="105">
        <f>AJ382/125</f>
        <v/>
      </c>
      <c r="AX381" s="107" t="n"/>
      <c r="AY381" s="107" t="n"/>
    </row>
    <row r="382" ht="15.75" customHeight="1" s="258">
      <c r="A382" s="96" t="n"/>
      <c r="B382" s="96" t="inlineStr">
        <is>
          <t>12 in / Mantra</t>
        </is>
      </c>
      <c r="C382" s="108" t="inlineStr">
        <is>
          <t>MI-SB-H-ET-M-12</t>
        </is>
      </c>
      <c r="D382" s="94" t="n"/>
      <c r="E382" s="96" t="n">
        <v>145</v>
      </c>
      <c r="F382" s="96" t="n">
        <v>10</v>
      </c>
      <c r="G382" s="94" t="n">
        <v>83061000</v>
      </c>
      <c r="H382" s="97" t="n">
        <v>0.05</v>
      </c>
      <c r="I382" s="96">
        <f>D383*H383</f>
        <v/>
      </c>
      <c r="J382" s="107" t="n"/>
      <c r="K382" s="96">
        <f>D383*4%</f>
        <v/>
      </c>
      <c r="L382" s="98">
        <f>K383+J383+I383+F383+E383+D383</f>
        <v/>
      </c>
      <c r="M382" s="96">
        <f>D383*1%</f>
        <v/>
      </c>
      <c r="N382" s="99">
        <f>L383*8%</f>
        <v/>
      </c>
      <c r="O382" s="99">
        <f>L383*10%</f>
        <v/>
      </c>
      <c r="P382" s="99">
        <f>L383*5%</f>
        <v/>
      </c>
      <c r="Q382" s="99">
        <f>L383*2%</f>
        <v/>
      </c>
      <c r="R382" s="99">
        <f>AC383*0.5%</f>
        <v/>
      </c>
      <c r="S382" s="99">
        <f>L383*1%</f>
        <v/>
      </c>
      <c r="T382" s="100">
        <f>S383+Q383+P383+O383+N383+M383</f>
        <v/>
      </c>
      <c r="U382" s="96">
        <f>AC383*1%</f>
        <v/>
      </c>
      <c r="V382" s="44">
        <f>AC383*5%</f>
        <v/>
      </c>
      <c r="W382" s="96">
        <f>AC383*1%</f>
        <v/>
      </c>
      <c r="X382" s="96">
        <f>AC383*8%</f>
        <v/>
      </c>
      <c r="Y382" s="96">
        <f>U383+V383+W383+X383</f>
        <v/>
      </c>
      <c r="Z382" s="100">
        <f>Y383+T383+L383</f>
        <v/>
      </c>
      <c r="AA382" s="101">
        <f>Z383*20%</f>
        <v/>
      </c>
      <c r="AB382" s="99">
        <f>Z383+AA383</f>
        <v/>
      </c>
      <c r="AC382" s="96">
        <f>D383*2.1</f>
        <v/>
      </c>
      <c r="AD382" s="99">
        <f>AB383-AC383</f>
        <v/>
      </c>
      <c r="AE382" s="99">
        <f>AD383/AB383*100</f>
        <v/>
      </c>
      <c r="AF382" s="107" t="n"/>
      <c r="AG382" s="102">
        <f>((AF383-L383)/L383)*100</f>
        <v/>
      </c>
      <c r="AH382" s="106">
        <f>AJ383-AF383</f>
        <v/>
      </c>
      <c r="AI382" s="106">
        <f>AB383</f>
        <v/>
      </c>
      <c r="AJ382" s="106">
        <f>AI383-(AI383*7%)</f>
        <v/>
      </c>
      <c r="AK382" s="14">
        <f>(AJ383-L383)/L383*100</f>
        <v/>
      </c>
      <c r="AL382" s="14" t="n"/>
      <c r="AM382" s="14">
        <f>AH383/AJ383%</f>
        <v/>
      </c>
      <c r="AN382" s="14">
        <f>AK383-AG383</f>
        <v/>
      </c>
      <c r="AO382" s="103">
        <f>AJ383/L383</f>
        <v/>
      </c>
      <c r="AP382" s="14">
        <f>(AJ383-AB383)/100</f>
        <v/>
      </c>
      <c r="AQ382" s="14">
        <f>(AJ383-AC383)/100</f>
        <v/>
      </c>
      <c r="AR382" s="104">
        <f>AI383/94</f>
        <v/>
      </c>
      <c r="AS382" s="104">
        <f>AJ383/94</f>
        <v/>
      </c>
      <c r="AT382" s="105">
        <f>AI383/24</f>
        <v/>
      </c>
      <c r="AU382" s="105">
        <f>AJ383/24</f>
        <v/>
      </c>
      <c r="AV382" s="105">
        <f>AI383/125</f>
        <v/>
      </c>
      <c r="AW382" s="105">
        <f>AJ383/125</f>
        <v/>
      </c>
      <c r="AX382" s="107" t="n"/>
      <c r="AY382" s="107" t="n"/>
    </row>
    <row r="383" ht="15.75" customHeight="1" s="258">
      <c r="A383" s="96" t="n"/>
      <c r="B383" s="96" t="inlineStr">
        <is>
          <t>Dorje / 6 in</t>
        </is>
      </c>
      <c r="C383" s="108" t="inlineStr">
        <is>
          <t>MI-SB-H-ET-DO-6</t>
        </is>
      </c>
      <c r="D383" s="94" t="n"/>
      <c r="E383" s="96" t="n">
        <v>125</v>
      </c>
      <c r="F383" s="96" t="n">
        <v>10</v>
      </c>
      <c r="G383" s="94" t="n">
        <v>83061000</v>
      </c>
      <c r="H383" s="97" t="n">
        <v>0.05</v>
      </c>
      <c r="I383" s="96">
        <f>D384*H384</f>
        <v/>
      </c>
      <c r="J383" s="107" t="n"/>
      <c r="K383" s="96">
        <f>D384*4%</f>
        <v/>
      </c>
      <c r="L383" s="98">
        <f>K384+J384+I384+F384+E384+D384</f>
        <v/>
      </c>
      <c r="M383" s="96">
        <f>D384*1%</f>
        <v/>
      </c>
      <c r="N383" s="99">
        <f>L384*8%</f>
        <v/>
      </c>
      <c r="O383" s="99">
        <f>L384*10%</f>
        <v/>
      </c>
      <c r="P383" s="99">
        <f>L384*5%</f>
        <v/>
      </c>
      <c r="Q383" s="99">
        <f>L384*2%</f>
        <v/>
      </c>
      <c r="R383" s="99">
        <f>AC384*0.5%</f>
        <v/>
      </c>
      <c r="S383" s="99">
        <f>L384*1%</f>
        <v/>
      </c>
      <c r="T383" s="100">
        <f>S384+Q384+P384+O384+N384+M384</f>
        <v/>
      </c>
      <c r="U383" s="96">
        <f>AC384*1%</f>
        <v/>
      </c>
      <c r="V383" s="44">
        <f>AC384*5%</f>
        <v/>
      </c>
      <c r="W383" s="96">
        <f>AC384*1%</f>
        <v/>
      </c>
      <c r="X383" s="96">
        <f>AC384*8%</f>
        <v/>
      </c>
      <c r="Y383" s="96">
        <f>U384+V384+W384+X384</f>
        <v/>
      </c>
      <c r="Z383" s="100">
        <f>Y384+T384+L384</f>
        <v/>
      </c>
      <c r="AA383" s="101">
        <f>Z384*20%</f>
        <v/>
      </c>
      <c r="AB383" s="99">
        <f>Z384+AA384</f>
        <v/>
      </c>
      <c r="AC383" s="96">
        <f>D384*2.1</f>
        <v/>
      </c>
      <c r="AD383" s="99">
        <f>AB384-AC384</f>
        <v/>
      </c>
      <c r="AE383" s="99">
        <f>AD384/AB384*100</f>
        <v/>
      </c>
      <c r="AF383" s="107" t="n"/>
      <c r="AG383" s="102">
        <f>((AF384-L384)/L384)*100</f>
        <v/>
      </c>
      <c r="AH383" s="106">
        <f>AJ384-AF384</f>
        <v/>
      </c>
      <c r="AI383" s="106">
        <f>AB384</f>
        <v/>
      </c>
      <c r="AJ383" s="106">
        <f>AI384-(AI384*7%)</f>
        <v/>
      </c>
      <c r="AK383" s="14">
        <f>(AJ384-L384)/L384*100</f>
        <v/>
      </c>
      <c r="AL383" s="14" t="n"/>
      <c r="AM383" s="14">
        <f>AH384/AJ384%</f>
        <v/>
      </c>
      <c r="AN383" s="14">
        <f>AK384-AG384</f>
        <v/>
      </c>
      <c r="AO383" s="103">
        <f>AJ384/L384</f>
        <v/>
      </c>
      <c r="AP383" s="14">
        <f>(AJ384-AB384)/100</f>
        <v/>
      </c>
      <c r="AQ383" s="14">
        <f>(AJ384-AC384)/100</f>
        <v/>
      </c>
      <c r="AR383" s="104">
        <f>AI384/94</f>
        <v/>
      </c>
      <c r="AS383" s="104">
        <f>AJ384/94</f>
        <v/>
      </c>
      <c r="AT383" s="105">
        <f>AI384/24</f>
        <v/>
      </c>
      <c r="AU383" s="105">
        <f>AJ384/24</f>
        <v/>
      </c>
      <c r="AV383" s="105">
        <f>AI384/125</f>
        <v/>
      </c>
      <c r="AW383" s="105">
        <f>AJ384/125</f>
        <v/>
      </c>
      <c r="AX383" s="107" t="n"/>
      <c r="AY383" s="107" t="n"/>
    </row>
    <row r="384" ht="15.75" customHeight="1" s="258">
      <c r="A384" s="2" t="inlineStr">
        <is>
          <t>Etched Plain/Wind Gong</t>
        </is>
      </c>
      <c r="B384" s="2" t="inlineStr">
        <is>
          <t>7 Chakras / 14 in</t>
        </is>
      </c>
      <c r="C384" s="2" t="inlineStr">
        <is>
          <t>MI-G-ET-7C-14</t>
        </is>
      </c>
      <c r="D384" s="189">
        <f>3600*1.5</f>
        <v/>
      </c>
      <c r="E384" s="2" t="n">
        <v>190</v>
      </c>
      <c r="F384" s="2" t="n">
        <v>100</v>
      </c>
      <c r="G384" s="118" t="n">
        <v>83061000</v>
      </c>
      <c r="H384" s="255" t="n">
        <v>0.05</v>
      </c>
      <c r="I384" s="2">
        <f>D385*H385</f>
        <v/>
      </c>
      <c r="K384" s="152" t="n">
        <v>300</v>
      </c>
      <c r="L384" s="135">
        <f>K385+J385+I385+F385+E385+D385</f>
        <v/>
      </c>
      <c r="M384" s="2">
        <f>D385*1%</f>
        <v/>
      </c>
      <c r="N384" s="12">
        <f>L385*8%</f>
        <v/>
      </c>
      <c r="O384" s="12">
        <f>L385*10%</f>
        <v/>
      </c>
      <c r="P384" s="12">
        <f>L385*5%</f>
        <v/>
      </c>
      <c r="Q384" s="12">
        <f>L385*2%</f>
        <v/>
      </c>
      <c r="R384" s="12">
        <f>AC385*0.5%</f>
        <v/>
      </c>
      <c r="S384" s="12">
        <f>L385*1%</f>
        <v/>
      </c>
      <c r="T384" s="60">
        <f>S385+Q385+P385+O385+N385+M385</f>
        <v/>
      </c>
      <c r="U384" s="2">
        <f>AC385*1%</f>
        <v/>
      </c>
      <c r="V384" s="44">
        <f>AC385*5%</f>
        <v/>
      </c>
      <c r="W384" s="2">
        <f>AC385*1%</f>
        <v/>
      </c>
      <c r="X384" s="2">
        <f>AC385*8%</f>
        <v/>
      </c>
      <c r="Y384" s="2">
        <f>U385+V385+W385+X385</f>
        <v/>
      </c>
      <c r="Z384" s="60">
        <f>Y385+T385+L385</f>
        <v/>
      </c>
      <c r="AA384" s="11">
        <f>Z385*20%</f>
        <v/>
      </c>
      <c r="AB384" s="12">
        <f>Z385+AA385</f>
        <v/>
      </c>
      <c r="AC384" s="2">
        <f>D385*2.1</f>
        <v/>
      </c>
      <c r="AD384" s="12">
        <f>AB385-AC385</f>
        <v/>
      </c>
      <c r="AE384" s="12">
        <f>AD385/AB385*100</f>
        <v/>
      </c>
      <c r="AF384" s="92" t="n">
        <v>12450</v>
      </c>
      <c r="AG384" s="62">
        <f>((AF385-L385)/L385)*100</f>
        <v/>
      </c>
      <c r="AH384" s="106">
        <f>AJ385-AF385</f>
        <v/>
      </c>
      <c r="AI384" s="65" t="n">
        <v>13990</v>
      </c>
      <c r="AJ384" s="65" t="n">
        <v>12990</v>
      </c>
      <c r="AK384" s="66">
        <f>(AJ385-L385)/L385*100</f>
        <v/>
      </c>
      <c r="AL384" s="66" t="n"/>
      <c r="AM384" s="14">
        <f>AH385/AJ385%</f>
        <v/>
      </c>
      <c r="AN384" s="67">
        <f>AK385-AG385</f>
        <v/>
      </c>
      <c r="AO384" s="68">
        <f>AJ385/L385</f>
        <v/>
      </c>
      <c r="AP384" s="69">
        <f>(AJ385-AB385)/100</f>
        <v/>
      </c>
      <c r="AQ384" s="70">
        <f>(AJ385-AC385)/100</f>
        <v/>
      </c>
      <c r="AR384" s="71">
        <f>AI385/94</f>
        <v/>
      </c>
      <c r="AS384" s="71">
        <f>AJ385/94</f>
        <v/>
      </c>
      <c r="AT384" s="72">
        <f>AI385/24</f>
        <v/>
      </c>
      <c r="AU384" s="72">
        <f>AJ385/24</f>
        <v/>
      </c>
      <c r="AV384" s="73">
        <f>AI385/125</f>
        <v/>
      </c>
      <c r="AW384" s="73">
        <f>AJ385/125</f>
        <v/>
      </c>
    </row>
    <row r="385" ht="15.75" customHeight="1" s="258">
      <c r="A385" s="2" t="n"/>
      <c r="B385" s="2" t="inlineStr">
        <is>
          <t>7 Chakras / 16 in</t>
        </is>
      </c>
      <c r="C385" s="2" t="inlineStr">
        <is>
          <t>MI-G-ET-7C-16</t>
        </is>
      </c>
      <c r="D385" s="189">
        <f>3600*2</f>
        <v/>
      </c>
      <c r="E385" s="2" t="n">
        <v>190</v>
      </c>
      <c r="F385" s="2" t="n">
        <v>100</v>
      </c>
      <c r="G385" s="118" t="n">
        <v>83061000</v>
      </c>
      <c r="H385" s="255" t="n">
        <v>0.05</v>
      </c>
      <c r="I385" s="2">
        <f>E386*H386</f>
        <v/>
      </c>
      <c r="K385" s="152" t="n">
        <v>300</v>
      </c>
      <c r="L385" s="135">
        <f>K386+J386+I386+F386+E386+D386</f>
        <v/>
      </c>
      <c r="M385" s="2">
        <f>D386*1%</f>
        <v/>
      </c>
      <c r="N385" s="12">
        <f>L386*8%</f>
        <v/>
      </c>
      <c r="O385" s="12">
        <f>L386*10%</f>
        <v/>
      </c>
      <c r="P385" s="12">
        <f>L386*5%</f>
        <v/>
      </c>
      <c r="Q385" s="12">
        <f>L386*2%</f>
        <v/>
      </c>
      <c r="R385" s="12">
        <f>AC386*0.5%</f>
        <v/>
      </c>
      <c r="S385" s="12">
        <f>L386*1%</f>
        <v/>
      </c>
      <c r="T385" s="60">
        <f>S386+Q386+P386+O386+N386+M386</f>
        <v/>
      </c>
      <c r="U385" s="2">
        <f>AC386*1%</f>
        <v/>
      </c>
      <c r="V385" s="44">
        <f>AC386*5%</f>
        <v/>
      </c>
      <c r="W385" s="2">
        <f>AC386*1%</f>
        <v/>
      </c>
      <c r="X385" s="2">
        <f>AC386*8%</f>
        <v/>
      </c>
      <c r="Y385" s="2">
        <f>U386+V386+W386+X386</f>
        <v/>
      </c>
      <c r="Z385" s="60">
        <f>Y386+T386+L386</f>
        <v/>
      </c>
      <c r="AA385" s="11">
        <f>Z386*20%</f>
        <v/>
      </c>
      <c r="AB385" s="12">
        <f>Z386+AA386</f>
        <v/>
      </c>
      <c r="AC385" s="2">
        <f>D386*2.1</f>
        <v/>
      </c>
      <c r="AD385" s="12">
        <f>AB386-AC386</f>
        <v/>
      </c>
      <c r="AE385" s="12">
        <f>AD386/AB386*100</f>
        <v/>
      </c>
      <c r="AF385" s="92" t="n">
        <v>15950</v>
      </c>
      <c r="AG385" s="62">
        <f>((AF386-L386)/L386)*100</f>
        <v/>
      </c>
      <c r="AH385" s="106">
        <f>AJ386-AF386</f>
        <v/>
      </c>
      <c r="AI385" s="65" t="n">
        <v>16990</v>
      </c>
      <c r="AJ385" s="65" t="n">
        <v>15990</v>
      </c>
      <c r="AK385" s="66">
        <f>(AJ386-L386)/L386*100</f>
        <v/>
      </c>
      <c r="AL385" s="66" t="n"/>
      <c r="AM385" s="14">
        <f>AH386/AJ386%</f>
        <v/>
      </c>
      <c r="AN385" s="67">
        <f>AK386-AG386</f>
        <v/>
      </c>
      <c r="AO385" s="68">
        <f>AJ386/L386</f>
        <v/>
      </c>
      <c r="AP385" s="69">
        <f>(AJ386-AB386)/100</f>
        <v/>
      </c>
      <c r="AQ385" s="70">
        <f>(AJ386-AC386)/100</f>
        <v/>
      </c>
      <c r="AR385" s="71">
        <f>AI386/94</f>
        <v/>
      </c>
      <c r="AS385" s="71">
        <f>AJ386/94</f>
        <v/>
      </c>
      <c r="AT385" s="72">
        <f>AI386/24</f>
        <v/>
      </c>
      <c r="AU385" s="72">
        <f>AJ386/24</f>
        <v/>
      </c>
      <c r="AV385" s="73">
        <f>AI386/125</f>
        <v/>
      </c>
      <c r="AW385" s="73">
        <f>AJ386/125</f>
        <v/>
      </c>
    </row>
    <row r="386" ht="15.75" customHeight="1" s="258">
      <c r="A386" s="2" t="n"/>
      <c r="B386" s="2" t="inlineStr">
        <is>
          <t>7 Chakras/18 in</t>
        </is>
      </c>
      <c r="C386" s="2" t="inlineStr">
        <is>
          <t>MI-G-ET-7C-18</t>
        </is>
      </c>
      <c r="D386" s="189">
        <f>3600*2.5</f>
        <v/>
      </c>
      <c r="E386" s="2" t="n">
        <v>190</v>
      </c>
      <c r="F386" s="2" t="n">
        <v>100</v>
      </c>
      <c r="G386" s="118" t="n">
        <v>83061000</v>
      </c>
      <c r="H386" s="255" t="n">
        <v>0.05</v>
      </c>
      <c r="I386" s="2">
        <f>E387*H387</f>
        <v/>
      </c>
      <c r="K386" s="152" t="n">
        <v>300</v>
      </c>
      <c r="L386" s="135">
        <f>K387+J387+I387+F387+E387+D387</f>
        <v/>
      </c>
      <c r="M386" s="2">
        <f>D387*1%</f>
        <v/>
      </c>
      <c r="N386" s="12">
        <f>L387*8%</f>
        <v/>
      </c>
      <c r="O386" s="12">
        <f>L387*10%</f>
        <v/>
      </c>
      <c r="P386" s="12">
        <f>L387*5%</f>
        <v/>
      </c>
      <c r="Q386" s="12">
        <f>L387*2%</f>
        <v/>
      </c>
      <c r="R386" s="12">
        <f>AC387*0.5%</f>
        <v/>
      </c>
      <c r="S386" s="12">
        <f>L387*1%</f>
        <v/>
      </c>
      <c r="T386" s="60">
        <f>S387+Q387+P387+O387+N387+M387</f>
        <v/>
      </c>
      <c r="U386" s="2">
        <f>AC387*1%</f>
        <v/>
      </c>
      <c r="V386" s="44">
        <f>AC387*5%</f>
        <v/>
      </c>
      <c r="W386" s="2">
        <f>AC387*1%</f>
        <v/>
      </c>
      <c r="X386" s="2">
        <f>AC387*8%</f>
        <v/>
      </c>
      <c r="Y386" s="2">
        <f>U387+V387+W387+X387</f>
        <v/>
      </c>
      <c r="Z386" s="60">
        <f>Y387+T387+L387</f>
        <v/>
      </c>
      <c r="AA386" s="11">
        <f>Z387*20%</f>
        <v/>
      </c>
      <c r="AB386" s="12">
        <f>Z387+AA387</f>
        <v/>
      </c>
      <c r="AC386" s="2">
        <f>D387*2.1</f>
        <v/>
      </c>
      <c r="AD386" s="12">
        <f>AB387-AC387</f>
        <v/>
      </c>
      <c r="AE386" s="12">
        <f>AD387/AB387*100</f>
        <v/>
      </c>
      <c r="AF386" s="92" t="n">
        <v>18950</v>
      </c>
      <c r="AG386" s="62">
        <f>((AF387-L387)/L387)*100</f>
        <v/>
      </c>
      <c r="AH386" s="106">
        <f>AJ387-AF387</f>
        <v/>
      </c>
      <c r="AI386" s="65" t="n">
        <v>20990</v>
      </c>
      <c r="AJ386" s="65" t="n">
        <v>18990</v>
      </c>
      <c r="AK386" s="66">
        <f>(AJ387-L387)/L387*100</f>
        <v/>
      </c>
      <c r="AL386" s="66" t="n"/>
      <c r="AM386" s="14">
        <f>AH387/AJ387%</f>
        <v/>
      </c>
      <c r="AN386" s="67">
        <f>AK387-AG387</f>
        <v/>
      </c>
      <c r="AO386" s="68">
        <f>AJ387/L387</f>
        <v/>
      </c>
      <c r="AP386" s="69">
        <f>(AJ387-AB387)/100</f>
        <v/>
      </c>
      <c r="AQ386" s="70">
        <f>(AJ387-AC387)/100</f>
        <v/>
      </c>
      <c r="AR386" s="71">
        <f>AI387/94</f>
        <v/>
      </c>
      <c r="AS386" s="71">
        <f>AJ387/94</f>
        <v/>
      </c>
      <c r="AT386" s="72">
        <f>AI387/24</f>
        <v/>
      </c>
      <c r="AU386" s="72">
        <f>AJ387/24</f>
        <v/>
      </c>
      <c r="AV386" s="73">
        <f>AI387/125</f>
        <v/>
      </c>
      <c r="AW386" s="73">
        <f>AJ387/125</f>
        <v/>
      </c>
    </row>
    <row r="387" ht="15.75" customHeight="1" s="258">
      <c r="A387" s="2" t="n"/>
      <c r="B387" s="2" t="inlineStr">
        <is>
          <t>7 Chakras / 20 in</t>
        </is>
      </c>
      <c r="C387" s="2" t="inlineStr">
        <is>
          <t>MI-G-ET-7C-20</t>
        </is>
      </c>
      <c r="D387" s="189">
        <f>3600*3.5</f>
        <v/>
      </c>
      <c r="E387" s="2" t="n">
        <v>190</v>
      </c>
      <c r="F387" s="2" t="n">
        <v>100</v>
      </c>
      <c r="G387" s="118" t="n">
        <v>83061000</v>
      </c>
      <c r="H387" s="255" t="n">
        <v>0.05</v>
      </c>
      <c r="I387" s="2">
        <f>E388*H388</f>
        <v/>
      </c>
      <c r="K387" s="152" t="n">
        <v>300</v>
      </c>
      <c r="L387" s="135">
        <f>K388+J388+I388+F388+E388+D388</f>
        <v/>
      </c>
      <c r="M387" s="2">
        <f>D388*1%</f>
        <v/>
      </c>
      <c r="N387" s="12">
        <f>L388*8%</f>
        <v/>
      </c>
      <c r="O387" s="12">
        <f>L388*10%</f>
        <v/>
      </c>
      <c r="P387" s="12">
        <f>L388*5%</f>
        <v/>
      </c>
      <c r="Q387" s="12">
        <f>L388*2%</f>
        <v/>
      </c>
      <c r="R387" s="12">
        <f>AC388*0.5%</f>
        <v/>
      </c>
      <c r="S387" s="12">
        <f>L388*1%</f>
        <v/>
      </c>
      <c r="T387" s="60">
        <f>S388+Q388+P388+O388+N388+M388</f>
        <v/>
      </c>
      <c r="U387" s="2">
        <f>AC388*1%</f>
        <v/>
      </c>
      <c r="V387" s="44">
        <f>AC388*5%</f>
        <v/>
      </c>
      <c r="W387" s="2">
        <f>AC388*1%</f>
        <v/>
      </c>
      <c r="X387" s="2">
        <f>AC388*8%</f>
        <v/>
      </c>
      <c r="Y387" s="2">
        <f>U388+V388+W388+X388</f>
        <v/>
      </c>
      <c r="Z387" s="60">
        <f>Y388+T388+L388</f>
        <v/>
      </c>
      <c r="AA387" s="11">
        <f>Z388*20%</f>
        <v/>
      </c>
      <c r="AB387" s="12">
        <f>Z388+AA388</f>
        <v/>
      </c>
      <c r="AC387" s="2">
        <f>D388*2.1</f>
        <v/>
      </c>
      <c r="AD387" s="12">
        <f>AB388-AC388</f>
        <v/>
      </c>
      <c r="AE387" s="12">
        <f>AD388/AB388*100</f>
        <v/>
      </c>
      <c r="AF387" s="92" t="n">
        <v>23250</v>
      </c>
      <c r="AG387" s="62">
        <f>((AF388-L388)/L388)*100</f>
        <v/>
      </c>
      <c r="AH387" s="106">
        <f>AJ388-AF388</f>
        <v/>
      </c>
      <c r="AI387" s="65">
        <f>AB388</f>
        <v/>
      </c>
      <c r="AJ387" s="65" t="n">
        <v>24990</v>
      </c>
      <c r="AK387" s="66">
        <f>(AJ388-L388)/L388*100</f>
        <v/>
      </c>
      <c r="AL387" s="66" t="n"/>
      <c r="AM387" s="14">
        <f>AH388/AJ388%</f>
        <v/>
      </c>
      <c r="AN387" s="67">
        <f>AK388-AG388</f>
        <v/>
      </c>
      <c r="AO387" s="68">
        <f>AJ388/L388</f>
        <v/>
      </c>
      <c r="AP387" s="69">
        <f>(AJ388-AB388)/100</f>
        <v/>
      </c>
      <c r="AQ387" s="70">
        <f>(AJ388-AC388)/100</f>
        <v/>
      </c>
      <c r="AR387" s="71">
        <f>AI388/94</f>
        <v/>
      </c>
      <c r="AS387" s="71">
        <f>AJ388/94</f>
        <v/>
      </c>
      <c r="AT387" s="72">
        <f>AI388/24</f>
        <v/>
      </c>
      <c r="AU387" s="72">
        <f>AJ388/24</f>
        <v/>
      </c>
      <c r="AV387" s="73">
        <f>AI388/125</f>
        <v/>
      </c>
      <c r="AW387" s="73">
        <f>AJ388/125</f>
        <v/>
      </c>
    </row>
    <row r="388" ht="15.75" customHeight="1" s="258">
      <c r="A388" s="2" t="n"/>
      <c r="B388" s="2" t="inlineStr">
        <is>
          <t>7 Chakras / 22 in</t>
        </is>
      </c>
      <c r="C388" s="2" t="inlineStr">
        <is>
          <t>MI-G-ET-7C-22</t>
        </is>
      </c>
      <c r="D388" s="189">
        <f>3600*4.2</f>
        <v/>
      </c>
      <c r="E388" s="2" t="n">
        <v>190</v>
      </c>
      <c r="F388" s="2" t="n">
        <v>100</v>
      </c>
      <c r="G388" s="118" t="n">
        <v>83061000</v>
      </c>
      <c r="H388" s="255" t="n">
        <v>0.05</v>
      </c>
      <c r="I388" s="2">
        <f>E389*H389</f>
        <v/>
      </c>
      <c r="K388" s="152" t="n">
        <v>300</v>
      </c>
      <c r="L388" s="135">
        <f>K389+J389+I389+F389+E389+D389</f>
        <v/>
      </c>
      <c r="M388" s="2">
        <f>D389*1%</f>
        <v/>
      </c>
      <c r="N388" s="12">
        <f>L389*8%</f>
        <v/>
      </c>
      <c r="O388" s="12">
        <f>L389*10%</f>
        <v/>
      </c>
      <c r="P388" s="12">
        <f>L389*5%</f>
        <v/>
      </c>
      <c r="Q388" s="12">
        <f>L389*2%</f>
        <v/>
      </c>
      <c r="R388" s="12">
        <f>AC389*0.5%</f>
        <v/>
      </c>
      <c r="S388" s="12">
        <f>L389*1%</f>
        <v/>
      </c>
      <c r="T388" s="60">
        <f>S389+Q389+P389+O389+N389+M389</f>
        <v/>
      </c>
      <c r="U388" s="2">
        <f>AC389*1%</f>
        <v/>
      </c>
      <c r="V388" s="44">
        <f>AC389*5%</f>
        <v/>
      </c>
      <c r="W388" s="2">
        <f>AC389*1%</f>
        <v/>
      </c>
      <c r="X388" s="2">
        <f>AC389*8%</f>
        <v/>
      </c>
      <c r="Y388" s="2">
        <f>U389+V389+W389+X389</f>
        <v/>
      </c>
      <c r="Z388" s="60">
        <f>Y389+T389+L389</f>
        <v/>
      </c>
      <c r="AA388" s="11">
        <f>Z389*20%</f>
        <v/>
      </c>
      <c r="AB388" s="12">
        <f>Z389+AA389</f>
        <v/>
      </c>
      <c r="AC388" s="2">
        <f>D389*2.1</f>
        <v/>
      </c>
      <c r="AD388" s="12">
        <f>AB389-AC389</f>
        <v/>
      </c>
      <c r="AE388" s="12">
        <f>AD389/AB389*100</f>
        <v/>
      </c>
      <c r="AF388" s="92" t="n">
        <v>27690</v>
      </c>
      <c r="AG388" s="62">
        <f>((AF389-L389)/L389)*100</f>
        <v/>
      </c>
      <c r="AH388" s="106">
        <f>AJ389-AF389</f>
        <v/>
      </c>
      <c r="AI388" s="65">
        <f>AB389</f>
        <v/>
      </c>
      <c r="AJ388" s="65" t="n">
        <v>29990</v>
      </c>
      <c r="AK388" s="66">
        <f>(AJ389-L389)/L389*100</f>
        <v/>
      </c>
      <c r="AL388" s="66" t="n"/>
      <c r="AM388" s="14">
        <f>AH389/AJ389%</f>
        <v/>
      </c>
      <c r="AN388" s="67">
        <f>AK389-AG389</f>
        <v/>
      </c>
      <c r="AO388" s="68">
        <f>AJ389/L389</f>
        <v/>
      </c>
      <c r="AP388" s="69">
        <f>(AJ389-AB389)/100</f>
        <v/>
      </c>
      <c r="AQ388" s="70">
        <f>(AJ389-AC389)/100</f>
        <v/>
      </c>
      <c r="AR388" s="71">
        <f>AI389/94</f>
        <v/>
      </c>
      <c r="AS388" s="71">
        <f>AJ389/94</f>
        <v/>
      </c>
      <c r="AT388" s="72">
        <f>AI389/24</f>
        <v/>
      </c>
      <c r="AU388" s="72">
        <f>AJ389/24</f>
        <v/>
      </c>
      <c r="AV388" s="73">
        <f>AI389/125</f>
        <v/>
      </c>
      <c r="AW388" s="73">
        <f>AJ389/125</f>
        <v/>
      </c>
    </row>
    <row r="389" ht="15.75" customHeight="1" s="258">
      <c r="A389" s="2" t="n"/>
      <c r="B389" s="2" t="inlineStr">
        <is>
          <t>7 Chakras / 24 in</t>
        </is>
      </c>
      <c r="C389" s="2" t="inlineStr">
        <is>
          <t>MI-G-ET-7C-24</t>
        </is>
      </c>
      <c r="D389" s="189">
        <f>3600*5.5</f>
        <v/>
      </c>
      <c r="E389" s="2" t="n">
        <v>190</v>
      </c>
      <c r="F389" s="2" t="n">
        <v>100</v>
      </c>
      <c r="G389" s="118" t="n">
        <v>83061000</v>
      </c>
      <c r="H389" s="255" t="n">
        <v>0.05</v>
      </c>
      <c r="I389" s="2">
        <f>E390*H390</f>
        <v/>
      </c>
      <c r="K389" s="152" t="n">
        <v>300</v>
      </c>
      <c r="L389" s="135">
        <f>K390+J390+I390+F390+E390+D390</f>
        <v/>
      </c>
      <c r="M389" s="2">
        <f>D390*1%</f>
        <v/>
      </c>
      <c r="N389" s="12">
        <f>L390*8%</f>
        <v/>
      </c>
      <c r="O389" s="12">
        <f>L390*10%</f>
        <v/>
      </c>
      <c r="P389" s="12">
        <f>L390*5%</f>
        <v/>
      </c>
      <c r="Q389" s="12">
        <f>L390*2%</f>
        <v/>
      </c>
      <c r="R389" s="12">
        <f>AC390*0.5%</f>
        <v/>
      </c>
      <c r="S389" s="12">
        <f>L390*1%</f>
        <v/>
      </c>
      <c r="T389" s="60">
        <f>S390+Q390+P390+O390+N390+M390</f>
        <v/>
      </c>
      <c r="U389" s="2">
        <f>AC390*1%</f>
        <v/>
      </c>
      <c r="V389" s="44">
        <f>AC390*5%</f>
        <v/>
      </c>
      <c r="W389" s="2">
        <f>AC390*1%</f>
        <v/>
      </c>
      <c r="X389" s="2">
        <f>AC390*8%</f>
        <v/>
      </c>
      <c r="Y389" s="2">
        <f>U390+V390+W390+X390</f>
        <v/>
      </c>
      <c r="Z389" s="60">
        <f>Y390+T390+L390</f>
        <v/>
      </c>
      <c r="AA389" s="11">
        <f>Z390*20%</f>
        <v/>
      </c>
      <c r="AB389" s="12">
        <f>Z390+AA390</f>
        <v/>
      </c>
      <c r="AC389" s="2">
        <f>D390*2.1</f>
        <v/>
      </c>
      <c r="AD389" s="12">
        <f>AB390-AC390</f>
        <v/>
      </c>
      <c r="AE389" s="12">
        <f>AD390/AB390*100</f>
        <v/>
      </c>
      <c r="AF389" s="92" t="n">
        <v>32950</v>
      </c>
      <c r="AG389" s="62">
        <f>((AF390-L390)/L390)*100</f>
        <v/>
      </c>
      <c r="AH389" s="106">
        <f>AJ390-AF390</f>
        <v/>
      </c>
      <c r="AI389" s="65">
        <f>AB390</f>
        <v/>
      </c>
      <c r="AJ389" s="65" t="n">
        <v>39990</v>
      </c>
      <c r="AK389" s="66">
        <f>(AJ390-L390)/L390*100</f>
        <v/>
      </c>
      <c r="AL389" s="66" t="n"/>
      <c r="AM389" s="14">
        <f>AH390/AJ390%</f>
        <v/>
      </c>
      <c r="AN389" s="67">
        <f>AK390-AG390</f>
        <v/>
      </c>
      <c r="AO389" s="68">
        <f>AJ390/L390</f>
        <v/>
      </c>
      <c r="AP389" s="69">
        <f>(AJ390-AB390)/100</f>
        <v/>
      </c>
      <c r="AQ389" s="70">
        <f>(AJ390-AC390)/100</f>
        <v/>
      </c>
      <c r="AR389" s="71">
        <f>AI390/94</f>
        <v/>
      </c>
      <c r="AS389" s="71">
        <f>AJ390/94</f>
        <v/>
      </c>
      <c r="AT389" s="72">
        <f>AI390/24</f>
        <v/>
      </c>
      <c r="AU389" s="72">
        <f>AJ390/24</f>
        <v/>
      </c>
      <c r="AV389" s="73">
        <f>AI390/125</f>
        <v/>
      </c>
      <c r="AW389" s="73">
        <f>AJ390/125</f>
        <v/>
      </c>
    </row>
    <row r="390" ht="15.75" customHeight="1" s="258">
      <c r="A390" s="2" t="n"/>
      <c r="B390" s="2" t="inlineStr">
        <is>
          <t>7 Chakras / 26 in</t>
        </is>
      </c>
      <c r="C390" s="2" t="inlineStr">
        <is>
          <t>MI-G-ET-7C-26</t>
        </is>
      </c>
      <c r="D390" s="189">
        <f>3600*7</f>
        <v/>
      </c>
      <c r="E390" s="2" t="n">
        <v>350</v>
      </c>
      <c r="F390" s="2" t="n">
        <v>100</v>
      </c>
      <c r="G390" s="118" t="n">
        <v>83061000</v>
      </c>
      <c r="H390" s="255" t="n">
        <v>0.05</v>
      </c>
      <c r="I390" s="2">
        <f>E391*H391</f>
        <v/>
      </c>
      <c r="K390" s="152" t="n">
        <v>300</v>
      </c>
      <c r="L390" s="135">
        <f>K391+J391+I391+F391+E391+D391</f>
        <v/>
      </c>
      <c r="M390" s="2">
        <f>D391*1%</f>
        <v/>
      </c>
      <c r="N390" s="12">
        <f>L391*8%</f>
        <v/>
      </c>
      <c r="O390" s="12">
        <f>L391*10%</f>
        <v/>
      </c>
      <c r="P390" s="12">
        <f>L391*5%</f>
        <v/>
      </c>
      <c r="Q390" s="12">
        <f>L391*2%</f>
        <v/>
      </c>
      <c r="R390" s="12">
        <f>AC391*0.5%</f>
        <v/>
      </c>
      <c r="S390" s="12">
        <f>L391*1%</f>
        <v/>
      </c>
      <c r="T390" s="60">
        <f>S391+Q391+P391+O391+N391+M391</f>
        <v/>
      </c>
      <c r="U390" s="2">
        <f>AC391*1%</f>
        <v/>
      </c>
      <c r="V390" s="44">
        <f>AC391*5%</f>
        <v/>
      </c>
      <c r="W390" s="2">
        <f>AC391*1%</f>
        <v/>
      </c>
      <c r="X390" s="2">
        <f>AC391*8%</f>
        <v/>
      </c>
      <c r="Y390" s="2">
        <f>U391+V391+W391+X391</f>
        <v/>
      </c>
      <c r="Z390" s="60">
        <f>Y391+T391+L391</f>
        <v/>
      </c>
      <c r="AA390" s="11">
        <f>Z391*20%</f>
        <v/>
      </c>
      <c r="AB390" s="12">
        <f>Z391+AA391</f>
        <v/>
      </c>
      <c r="AC390" s="2">
        <f>D391*2.1</f>
        <v/>
      </c>
      <c r="AD390" s="12">
        <f>AB391-AC391</f>
        <v/>
      </c>
      <c r="AE390" s="12">
        <f>AD391/AB391*100</f>
        <v/>
      </c>
      <c r="AF390" s="92" t="n">
        <v>37950</v>
      </c>
      <c r="AG390" s="62">
        <f>((AF391-L391)/L391)*100</f>
        <v/>
      </c>
      <c r="AH390" s="106">
        <f>AJ391-AF391</f>
        <v/>
      </c>
      <c r="AI390" s="65" t="n">
        <v>41990</v>
      </c>
      <c r="AJ390" s="65" t="n">
        <v>38990</v>
      </c>
      <c r="AK390" s="66">
        <f>(AJ391-L391)/L391*100</f>
        <v/>
      </c>
      <c r="AL390" s="66" t="n"/>
      <c r="AM390" s="14">
        <f>AH391/AJ391%</f>
        <v/>
      </c>
      <c r="AN390" s="67">
        <f>AK391-AG391</f>
        <v/>
      </c>
      <c r="AO390" s="68">
        <f>AJ391/L391</f>
        <v/>
      </c>
      <c r="AP390" s="69">
        <f>(AJ391-AB391)/100</f>
        <v/>
      </c>
      <c r="AQ390" s="70">
        <f>(AJ391-AC391)/100</f>
        <v/>
      </c>
      <c r="AR390" s="71">
        <f>AI391/94</f>
        <v/>
      </c>
      <c r="AS390" s="71">
        <f>AJ391/94</f>
        <v/>
      </c>
      <c r="AT390" s="72">
        <f>AI391/24</f>
        <v/>
      </c>
      <c r="AU390" s="72">
        <f>AJ391/24</f>
        <v/>
      </c>
      <c r="AV390" s="73">
        <f>AI391/125</f>
        <v/>
      </c>
      <c r="AW390" s="73">
        <f>AJ391/125</f>
        <v/>
      </c>
    </row>
    <row r="391" ht="15.75" customHeight="1" s="258">
      <c r="A391" s="192" t="n"/>
      <c r="B391" s="192" t="inlineStr">
        <is>
          <t>7 Chakras / 28 in</t>
        </is>
      </c>
      <c r="C391" s="192" t="inlineStr">
        <is>
          <t>MI-G-ET-7C-28</t>
        </is>
      </c>
      <c r="D391" s="191">
        <f>4300*8.5</f>
        <v/>
      </c>
      <c r="E391" s="192" t="n">
        <v>350</v>
      </c>
      <c r="F391" s="192" t="n">
        <v>100</v>
      </c>
      <c r="G391" s="193" t="n">
        <v>83061000</v>
      </c>
      <c r="H391" s="194" t="n">
        <v>0.05</v>
      </c>
      <c r="I391" s="192">
        <f>E392*H392</f>
        <v/>
      </c>
      <c r="J391" s="195" t="n"/>
      <c r="K391" s="196" t="n">
        <v>300</v>
      </c>
      <c r="L391" s="197">
        <f>K392+J392+I392+F392+E392+D392</f>
        <v/>
      </c>
      <c r="M391" s="192">
        <f>D392*1%</f>
        <v/>
      </c>
      <c r="N391" s="198">
        <f>L392*8%</f>
        <v/>
      </c>
      <c r="O391" s="198">
        <f>L392*10%</f>
        <v/>
      </c>
      <c r="P391" s="198">
        <f>L392*5%</f>
        <v/>
      </c>
      <c r="Q391" s="198">
        <f>L392*2%</f>
        <v/>
      </c>
      <c r="R391" s="198">
        <f>AC392*0.5%</f>
        <v/>
      </c>
      <c r="S391" s="198">
        <f>L392*1%</f>
        <v/>
      </c>
      <c r="T391" s="199">
        <f>S392+Q392+P392+O392+N392+M392</f>
        <v/>
      </c>
      <c r="U391" s="192">
        <f>AC392*1%</f>
        <v/>
      </c>
      <c r="V391" s="44">
        <f>AC392*5%</f>
        <v/>
      </c>
      <c r="W391" s="192">
        <f>AC392*1%</f>
        <v/>
      </c>
      <c r="X391" s="192">
        <f>AC392*8%</f>
        <v/>
      </c>
      <c r="Y391" s="192">
        <f>U392+V392+W392+X392</f>
        <v/>
      </c>
      <c r="Z391" s="199">
        <f>Y392+T392+L392</f>
        <v/>
      </c>
      <c r="AA391" s="200">
        <f>Z392*20%</f>
        <v/>
      </c>
      <c r="AB391" s="198">
        <f>Z392+AA392</f>
        <v/>
      </c>
      <c r="AC391" s="192">
        <f>D392*2.1</f>
        <v/>
      </c>
      <c r="AD391" s="198">
        <f>AB392-AC392</f>
        <v/>
      </c>
      <c r="AE391" s="198">
        <f>AD392/AB392*100</f>
        <v/>
      </c>
      <c r="AF391" s="195" t="n">
        <v>42950</v>
      </c>
      <c r="AG391" s="201">
        <f>((AF392-L392)/L392)*100</f>
        <v/>
      </c>
      <c r="AH391" s="210">
        <f>AJ392-AF392</f>
        <v/>
      </c>
      <c r="AI391" s="210" t="n">
        <v>49990</v>
      </c>
      <c r="AJ391" s="210" t="n">
        <v>45990</v>
      </c>
      <c r="AK391" s="203">
        <f>(AJ392-L392)/L392*100</f>
        <v/>
      </c>
      <c r="AL391" s="203" t="n"/>
      <c r="AM391" s="203">
        <f>AH392/AJ392%</f>
        <v/>
      </c>
      <c r="AN391" s="203">
        <f>AK392-AG392</f>
        <v/>
      </c>
      <c r="AO391" s="204">
        <f>AJ392/L392</f>
        <v/>
      </c>
      <c r="AP391" s="203">
        <f>(AJ392-AB392)/100</f>
        <v/>
      </c>
      <c r="AQ391" s="203">
        <f>(AJ392-AC392)/100</f>
        <v/>
      </c>
      <c r="AR391" s="205">
        <f>AI392/94</f>
        <v/>
      </c>
      <c r="AS391" s="205">
        <f>AJ392/94</f>
        <v/>
      </c>
      <c r="AT391" s="206">
        <f>AI392/24</f>
        <v/>
      </c>
      <c r="AU391" s="206">
        <f>AJ392/24</f>
        <v/>
      </c>
      <c r="AV391" s="206">
        <f>AI392/125</f>
        <v/>
      </c>
      <c r="AW391" s="206">
        <f>AJ392/125</f>
        <v/>
      </c>
      <c r="AX391" s="195" t="n"/>
      <c r="AY391" s="195" t="n"/>
    </row>
    <row r="392" ht="15.75" customHeight="1" s="258">
      <c r="A392" s="2" t="n"/>
      <c r="B392" s="2" t="inlineStr">
        <is>
          <t>Flower of Life / 14 in</t>
        </is>
      </c>
      <c r="C392" s="2" t="inlineStr">
        <is>
          <t>MI-G-ET-FOL-14</t>
        </is>
      </c>
      <c r="D392" s="207" t="n">
        <v>5400</v>
      </c>
      <c r="E392" s="2" t="n">
        <v>190</v>
      </c>
      <c r="F392" s="2" t="n">
        <v>100</v>
      </c>
      <c r="G392" s="118" t="n">
        <v>83061000</v>
      </c>
      <c r="H392" s="255" t="n">
        <v>0.05</v>
      </c>
      <c r="I392" s="2">
        <f>E393*H393</f>
        <v/>
      </c>
      <c r="K392" s="152" t="n">
        <v>300</v>
      </c>
      <c r="L392" s="135">
        <f>K393+J393+I393+F393+E393+D393</f>
        <v/>
      </c>
      <c r="M392" s="2">
        <f>D393*1%</f>
        <v/>
      </c>
      <c r="N392" s="12">
        <f>L393*8%</f>
        <v/>
      </c>
      <c r="O392" s="12">
        <f>L393*10%</f>
        <v/>
      </c>
      <c r="P392" s="12">
        <f>L393*5%</f>
        <v/>
      </c>
      <c r="Q392" s="12">
        <f>L393*2%</f>
        <v/>
      </c>
      <c r="R392" s="12">
        <f>AC393*0.5%</f>
        <v/>
      </c>
      <c r="S392" s="12">
        <f>L393*1%</f>
        <v/>
      </c>
      <c r="T392" s="60">
        <f>S393+Q393+P393+O393+N393+M393</f>
        <v/>
      </c>
      <c r="U392" s="2">
        <f>AC393*1%</f>
        <v/>
      </c>
      <c r="V392" s="44">
        <f>AC393*5%</f>
        <v/>
      </c>
      <c r="W392" s="2">
        <f>AC393*1%</f>
        <v/>
      </c>
      <c r="X392" s="2">
        <f>AC393*8%</f>
        <v/>
      </c>
      <c r="Y392" s="2">
        <f>U393+V393+W393+X393</f>
        <v/>
      </c>
      <c r="Z392" s="60">
        <f>Y393+T393+L393</f>
        <v/>
      </c>
      <c r="AA392" s="11">
        <f>Z393*20%</f>
        <v/>
      </c>
      <c r="AB392" s="12">
        <f>Z393+AA393</f>
        <v/>
      </c>
      <c r="AC392" s="2">
        <f>D393*2.1</f>
        <v/>
      </c>
      <c r="AD392" s="12">
        <f>AB393-AC393</f>
        <v/>
      </c>
      <c r="AE392" s="12">
        <f>AD393/AB393*100</f>
        <v/>
      </c>
      <c r="AF392" s="92" t="n">
        <v>12450</v>
      </c>
      <c r="AG392" s="62">
        <f>((AF393-L393)/L393)*100</f>
        <v/>
      </c>
      <c r="AH392" s="106">
        <f>AJ393-AF393</f>
        <v/>
      </c>
      <c r="AI392" s="65" t="n">
        <v>13990</v>
      </c>
      <c r="AJ392" s="65" t="n">
        <v>12990</v>
      </c>
      <c r="AK392" s="66">
        <f>(AJ393-L393)/L393*100</f>
        <v/>
      </c>
      <c r="AL392" s="66" t="n"/>
      <c r="AM392" s="14">
        <f>AH393/AJ393%</f>
        <v/>
      </c>
      <c r="AN392" s="67">
        <f>AK393-AG393</f>
        <v/>
      </c>
      <c r="AO392" s="68">
        <f>AJ393/L393</f>
        <v/>
      </c>
      <c r="AP392" s="69">
        <f>(AJ393-AB393)/100</f>
        <v/>
      </c>
      <c r="AQ392" s="70">
        <f>(AJ393-AC393)/100</f>
        <v/>
      </c>
      <c r="AR392" s="71">
        <f>AI393/94</f>
        <v/>
      </c>
      <c r="AS392" s="71">
        <f>AJ393/94</f>
        <v/>
      </c>
      <c r="AT392" s="72">
        <f>AI393/24</f>
        <v/>
      </c>
      <c r="AU392" s="72">
        <f>AJ393/24</f>
        <v/>
      </c>
      <c r="AV392" s="73">
        <f>AI393/125</f>
        <v/>
      </c>
      <c r="AW392" s="73">
        <f>AJ393/125</f>
        <v/>
      </c>
    </row>
    <row r="393" ht="15.75" customHeight="1" s="258">
      <c r="A393" s="2" t="n"/>
      <c r="B393" s="2" t="inlineStr">
        <is>
          <t>Flower of Life / 16 in</t>
        </is>
      </c>
      <c r="C393" s="2" t="inlineStr">
        <is>
          <t>MI-G-ET-FOL-16</t>
        </is>
      </c>
      <c r="D393" s="207" t="n">
        <v>7200</v>
      </c>
      <c r="E393" s="2" t="n">
        <v>190</v>
      </c>
      <c r="F393" s="2" t="n">
        <v>100</v>
      </c>
      <c r="G393" s="118" t="n">
        <v>83061000</v>
      </c>
      <c r="H393" s="255" t="n">
        <v>0.05</v>
      </c>
      <c r="I393" s="2">
        <f>E394*H394</f>
        <v/>
      </c>
      <c r="K393" s="152" t="n">
        <v>300</v>
      </c>
      <c r="L393" s="135">
        <f>K394+J394+I394+F394+E394+D394</f>
        <v/>
      </c>
      <c r="M393" s="2">
        <f>D394*1%</f>
        <v/>
      </c>
      <c r="N393" s="12">
        <f>L394*8%</f>
        <v/>
      </c>
      <c r="O393" s="12">
        <f>L394*10%</f>
        <v/>
      </c>
      <c r="P393" s="12">
        <f>L394*5%</f>
        <v/>
      </c>
      <c r="Q393" s="12">
        <f>L394*2%</f>
        <v/>
      </c>
      <c r="R393" s="12">
        <f>AC394*0.5%</f>
        <v/>
      </c>
      <c r="S393" s="12">
        <f>L394*1%</f>
        <v/>
      </c>
      <c r="T393" s="60">
        <f>S394+Q394+P394+O394+N394+M394</f>
        <v/>
      </c>
      <c r="U393" s="2">
        <f>AC394*1%</f>
        <v/>
      </c>
      <c r="V393" s="44">
        <f>AC394*5%</f>
        <v/>
      </c>
      <c r="W393" s="2">
        <f>AC394*1%</f>
        <v/>
      </c>
      <c r="X393" s="2">
        <f>AC394*8%</f>
        <v/>
      </c>
      <c r="Y393" s="2">
        <f>U394+V394+W394+X394</f>
        <v/>
      </c>
      <c r="Z393" s="60">
        <f>Y394+T394+L394</f>
        <v/>
      </c>
      <c r="AA393" s="11">
        <f>Z394*20%</f>
        <v/>
      </c>
      <c r="AB393" s="12">
        <f>Z394+AA394</f>
        <v/>
      </c>
      <c r="AC393" s="2">
        <f>D394*2.1</f>
        <v/>
      </c>
      <c r="AD393" s="12">
        <f>AB394-AC394</f>
        <v/>
      </c>
      <c r="AE393" s="12">
        <f>AD394/AB394*100</f>
        <v/>
      </c>
      <c r="AF393" s="92" t="n">
        <v>15950</v>
      </c>
      <c r="AG393" s="62">
        <f>((AF394-L394)/L394)*100</f>
        <v/>
      </c>
      <c r="AH393" s="106">
        <f>AJ394-AF394</f>
        <v/>
      </c>
      <c r="AI393" s="65" t="n">
        <v>17990</v>
      </c>
      <c r="AJ393" s="65" t="n">
        <v>16990</v>
      </c>
      <c r="AK393" s="66">
        <f>(AJ394-L394)/L394*100</f>
        <v/>
      </c>
      <c r="AL393" s="66" t="n"/>
      <c r="AM393" s="14">
        <f>AH394/AJ394%</f>
        <v/>
      </c>
      <c r="AN393" s="67">
        <f>AK394-AG394</f>
        <v/>
      </c>
      <c r="AO393" s="68">
        <f>AJ394/L394</f>
        <v/>
      </c>
      <c r="AP393" s="69">
        <f>(AJ394-AB394)/100</f>
        <v/>
      </c>
      <c r="AQ393" s="70">
        <f>(AJ394-AC394)/100</f>
        <v/>
      </c>
      <c r="AR393" s="71">
        <f>AI394/94</f>
        <v/>
      </c>
      <c r="AS393" s="71">
        <f>AJ394/94</f>
        <v/>
      </c>
      <c r="AT393" s="72">
        <f>AI394/24</f>
        <v/>
      </c>
      <c r="AU393" s="72">
        <f>AJ394/24</f>
        <v/>
      </c>
      <c r="AV393" s="73">
        <f>AI394/125</f>
        <v/>
      </c>
      <c r="AW393" s="73">
        <f>AJ394/125</f>
        <v/>
      </c>
    </row>
    <row r="394" ht="15.75" customHeight="1" s="258">
      <c r="A394" s="2" t="n"/>
      <c r="B394" s="2" t="inlineStr">
        <is>
          <t>Flower of Life/18 In</t>
        </is>
      </c>
      <c r="C394" s="2" t="inlineStr">
        <is>
          <t>MI-G-ET-FOL-18</t>
        </is>
      </c>
      <c r="D394" s="207" t="n">
        <v>9000</v>
      </c>
      <c r="E394" s="2" t="n">
        <v>190</v>
      </c>
      <c r="F394" s="2" t="n">
        <v>100</v>
      </c>
      <c r="G394" s="118" t="n">
        <v>83061000</v>
      </c>
      <c r="H394" s="255" t="n">
        <v>0.05</v>
      </c>
      <c r="I394" s="2">
        <f>E395*H395</f>
        <v/>
      </c>
      <c r="K394" s="152" t="n">
        <v>300</v>
      </c>
      <c r="L394" s="135">
        <f>K395+J395+I395+F395+E395+D395</f>
        <v/>
      </c>
      <c r="M394" s="2">
        <f>D395*1%</f>
        <v/>
      </c>
      <c r="N394" s="12">
        <f>L395*8%</f>
        <v/>
      </c>
      <c r="O394" s="12">
        <f>L395*10%</f>
        <v/>
      </c>
      <c r="P394" s="12">
        <f>L395*5%</f>
        <v/>
      </c>
      <c r="Q394" s="12">
        <f>L395*2%</f>
        <v/>
      </c>
      <c r="R394" s="12">
        <f>AC395*0.5%</f>
        <v/>
      </c>
      <c r="S394" s="12">
        <f>L395*1%</f>
        <v/>
      </c>
      <c r="T394" s="60">
        <f>S395+Q395+P395+O395+N395+M395</f>
        <v/>
      </c>
      <c r="U394" s="2">
        <f>AC395*1%</f>
        <v/>
      </c>
      <c r="V394" s="44">
        <f>AC395*5%</f>
        <v/>
      </c>
      <c r="W394" s="2">
        <f>AC395*1%</f>
        <v/>
      </c>
      <c r="X394" s="2">
        <f>AC395*8%</f>
        <v/>
      </c>
      <c r="Y394" s="2">
        <f>U395+V395+W395+X395</f>
        <v/>
      </c>
      <c r="Z394" s="60">
        <f>Y395+T395+L395</f>
        <v/>
      </c>
      <c r="AA394" s="11">
        <f>Z395*20%</f>
        <v/>
      </c>
      <c r="AB394" s="12">
        <f>Z395+AA395</f>
        <v/>
      </c>
      <c r="AC394" s="2">
        <f>D395*2.1</f>
        <v/>
      </c>
      <c r="AD394" s="12">
        <f>AB395-AC395</f>
        <v/>
      </c>
      <c r="AE394" s="12">
        <f>AD395/AB395*100</f>
        <v/>
      </c>
      <c r="AF394" s="92" t="n">
        <v>18950</v>
      </c>
      <c r="AG394" s="62">
        <f>((AF395-L395)/L395)*100</f>
        <v/>
      </c>
      <c r="AH394" s="106">
        <f>AJ395-AF395</f>
        <v/>
      </c>
      <c r="AI394" s="65" t="n">
        <v>19990</v>
      </c>
      <c r="AJ394" s="65" t="n">
        <v>19990</v>
      </c>
      <c r="AK394" s="66">
        <f>(AJ395-L395)/L395*100</f>
        <v/>
      </c>
      <c r="AL394" s="66" t="n"/>
      <c r="AM394" s="14">
        <f>AH395/AJ395%</f>
        <v/>
      </c>
      <c r="AN394" s="67">
        <f>AK395-AG395</f>
        <v/>
      </c>
      <c r="AO394" s="68">
        <f>AJ395/L395</f>
        <v/>
      </c>
      <c r="AP394" s="69">
        <f>(AJ395-AB395)/100</f>
        <v/>
      </c>
      <c r="AQ394" s="70">
        <f>(AJ395-AC395)/100</f>
        <v/>
      </c>
      <c r="AR394" s="71">
        <f>AI395/94</f>
        <v/>
      </c>
      <c r="AS394" s="71">
        <f>AJ395/94</f>
        <v/>
      </c>
      <c r="AT394" s="72">
        <f>AI395/24</f>
        <v/>
      </c>
      <c r="AU394" s="72">
        <f>AJ395/24</f>
        <v/>
      </c>
      <c r="AV394" s="73">
        <f>AI395/125</f>
        <v/>
      </c>
      <c r="AW394" s="73">
        <f>AJ395/125</f>
        <v/>
      </c>
    </row>
    <row r="395" ht="15.75" customHeight="1" s="258">
      <c r="A395" s="2" t="n"/>
      <c r="B395" s="2" t="inlineStr">
        <is>
          <t>Flower of Life / 20 in</t>
        </is>
      </c>
      <c r="C395" s="2" t="inlineStr">
        <is>
          <t>MI-G-ET-FOL-20</t>
        </is>
      </c>
      <c r="D395" s="207" t="n">
        <v>12600</v>
      </c>
      <c r="E395" s="2" t="n">
        <v>190</v>
      </c>
      <c r="F395" s="2" t="n">
        <v>100</v>
      </c>
      <c r="G395" s="118" t="n">
        <v>83061000</v>
      </c>
      <c r="H395" s="255" t="n">
        <v>0.05</v>
      </c>
      <c r="I395" s="2">
        <f>E396*H396</f>
        <v/>
      </c>
      <c r="K395" s="152" t="n">
        <v>300</v>
      </c>
      <c r="L395" s="135">
        <f>K396+J396+I396+F396+E396+D396</f>
        <v/>
      </c>
      <c r="M395" s="2">
        <f>D396*1%</f>
        <v/>
      </c>
      <c r="N395" s="12">
        <f>L396*8%</f>
        <v/>
      </c>
      <c r="O395" s="12">
        <f>L396*10%</f>
        <v/>
      </c>
      <c r="P395" s="12">
        <f>L396*5%</f>
        <v/>
      </c>
      <c r="Q395" s="12">
        <f>L396*2%</f>
        <v/>
      </c>
      <c r="R395" s="12">
        <f>AC396*0.5%</f>
        <v/>
      </c>
      <c r="S395" s="12">
        <f>L396*1%</f>
        <v/>
      </c>
      <c r="T395" s="60">
        <f>S396+Q396+P396+O396+N396+M396</f>
        <v/>
      </c>
      <c r="U395" s="2">
        <f>AC396*1%</f>
        <v/>
      </c>
      <c r="V395" s="44">
        <f>AC396*5%</f>
        <v/>
      </c>
      <c r="W395" s="2">
        <f>AC396*1%</f>
        <v/>
      </c>
      <c r="X395" s="2">
        <f>AC396*8%</f>
        <v/>
      </c>
      <c r="Y395" s="2">
        <f>U396+V396+W396+X396</f>
        <v/>
      </c>
      <c r="Z395" s="60">
        <f>Y396+T396+L396</f>
        <v/>
      </c>
      <c r="AA395" s="11">
        <f>Z396*20%</f>
        <v/>
      </c>
      <c r="AB395" s="12">
        <f>Z396+AA396</f>
        <v/>
      </c>
      <c r="AC395" s="2">
        <f>D396*2.1</f>
        <v/>
      </c>
      <c r="AD395" s="12">
        <f>AB396-AC396</f>
        <v/>
      </c>
      <c r="AE395" s="12">
        <f>AD396/AB396*100</f>
        <v/>
      </c>
      <c r="AF395" s="92" t="n">
        <v>23250</v>
      </c>
      <c r="AG395" s="62">
        <f>((AF396-L396)/L396)*100</f>
        <v/>
      </c>
      <c r="AH395" s="106">
        <f>AJ396-AF396</f>
        <v/>
      </c>
      <c r="AI395" s="65" t="n">
        <v>26990</v>
      </c>
      <c r="AJ395" s="65" t="n">
        <v>23990</v>
      </c>
      <c r="AK395" s="66">
        <f>(AJ396-L396)/L396*100</f>
        <v/>
      </c>
      <c r="AL395" s="66" t="n"/>
      <c r="AM395" s="14">
        <f>AH396/AJ396%</f>
        <v/>
      </c>
      <c r="AN395" s="67">
        <f>AK396-AG396</f>
        <v/>
      </c>
      <c r="AO395" s="68">
        <f>AJ396/L396</f>
        <v/>
      </c>
      <c r="AP395" s="69">
        <f>(AJ396-AB396)/100</f>
        <v/>
      </c>
      <c r="AQ395" s="70">
        <f>(AJ396-AC396)/100</f>
        <v/>
      </c>
      <c r="AR395" s="71">
        <f>AI396/94</f>
        <v/>
      </c>
      <c r="AS395" s="71">
        <f>AJ396/94</f>
        <v/>
      </c>
      <c r="AT395" s="72">
        <f>AI396/24</f>
        <v/>
      </c>
      <c r="AU395" s="72">
        <f>AJ396/24</f>
        <v/>
      </c>
      <c r="AV395" s="73">
        <f>AI396/125</f>
        <v/>
      </c>
      <c r="AW395" s="73">
        <f>AJ396/125</f>
        <v/>
      </c>
    </row>
    <row r="396" ht="15.75" customHeight="1" s="258">
      <c r="A396" s="2" t="n"/>
      <c r="B396" s="2" t="inlineStr">
        <is>
          <t>Flower of Life / 22 in</t>
        </is>
      </c>
      <c r="C396" s="2" t="inlineStr">
        <is>
          <t>MI-G-ET-FOL-22</t>
        </is>
      </c>
      <c r="D396" s="207" t="n">
        <v>15120</v>
      </c>
      <c r="E396" s="2" t="n">
        <v>190</v>
      </c>
      <c r="F396" s="2" t="n">
        <v>100</v>
      </c>
      <c r="G396" s="118" t="n">
        <v>83061000</v>
      </c>
      <c r="H396" s="255" t="n">
        <v>0.05</v>
      </c>
      <c r="I396" s="2">
        <f>E397*H397</f>
        <v/>
      </c>
      <c r="K396" s="152" t="n">
        <v>300</v>
      </c>
      <c r="L396" s="135">
        <f>K397+J397+I397+F397+E397+D397</f>
        <v/>
      </c>
      <c r="M396" s="2">
        <f>D397*1%</f>
        <v/>
      </c>
      <c r="N396" s="12">
        <f>L397*8%</f>
        <v/>
      </c>
      <c r="O396" s="12">
        <f>L397*10%</f>
        <v/>
      </c>
      <c r="P396" s="12">
        <f>L397*5%</f>
        <v/>
      </c>
      <c r="Q396" s="12">
        <f>L397*2%</f>
        <v/>
      </c>
      <c r="R396" s="12">
        <f>AC397*0.5%</f>
        <v/>
      </c>
      <c r="S396" s="12">
        <f>L397*1%</f>
        <v/>
      </c>
      <c r="T396" s="60">
        <f>S397+Q397+P397+O397+N397+M397</f>
        <v/>
      </c>
      <c r="U396" s="2">
        <f>AC397*1%</f>
        <v/>
      </c>
      <c r="V396" s="44">
        <f>AC397*5%</f>
        <v/>
      </c>
      <c r="W396" s="2">
        <f>AC397*1%</f>
        <v/>
      </c>
      <c r="X396" s="2">
        <f>AC397*8%</f>
        <v/>
      </c>
      <c r="Y396" s="2">
        <f>U397+V397+W397+X397</f>
        <v/>
      </c>
      <c r="Z396" s="60">
        <f>Y397+T397+L397</f>
        <v/>
      </c>
      <c r="AA396" s="11">
        <f>Z397*20%</f>
        <v/>
      </c>
      <c r="AB396" s="12">
        <f>Z397+AA397</f>
        <v/>
      </c>
      <c r="AC396" s="2">
        <f>D397*2.1</f>
        <v/>
      </c>
      <c r="AD396" s="12">
        <f>AB397-AC397</f>
        <v/>
      </c>
      <c r="AE396" s="12">
        <f>AD397/AB397*100</f>
        <v/>
      </c>
      <c r="AF396" s="92" t="n">
        <v>27690</v>
      </c>
      <c r="AG396" s="62">
        <f>((AF397-L397)/L397)*100</f>
        <v/>
      </c>
      <c r="AH396" s="106">
        <f>AJ397-AF397</f>
        <v/>
      </c>
      <c r="AI396" s="65" t="n">
        <v>31990</v>
      </c>
      <c r="AJ396" s="65" t="n">
        <v>28990</v>
      </c>
      <c r="AK396" s="66">
        <f>(AJ397-L397)/L397*100</f>
        <v/>
      </c>
      <c r="AL396" s="66" t="n"/>
      <c r="AM396" s="14">
        <f>AH397/AJ397%</f>
        <v/>
      </c>
      <c r="AN396" s="67">
        <f>AK397-AG397</f>
        <v/>
      </c>
      <c r="AO396" s="68">
        <f>AJ397/L397</f>
        <v/>
      </c>
      <c r="AP396" s="69">
        <f>(AJ397-AB397)/100</f>
        <v/>
      </c>
      <c r="AQ396" s="70">
        <f>(AJ397-AC397)/100</f>
        <v/>
      </c>
      <c r="AR396" s="71">
        <f>AI397/94</f>
        <v/>
      </c>
      <c r="AS396" s="71">
        <f>AJ397/94</f>
        <v/>
      </c>
      <c r="AT396" s="72">
        <f>AI397/24</f>
        <v/>
      </c>
      <c r="AU396" s="72">
        <f>AJ397/24</f>
        <v/>
      </c>
      <c r="AV396" s="73">
        <f>AI397/125</f>
        <v/>
      </c>
      <c r="AW396" s="73">
        <f>AJ397/125</f>
        <v/>
      </c>
    </row>
    <row r="397" ht="15.75" customHeight="1" s="258">
      <c r="A397" s="2" t="n"/>
      <c r="B397" s="2" t="inlineStr">
        <is>
          <t>Flower of Life / 24 in</t>
        </is>
      </c>
      <c r="C397" s="2" t="inlineStr">
        <is>
          <t>MI-G-ET-FOL-24</t>
        </is>
      </c>
      <c r="D397" s="207" t="n">
        <v>19800</v>
      </c>
      <c r="E397" s="2" t="n">
        <v>190</v>
      </c>
      <c r="F397" s="2" t="n">
        <v>100</v>
      </c>
      <c r="G397" s="118" t="n">
        <v>83061000</v>
      </c>
      <c r="H397" s="255" t="n">
        <v>0.05</v>
      </c>
      <c r="I397" s="2">
        <f>E398*H398</f>
        <v/>
      </c>
      <c r="K397" s="152" t="n">
        <v>300</v>
      </c>
      <c r="L397" s="135">
        <f>K398+J398+I398+F398+E398+D398</f>
        <v/>
      </c>
      <c r="M397" s="2">
        <f>D398*1%</f>
        <v/>
      </c>
      <c r="N397" s="12">
        <f>L398*8%</f>
        <v/>
      </c>
      <c r="O397" s="12">
        <f>L398*10%</f>
        <v/>
      </c>
      <c r="P397" s="12">
        <f>L398*5%</f>
        <v/>
      </c>
      <c r="Q397" s="12">
        <f>L398*2%</f>
        <v/>
      </c>
      <c r="R397" s="12">
        <f>AC398*0.5%</f>
        <v/>
      </c>
      <c r="S397" s="12">
        <f>L398*1%</f>
        <v/>
      </c>
      <c r="T397" s="60">
        <f>S398+Q398+P398+O398+N398+M398</f>
        <v/>
      </c>
      <c r="U397" s="2">
        <f>AC398*1%</f>
        <v/>
      </c>
      <c r="V397" s="44">
        <f>AC398*5%</f>
        <v/>
      </c>
      <c r="W397" s="2">
        <f>AC398*1%</f>
        <v/>
      </c>
      <c r="X397" s="2">
        <f>AC398*8%</f>
        <v/>
      </c>
      <c r="Y397" s="2">
        <f>U398+V398+W398+X398</f>
        <v/>
      </c>
      <c r="Z397" s="60">
        <f>Y398+T398+L398</f>
        <v/>
      </c>
      <c r="AA397" s="11">
        <f>Z398*20%</f>
        <v/>
      </c>
      <c r="AB397" s="12">
        <f>Z398+AA398</f>
        <v/>
      </c>
      <c r="AC397" s="2">
        <f>D398*2.1</f>
        <v/>
      </c>
      <c r="AD397" s="12">
        <f>AB398-AC398</f>
        <v/>
      </c>
      <c r="AE397" s="12">
        <f>AD398/AB398*100</f>
        <v/>
      </c>
      <c r="AF397" s="92" t="n">
        <v>32950</v>
      </c>
      <c r="AG397" s="62">
        <f>((AF398-L398)/L398)*100</f>
        <v/>
      </c>
      <c r="AH397" s="106">
        <f>AJ398-AF398</f>
        <v/>
      </c>
      <c r="AI397" s="65" t="n">
        <v>35990</v>
      </c>
      <c r="AJ397" s="65" t="n">
        <v>33990</v>
      </c>
      <c r="AK397" s="66">
        <f>(AJ398-L398)/L398*100</f>
        <v/>
      </c>
      <c r="AL397" s="66" t="n"/>
      <c r="AM397" s="14">
        <f>AH398/AJ398%</f>
        <v/>
      </c>
      <c r="AN397" s="67">
        <f>AK398-AG398</f>
        <v/>
      </c>
      <c r="AO397" s="68">
        <f>AJ398/L398</f>
        <v/>
      </c>
      <c r="AP397" s="69">
        <f>(AJ398-AB398)/100</f>
        <v/>
      </c>
      <c r="AQ397" s="70">
        <f>(AJ398-AC398)/100</f>
        <v/>
      </c>
      <c r="AR397" s="71">
        <f>AI398/94</f>
        <v/>
      </c>
      <c r="AS397" s="71">
        <f>AJ398/94</f>
        <v/>
      </c>
      <c r="AT397" s="72">
        <f>AI398/24</f>
        <v/>
      </c>
      <c r="AU397" s="72">
        <f>AJ398/24</f>
        <v/>
      </c>
      <c r="AV397" s="73">
        <f>AI398/125</f>
        <v/>
      </c>
      <c r="AW397" s="73">
        <f>AJ398/125</f>
        <v/>
      </c>
    </row>
    <row r="398" ht="15.75" customHeight="1" s="258">
      <c r="A398" s="2" t="n"/>
      <c r="B398" s="2" t="inlineStr">
        <is>
          <t>14 in / Om</t>
        </is>
      </c>
      <c r="C398" s="2" t="inlineStr">
        <is>
          <t>MI-G-ET-F-OM-14</t>
        </is>
      </c>
      <c r="D398" s="207" t="n">
        <v>5400</v>
      </c>
      <c r="E398" s="2" t="n">
        <v>190</v>
      </c>
      <c r="F398" s="2" t="n">
        <v>100</v>
      </c>
      <c r="G398" s="118" t="n">
        <v>83061000</v>
      </c>
      <c r="H398" s="255" t="n">
        <v>0.05</v>
      </c>
      <c r="I398" s="2">
        <f>E399*H399</f>
        <v/>
      </c>
      <c r="K398" s="152" t="n">
        <v>300</v>
      </c>
      <c r="L398" s="135">
        <f>K399+J399+I399+F399+E399+D399</f>
        <v/>
      </c>
      <c r="M398" s="2">
        <f>D399*1%</f>
        <v/>
      </c>
      <c r="N398" s="12">
        <f>L399*8%</f>
        <v/>
      </c>
      <c r="O398" s="12">
        <f>L399*10%</f>
        <v/>
      </c>
      <c r="P398" s="12">
        <f>L399*5%</f>
        <v/>
      </c>
      <c r="Q398" s="12">
        <f>L399*2%</f>
        <v/>
      </c>
      <c r="R398" s="12">
        <f>AC399*0.5%</f>
        <v/>
      </c>
      <c r="S398" s="12">
        <f>L399*1%</f>
        <v/>
      </c>
      <c r="T398" s="60">
        <f>S399+Q399+P399+O399+N399+M399</f>
        <v/>
      </c>
      <c r="U398" s="2">
        <f>AC399*1%</f>
        <v/>
      </c>
      <c r="V398" s="44">
        <f>AC399*5%</f>
        <v/>
      </c>
      <c r="W398" s="2">
        <f>AC399*1%</f>
        <v/>
      </c>
      <c r="X398" s="2">
        <f>AC399*8%</f>
        <v/>
      </c>
      <c r="Y398" s="2">
        <f>U399+V399+W399+X399</f>
        <v/>
      </c>
      <c r="Z398" s="60">
        <f>Y399+T399+L399</f>
        <v/>
      </c>
      <c r="AA398" s="11">
        <f>Z399*20%</f>
        <v/>
      </c>
      <c r="AB398" s="12">
        <f>Z399+AA399</f>
        <v/>
      </c>
      <c r="AC398" s="2">
        <f>D399*2.1</f>
        <v/>
      </c>
      <c r="AD398" s="12">
        <f>AB399-AC399</f>
        <v/>
      </c>
      <c r="AE398" s="12">
        <f>AD399/AB399*100</f>
        <v/>
      </c>
      <c r="AF398" s="92" t="n">
        <v>12450</v>
      </c>
      <c r="AG398" s="62">
        <f>((AF399-L399)/L399)*100</f>
        <v/>
      </c>
      <c r="AH398" s="106">
        <f>AJ399-AF399</f>
        <v/>
      </c>
      <c r="AI398" s="65" t="n">
        <v>13990</v>
      </c>
      <c r="AJ398" s="65" t="n">
        <v>12990</v>
      </c>
      <c r="AK398" s="66">
        <f>(AJ399-L399)/L399*100</f>
        <v/>
      </c>
      <c r="AL398" s="66" t="n"/>
      <c r="AM398" s="14">
        <f>AH399/AJ399%</f>
        <v/>
      </c>
      <c r="AN398" s="67">
        <f>AK399-AG399</f>
        <v/>
      </c>
      <c r="AO398" s="68">
        <f>AJ399/L399</f>
        <v/>
      </c>
      <c r="AP398" s="69">
        <f>(AJ399-AB399)/100</f>
        <v/>
      </c>
      <c r="AQ398" s="70">
        <f>(AJ399-AC399)/100</f>
        <v/>
      </c>
      <c r="AR398" s="71">
        <f>AI399/94</f>
        <v/>
      </c>
      <c r="AS398" s="71">
        <f>AJ399/94</f>
        <v/>
      </c>
      <c r="AT398" s="72">
        <f>AI399/24</f>
        <v/>
      </c>
      <c r="AU398" s="72">
        <f>AJ399/24</f>
        <v/>
      </c>
      <c r="AV398" s="73">
        <f>AI399/125</f>
        <v/>
      </c>
      <c r="AW398" s="73">
        <f>AJ399/125</f>
        <v/>
      </c>
    </row>
    <row r="399" ht="15.75" customHeight="1" s="258">
      <c r="A399" s="2" t="n"/>
      <c r="B399" s="2" t="inlineStr">
        <is>
          <t>16 in / Om</t>
        </is>
      </c>
      <c r="C399" s="2" t="inlineStr">
        <is>
          <t>MI-G-ET-F-OM-16</t>
        </is>
      </c>
      <c r="D399" s="207" t="n">
        <v>7200</v>
      </c>
      <c r="E399" s="2" t="n">
        <v>190</v>
      </c>
      <c r="F399" s="2" t="n">
        <v>100</v>
      </c>
      <c r="G399" s="118" t="n">
        <v>83061000</v>
      </c>
      <c r="H399" s="255" t="n">
        <v>0.05</v>
      </c>
      <c r="I399" s="2">
        <f>E400*H400</f>
        <v/>
      </c>
      <c r="K399" s="152" t="n">
        <v>300</v>
      </c>
      <c r="L399" s="135">
        <f>K400+J400+I400+F400+E400+D400</f>
        <v/>
      </c>
      <c r="M399" s="2">
        <f>D400*1%</f>
        <v/>
      </c>
      <c r="N399" s="12">
        <f>L400*8%</f>
        <v/>
      </c>
      <c r="O399" s="12">
        <f>L400*10%</f>
        <v/>
      </c>
      <c r="P399" s="12">
        <f>L400*5%</f>
        <v/>
      </c>
      <c r="Q399" s="12">
        <f>L400*2%</f>
        <v/>
      </c>
      <c r="R399" s="12">
        <f>AC400*0.5%</f>
        <v/>
      </c>
      <c r="S399" s="12">
        <f>L400*1%</f>
        <v/>
      </c>
      <c r="T399" s="60">
        <f>S400+Q400+P400+O400+N400+M400</f>
        <v/>
      </c>
      <c r="U399" s="2">
        <f>AC400*1%</f>
        <v/>
      </c>
      <c r="V399" s="44">
        <f>AC400*5%</f>
        <v/>
      </c>
      <c r="W399" s="2">
        <f>AC400*1%</f>
        <v/>
      </c>
      <c r="X399" s="2">
        <f>AC400*8%</f>
        <v/>
      </c>
      <c r="Y399" s="2">
        <f>U400+V400+W400+X400</f>
        <v/>
      </c>
      <c r="Z399" s="60">
        <f>Y400+T400+L400</f>
        <v/>
      </c>
      <c r="AA399" s="11">
        <f>Z400*20%</f>
        <v/>
      </c>
      <c r="AB399" s="12">
        <f>Z400+AA400</f>
        <v/>
      </c>
      <c r="AC399" s="2">
        <f>D400*2.1</f>
        <v/>
      </c>
      <c r="AD399" s="12">
        <f>AB400-AC400</f>
        <v/>
      </c>
      <c r="AE399" s="12">
        <f>AD400/AB400*100</f>
        <v/>
      </c>
      <c r="AF399" s="92" t="n">
        <v>15950</v>
      </c>
      <c r="AG399" s="62">
        <f>((AF400-L400)/L400)*100</f>
        <v/>
      </c>
      <c r="AH399" s="106">
        <f>AJ400-AF400</f>
        <v/>
      </c>
      <c r="AI399" s="65" t="n">
        <v>17990</v>
      </c>
      <c r="AJ399" s="65" t="n">
        <v>16990</v>
      </c>
      <c r="AK399" s="66">
        <f>(AJ400-L400)/L400*100</f>
        <v/>
      </c>
      <c r="AL399" s="66" t="n"/>
      <c r="AM399" s="14">
        <f>AH400/AJ400%</f>
        <v/>
      </c>
      <c r="AN399" s="67">
        <f>AK400-AG400</f>
        <v/>
      </c>
      <c r="AO399" s="68">
        <f>AJ400/L400</f>
        <v/>
      </c>
      <c r="AP399" s="69">
        <f>(AJ400-AB400)/100</f>
        <v/>
      </c>
      <c r="AQ399" s="70">
        <f>(AJ400-AC400)/100</f>
        <v/>
      </c>
      <c r="AR399" s="71">
        <f>AI400/94</f>
        <v/>
      </c>
      <c r="AS399" s="71">
        <f>AJ400/94</f>
        <v/>
      </c>
      <c r="AT399" s="72">
        <f>AI400/24</f>
        <v/>
      </c>
      <c r="AU399" s="72">
        <f>AJ400/24</f>
        <v/>
      </c>
      <c r="AV399" s="73">
        <f>AI400/125</f>
        <v/>
      </c>
      <c r="AW399" s="73">
        <f>AJ400/125</f>
        <v/>
      </c>
    </row>
    <row r="400" ht="15.75" customHeight="1" s="258">
      <c r="A400" s="2" t="n"/>
      <c r="B400" s="2" t="inlineStr">
        <is>
          <t>18 in / Om</t>
        </is>
      </c>
      <c r="C400" s="2" t="inlineStr">
        <is>
          <t>MI-G-ET-F-OM-18</t>
        </is>
      </c>
      <c r="D400" s="207" t="n">
        <v>9000</v>
      </c>
      <c r="E400" s="2" t="n">
        <v>190</v>
      </c>
      <c r="F400" s="2" t="n">
        <v>100</v>
      </c>
      <c r="G400" s="118" t="n">
        <v>83061000</v>
      </c>
      <c r="H400" s="255" t="n">
        <v>0.05</v>
      </c>
      <c r="I400" s="2">
        <f>E401*H401</f>
        <v/>
      </c>
      <c r="K400" s="152" t="n">
        <v>300</v>
      </c>
      <c r="L400" s="135">
        <f>K401+J401+I401+F401+E401+D401</f>
        <v/>
      </c>
      <c r="M400" s="2">
        <f>D401*1%</f>
        <v/>
      </c>
      <c r="N400" s="12">
        <f>L401*8%</f>
        <v/>
      </c>
      <c r="O400" s="12">
        <f>L401*10%</f>
        <v/>
      </c>
      <c r="P400" s="12">
        <f>L401*5%</f>
        <v/>
      </c>
      <c r="Q400" s="12">
        <f>L401*2%</f>
        <v/>
      </c>
      <c r="R400" s="12">
        <f>AC401*0.5%</f>
        <v/>
      </c>
      <c r="S400" s="12">
        <f>L401*1%</f>
        <v/>
      </c>
      <c r="T400" s="60">
        <f>S401+Q401+P401+O401+N401+M401</f>
        <v/>
      </c>
      <c r="U400" s="2">
        <f>AC401*1%</f>
        <v/>
      </c>
      <c r="V400" s="44">
        <f>AC401*5%</f>
        <v/>
      </c>
      <c r="W400" s="2">
        <f>AC401*1%</f>
        <v/>
      </c>
      <c r="X400" s="2">
        <f>AC401*8%</f>
        <v/>
      </c>
      <c r="Y400" s="2">
        <f>U401+V401+W401+X401</f>
        <v/>
      </c>
      <c r="Z400" s="60">
        <f>Y401+T401+L401</f>
        <v/>
      </c>
      <c r="AA400" s="11">
        <f>Z401*20%</f>
        <v/>
      </c>
      <c r="AB400" s="12">
        <f>Z401+AA401</f>
        <v/>
      </c>
      <c r="AC400" s="2">
        <f>D401*2.1</f>
        <v/>
      </c>
      <c r="AD400" s="12">
        <f>AB401-AC401</f>
        <v/>
      </c>
      <c r="AE400" s="12">
        <f>AD401/AB401*100</f>
        <v/>
      </c>
      <c r="AF400" s="92" t="n">
        <v>18950</v>
      </c>
      <c r="AG400" s="62">
        <f>((AF401-L401)/L401)*100</f>
        <v/>
      </c>
      <c r="AH400" s="106">
        <f>AJ401-AF401</f>
        <v/>
      </c>
      <c r="AI400" s="65" t="n">
        <v>21990</v>
      </c>
      <c r="AJ400" s="65" t="n">
        <v>19900</v>
      </c>
      <c r="AK400" s="66">
        <f>(AJ401-L401)/L401*100</f>
        <v/>
      </c>
      <c r="AL400" s="66" t="n"/>
      <c r="AM400" s="14">
        <f>AH401/AJ401%</f>
        <v/>
      </c>
      <c r="AN400" s="67">
        <f>AK401-AG401</f>
        <v/>
      </c>
      <c r="AO400" s="68">
        <f>AJ401/L401</f>
        <v/>
      </c>
      <c r="AP400" s="69">
        <f>(AJ401-AB401)/100</f>
        <v/>
      </c>
      <c r="AQ400" s="70">
        <f>(AJ401-AC401)/100</f>
        <v/>
      </c>
      <c r="AR400" s="71">
        <f>AI401/94</f>
        <v/>
      </c>
      <c r="AS400" s="71">
        <f>AJ401/94</f>
        <v/>
      </c>
      <c r="AT400" s="72">
        <f>AI401/24</f>
        <v/>
      </c>
      <c r="AU400" s="72">
        <f>AJ401/24</f>
        <v/>
      </c>
      <c r="AV400" s="73">
        <f>AI401/125</f>
        <v/>
      </c>
      <c r="AW400" s="73">
        <f>AJ401/125</f>
        <v/>
      </c>
    </row>
    <row r="401" ht="15.75" customHeight="1" s="258">
      <c r="A401" s="2" t="n"/>
      <c r="B401" s="2" t="inlineStr">
        <is>
          <t>20 in / Om</t>
        </is>
      </c>
      <c r="C401" s="2" t="inlineStr">
        <is>
          <t>MI-G-ET-F-OM-20</t>
        </is>
      </c>
      <c r="D401" s="207" t="n">
        <v>12600</v>
      </c>
      <c r="E401" s="2" t="n">
        <v>190</v>
      </c>
      <c r="F401" s="2" t="n">
        <v>100</v>
      </c>
      <c r="G401" s="118" t="n">
        <v>83061000</v>
      </c>
      <c r="H401" s="255" t="n">
        <v>0.05</v>
      </c>
      <c r="I401" s="2">
        <f>E402*H402</f>
        <v/>
      </c>
      <c r="K401" s="152" t="n">
        <v>300</v>
      </c>
      <c r="L401" s="135">
        <f>K402+J402+I402+F402+E402+D402</f>
        <v/>
      </c>
      <c r="M401" s="2">
        <f>D402*1%</f>
        <v/>
      </c>
      <c r="N401" s="12">
        <f>L402*8%</f>
        <v/>
      </c>
      <c r="O401" s="12">
        <f>L402*10%</f>
        <v/>
      </c>
      <c r="P401" s="12">
        <f>L402*5%</f>
        <v/>
      </c>
      <c r="Q401" s="12">
        <f>L402*2%</f>
        <v/>
      </c>
      <c r="R401" s="12">
        <f>AC402*0.5%</f>
        <v/>
      </c>
      <c r="S401" s="12">
        <f>L402*1%</f>
        <v/>
      </c>
      <c r="T401" s="60">
        <f>S402+Q402+P402+O402+N402+M402</f>
        <v/>
      </c>
      <c r="U401" s="2">
        <f>AC402*1%</f>
        <v/>
      </c>
      <c r="V401" s="44">
        <f>AC402*5%</f>
        <v/>
      </c>
      <c r="W401" s="2">
        <f>AC402*1%</f>
        <v/>
      </c>
      <c r="X401" s="2">
        <f>AC402*8%</f>
        <v/>
      </c>
      <c r="Y401" s="2">
        <f>U402+V402+W402+X402</f>
        <v/>
      </c>
      <c r="Z401" s="60">
        <f>Y402+T402+L402</f>
        <v/>
      </c>
      <c r="AA401" s="11">
        <f>Z402*20%</f>
        <v/>
      </c>
      <c r="AB401" s="12">
        <f>Z402+AA402</f>
        <v/>
      </c>
      <c r="AC401" s="2">
        <f>D402*2.1</f>
        <v/>
      </c>
      <c r="AD401" s="12">
        <f>AB402-AC402</f>
        <v/>
      </c>
      <c r="AE401" s="12">
        <f>AD402/AB402*100</f>
        <v/>
      </c>
      <c r="AF401" s="92" t="n">
        <v>23250</v>
      </c>
      <c r="AG401" s="62">
        <f>((AF402-L402)/L402)*100</f>
        <v/>
      </c>
      <c r="AH401" s="106">
        <f>AJ402-AF402</f>
        <v/>
      </c>
      <c r="AI401" s="65" t="n">
        <v>27990</v>
      </c>
      <c r="AJ401" s="65" t="n">
        <v>23990</v>
      </c>
      <c r="AK401" s="66">
        <f>(AJ402-L402)/L402*100</f>
        <v/>
      </c>
      <c r="AL401" s="66" t="n"/>
      <c r="AM401" s="14">
        <f>AH402/AJ402%</f>
        <v/>
      </c>
      <c r="AN401" s="67">
        <f>AK402-AG402</f>
        <v/>
      </c>
      <c r="AO401" s="68">
        <f>AJ402/L402</f>
        <v/>
      </c>
      <c r="AP401" s="69">
        <f>(AJ402-AB402)/100</f>
        <v/>
      </c>
      <c r="AQ401" s="70">
        <f>(AJ402-AC402)/100</f>
        <v/>
      </c>
      <c r="AR401" s="71">
        <f>AI402/94</f>
        <v/>
      </c>
      <c r="AS401" s="71">
        <f>AJ402/94</f>
        <v/>
      </c>
      <c r="AT401" s="72">
        <f>AI402/24</f>
        <v/>
      </c>
      <c r="AU401" s="72">
        <f>AJ402/24</f>
        <v/>
      </c>
      <c r="AV401" s="73">
        <f>AI402/125</f>
        <v/>
      </c>
      <c r="AW401" s="73">
        <f>AJ402/125</f>
        <v/>
      </c>
    </row>
    <row r="402" ht="15.75" customHeight="1" s="258">
      <c r="A402" s="2" t="n"/>
      <c r="B402" s="2" t="inlineStr">
        <is>
          <t>22 in / Om</t>
        </is>
      </c>
      <c r="C402" s="2" t="inlineStr">
        <is>
          <t>MI-G-ET-F-OM-22</t>
        </is>
      </c>
      <c r="D402" s="207" t="n">
        <v>15120</v>
      </c>
      <c r="E402" s="2" t="n">
        <v>190</v>
      </c>
      <c r="F402" s="2" t="n">
        <v>100</v>
      </c>
      <c r="G402" s="118" t="n">
        <v>83061000</v>
      </c>
      <c r="H402" s="255" t="n">
        <v>0.05</v>
      </c>
      <c r="I402" s="2">
        <f>E403*H403</f>
        <v/>
      </c>
      <c r="K402" s="152" t="n">
        <v>300</v>
      </c>
      <c r="L402" s="135">
        <f>K403+J403+I403+F403+E403+D403</f>
        <v/>
      </c>
      <c r="M402" s="2">
        <f>D403*1%</f>
        <v/>
      </c>
      <c r="N402" s="12">
        <f>L403*8%</f>
        <v/>
      </c>
      <c r="O402" s="12">
        <f>L403*10%</f>
        <v/>
      </c>
      <c r="P402" s="12">
        <f>L403*5%</f>
        <v/>
      </c>
      <c r="Q402" s="12">
        <f>L403*2%</f>
        <v/>
      </c>
      <c r="R402" s="12">
        <f>AC403*0.5%</f>
        <v/>
      </c>
      <c r="S402" s="12">
        <f>L403*1%</f>
        <v/>
      </c>
      <c r="T402" s="60">
        <f>S403+Q403+P403+O403+N403+M403</f>
        <v/>
      </c>
      <c r="U402" s="2">
        <f>AC403*1%</f>
        <v/>
      </c>
      <c r="V402" s="44">
        <f>AC403*5%</f>
        <v/>
      </c>
      <c r="W402" s="2">
        <f>AC403*1%</f>
        <v/>
      </c>
      <c r="X402" s="2">
        <f>AC403*8%</f>
        <v/>
      </c>
      <c r="Y402" s="2">
        <f>U403+V403+W403+X403</f>
        <v/>
      </c>
      <c r="Z402" s="60">
        <f>Y403+T403+L403</f>
        <v/>
      </c>
      <c r="AA402" s="11">
        <f>Z403*20%</f>
        <v/>
      </c>
      <c r="AB402" s="12">
        <f>Z403+AA403</f>
        <v/>
      </c>
      <c r="AC402" s="2">
        <f>D403*2.1</f>
        <v/>
      </c>
      <c r="AD402" s="12">
        <f>AB403-AC403</f>
        <v/>
      </c>
      <c r="AE402" s="12">
        <f>AD403/AB403*100</f>
        <v/>
      </c>
      <c r="AF402" s="92" t="n">
        <v>27690</v>
      </c>
      <c r="AG402" s="62">
        <f>((AF403-L403)/L403)*100</f>
        <v/>
      </c>
      <c r="AH402" s="106">
        <f>AJ403-AF403</f>
        <v/>
      </c>
      <c r="AI402" s="65" t="n">
        <v>29990</v>
      </c>
      <c r="AJ402" s="65" t="n">
        <v>28990</v>
      </c>
      <c r="AK402" s="66">
        <f>(AJ403-L403)/L403*100</f>
        <v/>
      </c>
      <c r="AL402" s="66" t="n"/>
      <c r="AM402" s="14">
        <f>AH403/AJ403%</f>
        <v/>
      </c>
      <c r="AN402" s="67">
        <f>AK403-AG403</f>
        <v/>
      </c>
      <c r="AO402" s="68">
        <f>AJ403/L403</f>
        <v/>
      </c>
      <c r="AP402" s="69">
        <f>(AJ403-AB403)/100</f>
        <v/>
      </c>
      <c r="AQ402" s="70">
        <f>(AJ403-AC403)/100</f>
        <v/>
      </c>
      <c r="AR402" s="71">
        <f>AI403/94</f>
        <v/>
      </c>
      <c r="AS402" s="71">
        <f>AJ403/94</f>
        <v/>
      </c>
      <c r="AT402" s="72">
        <f>AI403/24</f>
        <v/>
      </c>
      <c r="AU402" s="72">
        <f>AJ403/24</f>
        <v/>
      </c>
      <c r="AV402" s="73">
        <f>AI403/125</f>
        <v/>
      </c>
      <c r="AW402" s="73">
        <f>AJ403/125</f>
        <v/>
      </c>
    </row>
    <row r="403" ht="15.75" customHeight="1" s="258">
      <c r="A403" s="2" t="n"/>
      <c r="B403" s="2" t="inlineStr">
        <is>
          <t>24 in / Om</t>
        </is>
      </c>
      <c r="C403" s="2" t="inlineStr">
        <is>
          <t>MI-G-ET-F-OM-24</t>
        </is>
      </c>
      <c r="D403" s="207" t="n">
        <v>19800</v>
      </c>
      <c r="E403" s="2" t="n">
        <v>190</v>
      </c>
      <c r="F403" s="2" t="n">
        <v>100</v>
      </c>
      <c r="G403" s="118" t="n">
        <v>83061000</v>
      </c>
      <c r="H403" s="255" t="n">
        <v>0.05</v>
      </c>
      <c r="I403" s="2">
        <f>E404*H404</f>
        <v/>
      </c>
      <c r="K403" s="152" t="n">
        <v>300</v>
      </c>
      <c r="L403" s="135">
        <f>K404+J404+I404+F404+E404+D404</f>
        <v/>
      </c>
      <c r="M403" s="2">
        <f>D404*1%</f>
        <v/>
      </c>
      <c r="N403" s="12">
        <f>L404*8%</f>
        <v/>
      </c>
      <c r="O403" s="12">
        <f>L404*10%</f>
        <v/>
      </c>
      <c r="P403" s="12">
        <f>L404*5%</f>
        <v/>
      </c>
      <c r="Q403" s="12">
        <f>L404*2%</f>
        <v/>
      </c>
      <c r="R403" s="12">
        <f>AC404*0.5%</f>
        <v/>
      </c>
      <c r="S403" s="12">
        <f>L404*1%</f>
        <v/>
      </c>
      <c r="T403" s="60">
        <f>S404+Q404+P404+O404+N404+M404</f>
        <v/>
      </c>
      <c r="U403" s="2">
        <f>AC404*1%</f>
        <v/>
      </c>
      <c r="V403" s="44">
        <f>AC404*5%</f>
        <v/>
      </c>
      <c r="W403" s="2">
        <f>AC404*1%</f>
        <v/>
      </c>
      <c r="X403" s="2">
        <f>AC404*8%</f>
        <v/>
      </c>
      <c r="Y403" s="2">
        <f>U404+V404+W404+X404</f>
        <v/>
      </c>
      <c r="Z403" s="60">
        <f>Y404+T404+L404</f>
        <v/>
      </c>
      <c r="AA403" s="11">
        <f>Z404*20%</f>
        <v/>
      </c>
      <c r="AB403" s="12">
        <f>Z404+AA404</f>
        <v/>
      </c>
      <c r="AC403" s="2">
        <f>D404*2.1</f>
        <v/>
      </c>
      <c r="AD403" s="12">
        <f>AB404-AC404</f>
        <v/>
      </c>
      <c r="AE403" s="12">
        <f>AD404/AB404*100</f>
        <v/>
      </c>
      <c r="AF403" s="92" t="n">
        <v>32950</v>
      </c>
      <c r="AG403" s="62">
        <f>((AF404-L404)/L404)*100</f>
        <v/>
      </c>
      <c r="AH403" s="106">
        <f>AJ404-AF404</f>
        <v/>
      </c>
      <c r="AI403" s="65" t="n">
        <v>36990</v>
      </c>
      <c r="AJ403" s="65" t="n">
        <v>34990</v>
      </c>
      <c r="AK403" s="66">
        <f>(AJ404-L404)/L404*100</f>
        <v/>
      </c>
      <c r="AL403" s="66" t="n"/>
      <c r="AM403" s="14">
        <f>AH404/AJ404%</f>
        <v/>
      </c>
      <c r="AN403" s="67">
        <f>AK404-AG404</f>
        <v/>
      </c>
      <c r="AO403" s="68">
        <f>AJ404/L404</f>
        <v/>
      </c>
      <c r="AP403" s="69">
        <f>(AJ404-AB404)/100</f>
        <v/>
      </c>
      <c r="AQ403" s="70">
        <f>(AJ404-AC404)/100</f>
        <v/>
      </c>
      <c r="AR403" s="71">
        <f>AI404/94</f>
        <v/>
      </c>
      <c r="AS403" s="71">
        <f>AJ404/94</f>
        <v/>
      </c>
      <c r="AT403" s="72">
        <f>AI404/24</f>
        <v/>
      </c>
      <c r="AU403" s="72">
        <f>AJ404/24</f>
        <v/>
      </c>
      <c r="AV403" s="73">
        <f>AI404/125</f>
        <v/>
      </c>
      <c r="AW403" s="73">
        <f>AJ404/125</f>
        <v/>
      </c>
    </row>
    <row r="404" ht="15.75" customHeight="1" s="258">
      <c r="A404" s="2" t="n"/>
      <c r="B404" s="2" t="inlineStr">
        <is>
          <t>26 in / Om</t>
        </is>
      </c>
      <c r="C404" s="2" t="inlineStr">
        <is>
          <t>MI-G-ET-F-OM-26</t>
        </is>
      </c>
      <c r="D404" s="207" t="n">
        <v>25200</v>
      </c>
      <c r="E404" s="2" t="n">
        <v>350</v>
      </c>
      <c r="F404" s="2" t="n">
        <v>100</v>
      </c>
      <c r="G404" s="118" t="n">
        <v>83061000</v>
      </c>
      <c r="H404" s="255" t="n">
        <v>0.05</v>
      </c>
      <c r="I404" s="2">
        <f>E405*H405</f>
        <v/>
      </c>
      <c r="K404" s="152" t="n">
        <v>300</v>
      </c>
      <c r="L404" s="135">
        <f>K405+J405+I405+F405+E405+D405</f>
        <v/>
      </c>
      <c r="M404" s="2">
        <f>D405*1%</f>
        <v/>
      </c>
      <c r="N404" s="12">
        <f>L405*8%</f>
        <v/>
      </c>
      <c r="O404" s="12">
        <f>L405*10%</f>
        <v/>
      </c>
      <c r="P404" s="12">
        <f>L405*5%</f>
        <v/>
      </c>
      <c r="Q404" s="12">
        <f>L405*2%</f>
        <v/>
      </c>
      <c r="R404" s="12">
        <f>AC405*0.5%</f>
        <v/>
      </c>
      <c r="S404" s="12">
        <f>L405*1%</f>
        <v/>
      </c>
      <c r="T404" s="60">
        <f>S405+Q405+P405+O405+N405+M405</f>
        <v/>
      </c>
      <c r="U404" s="2">
        <f>AC405*1%</f>
        <v/>
      </c>
      <c r="V404" s="44">
        <f>AC405*5%</f>
        <v/>
      </c>
      <c r="W404" s="2">
        <f>AC405*1%</f>
        <v/>
      </c>
      <c r="X404" s="2">
        <f>AC405*8%</f>
        <v/>
      </c>
      <c r="Y404" s="2">
        <f>U405+V405+W405+X405</f>
        <v/>
      </c>
      <c r="Z404" s="60">
        <f>Y405+T405+L405</f>
        <v/>
      </c>
      <c r="AA404" s="11">
        <f>Z405*20%</f>
        <v/>
      </c>
      <c r="AB404" s="12">
        <f>Z405+AA405</f>
        <v/>
      </c>
      <c r="AC404" s="2">
        <f>D405*2.1</f>
        <v/>
      </c>
      <c r="AD404" s="12">
        <f>AB405-AC405</f>
        <v/>
      </c>
      <c r="AE404" s="12">
        <f>AD405/AB405*100</f>
        <v/>
      </c>
      <c r="AF404" s="92" t="n">
        <v>37950</v>
      </c>
      <c r="AG404" s="62">
        <f>((AF405-L405)/L405)*100</f>
        <v/>
      </c>
      <c r="AH404" s="106">
        <f>AJ405-AF405</f>
        <v/>
      </c>
      <c r="AI404" s="65" t="n">
        <v>42990</v>
      </c>
      <c r="AJ404" s="65" t="n">
        <v>38990</v>
      </c>
      <c r="AK404" s="66">
        <f>(AJ405-L405)/L405*100</f>
        <v/>
      </c>
      <c r="AL404" s="66" t="n"/>
      <c r="AM404" s="14">
        <f>AH405/AJ405%</f>
        <v/>
      </c>
      <c r="AN404" s="67">
        <f>AK405-AG405</f>
        <v/>
      </c>
      <c r="AO404" s="68">
        <f>AJ405/L405</f>
        <v/>
      </c>
      <c r="AP404" s="69">
        <f>(AJ405-AB405)/100</f>
        <v/>
      </c>
      <c r="AQ404" s="70">
        <f>(AJ405-AC405)/100</f>
        <v/>
      </c>
      <c r="AR404" s="71">
        <f>AI405/94</f>
        <v/>
      </c>
      <c r="AS404" s="71">
        <f>AJ405/94</f>
        <v/>
      </c>
      <c r="AT404" s="72">
        <f>AI405/24</f>
        <v/>
      </c>
      <c r="AU404" s="72">
        <f>AJ405/24</f>
        <v/>
      </c>
      <c r="AV404" s="73">
        <f>AI405/125</f>
        <v/>
      </c>
      <c r="AW404" s="73">
        <f>AJ405/125</f>
        <v/>
      </c>
    </row>
    <row r="405" ht="15.75" customHeight="1" s="258">
      <c r="A405" s="96" t="n"/>
      <c r="B405" s="96" t="inlineStr">
        <is>
          <t>28 in / Om</t>
        </is>
      </c>
      <c r="C405" s="96" t="inlineStr">
        <is>
          <t>MI-G-ET-F-OM-28</t>
        </is>
      </c>
      <c r="D405" s="208" t="n">
        <v>36550</v>
      </c>
      <c r="E405" s="96" t="n">
        <v>350</v>
      </c>
      <c r="F405" s="96" t="n">
        <v>100</v>
      </c>
      <c r="G405" s="94" t="n">
        <v>83061000</v>
      </c>
      <c r="H405" s="97" t="n">
        <v>0.05</v>
      </c>
      <c r="I405" s="96">
        <f>E406*H406</f>
        <v/>
      </c>
      <c r="J405" s="107" t="n"/>
      <c r="K405" s="160" t="n">
        <v>300</v>
      </c>
      <c r="L405" s="163">
        <f>K406+J406+I406+F406+E406+D406</f>
        <v/>
      </c>
      <c r="M405" s="96">
        <f>D406*1%</f>
        <v/>
      </c>
      <c r="N405" s="99">
        <f>L406*8%</f>
        <v/>
      </c>
      <c r="O405" s="99">
        <f>L406*10%</f>
        <v/>
      </c>
      <c r="P405" s="99">
        <f>L406*5%</f>
        <v/>
      </c>
      <c r="Q405" s="99">
        <f>L406*2%</f>
        <v/>
      </c>
      <c r="R405" s="99">
        <f>AC406*0.5%</f>
        <v/>
      </c>
      <c r="S405" s="99">
        <f>L406*1%</f>
        <v/>
      </c>
      <c r="T405" s="100">
        <f>S406+Q406+P406+O406+N406+M406</f>
        <v/>
      </c>
      <c r="U405" s="96">
        <f>AC406*1%</f>
        <v/>
      </c>
      <c r="V405" s="44">
        <f>AC406*5%</f>
        <v/>
      </c>
      <c r="W405" s="96">
        <f>AC406*1%</f>
        <v/>
      </c>
      <c r="X405" s="96">
        <f>AC406*8%</f>
        <v/>
      </c>
      <c r="Y405" s="96">
        <f>U406+V406+W406+X406</f>
        <v/>
      </c>
      <c r="Z405" s="100">
        <f>Y406+T406+L406</f>
        <v/>
      </c>
      <c r="AA405" s="101">
        <f>Z406*20%</f>
        <v/>
      </c>
      <c r="AB405" s="99">
        <f>Z406+AA406</f>
        <v/>
      </c>
      <c r="AC405" s="96">
        <f>D406*2.1</f>
        <v/>
      </c>
      <c r="AD405" s="99">
        <f>AB406-AC406</f>
        <v/>
      </c>
      <c r="AE405" s="99">
        <f>AD406/AB406*100</f>
        <v/>
      </c>
      <c r="AF405" s="107" t="n">
        <v>42950</v>
      </c>
      <c r="AG405" s="102">
        <f>((AF406-L406)/L406)*100</f>
        <v/>
      </c>
      <c r="AH405" s="106">
        <f>AJ406-AF406</f>
        <v/>
      </c>
      <c r="AI405" s="106" t="n">
        <v>49990</v>
      </c>
      <c r="AJ405" s="106" t="n">
        <v>44490</v>
      </c>
      <c r="AK405" s="14">
        <f>(AJ406-L406)/L406*100</f>
        <v/>
      </c>
      <c r="AL405" s="14" t="n"/>
      <c r="AM405" s="14">
        <f>AH406/AJ406%</f>
        <v/>
      </c>
      <c r="AN405" s="14">
        <f>AK406-AG406</f>
        <v/>
      </c>
      <c r="AO405" s="103">
        <f>AJ406/L406</f>
        <v/>
      </c>
      <c r="AP405" s="14">
        <f>(AJ406-AB406)/100</f>
        <v/>
      </c>
      <c r="AQ405" s="14">
        <f>(AJ406-AC406)/100</f>
        <v/>
      </c>
      <c r="AR405" s="104">
        <f>AI406/94</f>
        <v/>
      </c>
      <c r="AS405" s="104">
        <f>AJ406/94</f>
        <v/>
      </c>
      <c r="AT405" s="105">
        <f>AI406/24</f>
        <v/>
      </c>
      <c r="AU405" s="105">
        <f>AJ406/24</f>
        <v/>
      </c>
      <c r="AV405" s="105">
        <f>AI406/125</f>
        <v/>
      </c>
      <c r="AW405" s="105">
        <f>AJ406/125</f>
        <v/>
      </c>
      <c r="AX405" s="107" t="n"/>
      <c r="AY405" s="107" t="n"/>
    </row>
    <row r="406" ht="15.75" customHeight="1" s="258">
      <c r="A406" s="2" t="n"/>
      <c r="B406" s="2" t="inlineStr">
        <is>
          <t>Mandala / 14 in</t>
        </is>
      </c>
      <c r="C406" s="2" t="inlineStr">
        <is>
          <t>MI-G-ET-M-14</t>
        </is>
      </c>
      <c r="D406" s="189">
        <f>3600*1.5</f>
        <v/>
      </c>
      <c r="E406" s="2" t="n">
        <v>190</v>
      </c>
      <c r="F406" s="2" t="n">
        <v>100</v>
      </c>
      <c r="G406" s="118" t="n">
        <v>83061000</v>
      </c>
      <c r="H406" s="255" t="n">
        <v>0.05</v>
      </c>
      <c r="I406" s="2">
        <f>E407*H407</f>
        <v/>
      </c>
      <c r="K406" s="152" t="n">
        <v>300</v>
      </c>
      <c r="L406" s="135">
        <f>K407+J407+I407+F407+E407+D407</f>
        <v/>
      </c>
      <c r="M406" s="2">
        <f>D407*1%</f>
        <v/>
      </c>
      <c r="N406" s="12">
        <f>L407*8%</f>
        <v/>
      </c>
      <c r="O406" s="12">
        <f>L407*10%</f>
        <v/>
      </c>
      <c r="P406" s="12">
        <f>L407*5%</f>
        <v/>
      </c>
      <c r="Q406" s="12">
        <f>L407*2%</f>
        <v/>
      </c>
      <c r="R406" s="12">
        <f>AC407*0.5%</f>
        <v/>
      </c>
      <c r="S406" s="12">
        <f>L407*1%</f>
        <v/>
      </c>
      <c r="T406" s="60">
        <f>S407+Q407+P407+O407+N407+M407</f>
        <v/>
      </c>
      <c r="U406" s="2">
        <f>AC407*1%</f>
        <v/>
      </c>
      <c r="V406" s="44">
        <f>AC407*5%</f>
        <v/>
      </c>
      <c r="W406" s="2">
        <f>AC407*1%</f>
        <v/>
      </c>
      <c r="X406" s="2">
        <f>AC407*8%</f>
        <v/>
      </c>
      <c r="Y406" s="2">
        <f>U407+V407+W407+X407</f>
        <v/>
      </c>
      <c r="Z406" s="60">
        <f>Y407+T407+L407</f>
        <v/>
      </c>
      <c r="AA406" s="11">
        <f>Z407*20%</f>
        <v/>
      </c>
      <c r="AB406" s="12">
        <f>Z407+AA407</f>
        <v/>
      </c>
      <c r="AC406" s="2">
        <f>D407*2.1</f>
        <v/>
      </c>
      <c r="AD406" s="12">
        <f>AB407-AC407</f>
        <v/>
      </c>
      <c r="AE406" s="12">
        <f>AD407/AB407*100</f>
        <v/>
      </c>
      <c r="AF406" s="92" t="n">
        <v>12450</v>
      </c>
      <c r="AG406" s="62">
        <f>((AF407-L407)/L407)*100</f>
        <v/>
      </c>
      <c r="AH406" s="106">
        <f>AJ407-AF407</f>
        <v/>
      </c>
      <c r="AI406" s="65" t="n">
        <v>13990</v>
      </c>
      <c r="AJ406" s="65" t="n">
        <v>12990</v>
      </c>
      <c r="AK406" s="66">
        <f>(AJ407-L407)/L407*100</f>
        <v/>
      </c>
      <c r="AL406" s="66" t="n"/>
      <c r="AM406" s="14">
        <f>AH407/AJ407%</f>
        <v/>
      </c>
      <c r="AN406" s="67">
        <f>AK407-AG407</f>
        <v/>
      </c>
      <c r="AO406" s="68">
        <f>AJ407/L407</f>
        <v/>
      </c>
      <c r="AP406" s="69">
        <f>(AJ407-AB407)/100</f>
        <v/>
      </c>
      <c r="AQ406" s="70">
        <f>(AJ407-AC407)/100</f>
        <v/>
      </c>
      <c r="AR406" s="71">
        <f>AI407/94</f>
        <v/>
      </c>
      <c r="AS406" s="71">
        <f>AJ407/94</f>
        <v/>
      </c>
      <c r="AT406" s="72">
        <f>AI407/24</f>
        <v/>
      </c>
      <c r="AU406" s="72">
        <f>AJ407/24</f>
        <v/>
      </c>
      <c r="AV406" s="73">
        <f>AI407/125</f>
        <v/>
      </c>
      <c r="AW406" s="73">
        <f>AJ407/125</f>
        <v/>
      </c>
    </row>
    <row r="407" ht="15" customHeight="1" s="258">
      <c r="A407" s="2" t="n"/>
      <c r="B407" s="2" t="inlineStr">
        <is>
          <t>Mandala / 16 in</t>
        </is>
      </c>
      <c r="C407" s="2" t="inlineStr">
        <is>
          <t>MI-G-ET-M-16</t>
        </is>
      </c>
      <c r="D407" s="207" t="n">
        <v>7200</v>
      </c>
      <c r="E407" s="2" t="n">
        <v>350</v>
      </c>
      <c r="F407" s="2" t="n">
        <v>100</v>
      </c>
      <c r="G407" s="118" t="n">
        <v>83061000</v>
      </c>
      <c r="H407" s="255" t="n">
        <v>0.05</v>
      </c>
      <c r="I407" s="2">
        <f>E408*H408</f>
        <v/>
      </c>
      <c r="K407" s="152" t="n">
        <v>300</v>
      </c>
      <c r="L407" s="135">
        <f>K408+J408+I408+F408+E408+D408</f>
        <v/>
      </c>
      <c r="M407" s="2">
        <f>D408*1%</f>
        <v/>
      </c>
      <c r="N407" s="12">
        <f>L408*8%</f>
        <v/>
      </c>
      <c r="O407" s="12">
        <f>L408*10%</f>
        <v/>
      </c>
      <c r="P407" s="12">
        <f>L408*5%</f>
        <v/>
      </c>
      <c r="Q407" s="12">
        <f>L408*2%</f>
        <v/>
      </c>
      <c r="R407" s="12">
        <f>AC408*0.5%</f>
        <v/>
      </c>
      <c r="S407" s="12">
        <f>L408*1%</f>
        <v/>
      </c>
      <c r="T407" s="60">
        <f>S408+Q408+P408+O408+N408+M408</f>
        <v/>
      </c>
      <c r="U407" s="2">
        <f>AC408*1%</f>
        <v/>
      </c>
      <c r="V407" s="44">
        <f>AC408*5%</f>
        <v/>
      </c>
      <c r="W407" s="2">
        <f>AC408*1%</f>
        <v/>
      </c>
      <c r="X407" s="2">
        <f>AC408*8%</f>
        <v/>
      </c>
      <c r="Y407" s="2">
        <f>U408+V408+W408+X408</f>
        <v/>
      </c>
      <c r="Z407" s="60">
        <f>Y408+T408+L408</f>
        <v/>
      </c>
      <c r="AA407" s="11">
        <f>Z408*20%</f>
        <v/>
      </c>
      <c r="AB407" s="12">
        <f>Z408+AA408</f>
        <v/>
      </c>
      <c r="AC407" s="2">
        <f>D408*2.1</f>
        <v/>
      </c>
      <c r="AD407" s="12">
        <f>AB408-AC408</f>
        <v/>
      </c>
      <c r="AE407" s="12">
        <f>AD408/AB408*100</f>
        <v/>
      </c>
      <c r="AF407" s="92" t="n">
        <v>15950</v>
      </c>
      <c r="AG407" s="62">
        <f>((AF408-L408)/L408)*100</f>
        <v/>
      </c>
      <c r="AH407" s="106">
        <f>AJ408-AF408</f>
        <v/>
      </c>
      <c r="AI407" s="65" t="n">
        <v>17990</v>
      </c>
      <c r="AJ407" s="65" t="n">
        <v>16990</v>
      </c>
      <c r="AK407" s="66">
        <f>(AJ408-L408)/L408*100</f>
        <v/>
      </c>
      <c r="AL407" s="66" t="n"/>
      <c r="AM407" s="14">
        <f>AH408/AJ408%</f>
        <v/>
      </c>
      <c r="AN407" s="67">
        <f>AK408-AG408</f>
        <v/>
      </c>
      <c r="AO407" s="68">
        <f>AJ408/L408</f>
        <v/>
      </c>
      <c r="AP407" s="69">
        <f>(AJ408-AB408)/100</f>
        <v/>
      </c>
      <c r="AQ407" s="70">
        <f>(AJ408-AC408)/100</f>
        <v/>
      </c>
      <c r="AR407" s="71">
        <f>AI408/94</f>
        <v/>
      </c>
      <c r="AS407" s="71">
        <f>AJ408/94</f>
        <v/>
      </c>
      <c r="AT407" s="72">
        <f>AI408/24</f>
        <v/>
      </c>
      <c r="AU407" s="72">
        <f>AJ408/24</f>
        <v/>
      </c>
      <c r="AV407" s="73">
        <f>AI408/125</f>
        <v/>
      </c>
      <c r="AW407" s="73">
        <f>AJ408/125</f>
        <v/>
      </c>
    </row>
    <row r="408" ht="15.75" customHeight="1" s="258">
      <c r="A408" s="2" t="n"/>
      <c r="B408" s="2" t="inlineStr">
        <is>
          <t>18 in / Mandala</t>
        </is>
      </c>
      <c r="C408" s="2" t="inlineStr">
        <is>
          <t>MI-G-ET-M-18</t>
        </is>
      </c>
      <c r="D408" s="207" t="n">
        <v>9000</v>
      </c>
      <c r="E408" s="2" t="n">
        <v>190</v>
      </c>
      <c r="F408" s="2" t="n">
        <v>100</v>
      </c>
      <c r="G408" s="118" t="n">
        <v>83061000</v>
      </c>
      <c r="H408" s="255" t="n">
        <v>0.05</v>
      </c>
      <c r="I408" s="2">
        <f>E409*H409</f>
        <v/>
      </c>
      <c r="K408" s="152" t="n">
        <v>300</v>
      </c>
      <c r="L408" s="135">
        <f>K409+J409+I409+F409+E409+D409</f>
        <v/>
      </c>
      <c r="M408" s="2">
        <f>D409*1%</f>
        <v/>
      </c>
      <c r="N408" s="12">
        <f>L409*8%</f>
        <v/>
      </c>
      <c r="O408" s="12">
        <f>L409*10%</f>
        <v/>
      </c>
      <c r="P408" s="12">
        <f>L409*5%</f>
        <v/>
      </c>
      <c r="Q408" s="12">
        <f>L409*2%</f>
        <v/>
      </c>
      <c r="R408" s="12">
        <f>AC409*0.5%</f>
        <v/>
      </c>
      <c r="S408" s="12">
        <f>L409*1%</f>
        <v/>
      </c>
      <c r="T408" s="60">
        <f>S409+Q409+P409+O409+N409+M409</f>
        <v/>
      </c>
      <c r="U408" s="2">
        <f>AC409*1%</f>
        <v/>
      </c>
      <c r="V408" s="44">
        <f>AC409*5%</f>
        <v/>
      </c>
      <c r="W408" s="2">
        <f>AC409*1%</f>
        <v/>
      </c>
      <c r="X408" s="2">
        <f>AC409*8%</f>
        <v/>
      </c>
      <c r="Y408" s="2">
        <f>U409+V409+W409+X409</f>
        <v/>
      </c>
      <c r="Z408" s="60">
        <f>Y409+T409+L409</f>
        <v/>
      </c>
      <c r="AA408" s="11">
        <f>Z409*20%</f>
        <v/>
      </c>
      <c r="AB408" s="12">
        <f>Z409+AA409</f>
        <v/>
      </c>
      <c r="AC408" s="2">
        <f>D409*2.1</f>
        <v/>
      </c>
      <c r="AD408" s="12">
        <f>AB409-AC409</f>
        <v/>
      </c>
      <c r="AE408" s="12">
        <f>AD409/AB409*100</f>
        <v/>
      </c>
      <c r="AF408" s="92" t="n">
        <v>18950</v>
      </c>
      <c r="AG408" s="62">
        <f>((AF409-L409)/L409)*100</f>
        <v/>
      </c>
      <c r="AH408" s="106">
        <f>AJ409-AF409</f>
        <v/>
      </c>
      <c r="AI408" s="65" t="n">
        <v>20990</v>
      </c>
      <c r="AJ408" s="65" t="n">
        <v>19990</v>
      </c>
      <c r="AK408" s="66">
        <f>(AJ409-L409)/L409*100</f>
        <v/>
      </c>
      <c r="AL408" s="66" t="n"/>
      <c r="AM408" s="14">
        <f>AH409/AJ409%</f>
        <v/>
      </c>
      <c r="AN408" s="67">
        <f>AK409-AG409</f>
        <v/>
      </c>
      <c r="AO408" s="68">
        <f>AJ409/L409</f>
        <v/>
      </c>
      <c r="AP408" s="69">
        <f>(AJ409-AB409)/100</f>
        <v/>
      </c>
      <c r="AQ408" s="70">
        <f>(AJ409-AC409)/100</f>
        <v/>
      </c>
      <c r="AR408" s="71">
        <f>AI409/94</f>
        <v/>
      </c>
      <c r="AS408" s="71">
        <f>AJ409/94</f>
        <v/>
      </c>
      <c r="AT408" s="72">
        <f>AI409/24</f>
        <v/>
      </c>
      <c r="AU408" s="72">
        <f>AJ409/24</f>
        <v/>
      </c>
      <c r="AV408" s="73">
        <f>AI409/125</f>
        <v/>
      </c>
      <c r="AW408" s="73">
        <f>AJ409/125</f>
        <v/>
      </c>
    </row>
    <row r="409" ht="15.75" customHeight="1" s="258">
      <c r="A409" s="2" t="n"/>
      <c r="B409" s="2" t="inlineStr">
        <is>
          <t>Mandala / 20 in</t>
        </is>
      </c>
      <c r="C409" s="2" t="inlineStr">
        <is>
          <t>MI-G-ET-M-20</t>
        </is>
      </c>
      <c r="D409" s="207" t="n">
        <v>12600</v>
      </c>
      <c r="E409" s="2" t="n">
        <v>190</v>
      </c>
      <c r="F409" s="2" t="n">
        <v>100</v>
      </c>
      <c r="G409" s="118" t="n">
        <v>83061000</v>
      </c>
      <c r="H409" s="255" t="n">
        <v>0.05</v>
      </c>
      <c r="I409" s="2">
        <f>E410*H410</f>
        <v/>
      </c>
      <c r="K409" s="152" t="n">
        <v>300</v>
      </c>
      <c r="L409" s="135">
        <f>K410+J410+I410+F410+E410+D410</f>
        <v/>
      </c>
      <c r="M409" s="2">
        <f>D410*1%</f>
        <v/>
      </c>
      <c r="N409" s="12">
        <f>L410*8%</f>
        <v/>
      </c>
      <c r="O409" s="12">
        <f>L410*10%</f>
        <v/>
      </c>
      <c r="P409" s="12">
        <f>L410*5%</f>
        <v/>
      </c>
      <c r="Q409" s="12">
        <f>L410*2%</f>
        <v/>
      </c>
      <c r="R409" s="12">
        <f>AC410*0.5%</f>
        <v/>
      </c>
      <c r="S409" s="12">
        <f>L410*1%</f>
        <v/>
      </c>
      <c r="T409" s="60">
        <f>S410+Q410+P410+O410+N410+M410</f>
        <v/>
      </c>
      <c r="U409" s="2">
        <f>AC410*1%</f>
        <v/>
      </c>
      <c r="V409" s="44">
        <f>AC410*5%</f>
        <v/>
      </c>
      <c r="W409" s="2">
        <f>AC410*1%</f>
        <v/>
      </c>
      <c r="X409" s="2">
        <f>AC410*8%</f>
        <v/>
      </c>
      <c r="Y409" s="2">
        <f>U410+V410+W410+X410</f>
        <v/>
      </c>
      <c r="Z409" s="60">
        <f>Y410+T410+L410</f>
        <v/>
      </c>
      <c r="AA409" s="11">
        <f>Z410*20%</f>
        <v/>
      </c>
      <c r="AB409" s="12">
        <f>Z410+AA410</f>
        <v/>
      </c>
      <c r="AC409" s="2">
        <f>D410*2.1</f>
        <v/>
      </c>
      <c r="AD409" s="12">
        <f>AB410-AC410</f>
        <v/>
      </c>
      <c r="AE409" s="12">
        <f>AD410/AB410*100</f>
        <v/>
      </c>
      <c r="AF409" s="92" t="n">
        <v>23250</v>
      </c>
      <c r="AG409" s="62">
        <f>((AF410-L410)/L410)*100</f>
        <v/>
      </c>
      <c r="AH409" s="106">
        <f>AJ410-AF410</f>
        <v/>
      </c>
      <c r="AI409" s="65" t="n">
        <v>26990</v>
      </c>
      <c r="AJ409" s="65" t="n">
        <v>23990</v>
      </c>
      <c r="AK409" s="66">
        <f>(AJ410-L410)/L410*100</f>
        <v/>
      </c>
      <c r="AL409" s="66" t="n"/>
      <c r="AM409" s="14">
        <f>AH410/AJ410%</f>
        <v/>
      </c>
      <c r="AN409" s="67">
        <f>AK410-AG410</f>
        <v/>
      </c>
      <c r="AO409" s="68">
        <f>AJ410/L410</f>
        <v/>
      </c>
      <c r="AP409" s="69">
        <f>(AJ410-AB410)/100</f>
        <v/>
      </c>
      <c r="AQ409" s="70">
        <f>(AJ410-AC410)/100</f>
        <v/>
      </c>
      <c r="AR409" s="71">
        <f>AI410/94</f>
        <v/>
      </c>
      <c r="AS409" s="71">
        <f>AJ410/94</f>
        <v/>
      </c>
      <c r="AT409" s="72">
        <f>AI410/24</f>
        <v/>
      </c>
      <c r="AU409" s="72">
        <f>AJ410/24</f>
        <v/>
      </c>
      <c r="AV409" s="73">
        <f>AI410/125</f>
        <v/>
      </c>
      <c r="AW409" s="73">
        <f>AJ410/125</f>
        <v/>
      </c>
    </row>
    <row r="410" ht="15.75" customHeight="1" s="258">
      <c r="A410" s="2" t="n"/>
      <c r="B410" s="2" t="inlineStr">
        <is>
          <t>22 in / Mandala</t>
        </is>
      </c>
      <c r="C410" s="2" t="inlineStr">
        <is>
          <t>MI-G-ET-M-22</t>
        </is>
      </c>
      <c r="D410" s="207" t="n">
        <v>15120</v>
      </c>
      <c r="E410" s="2" t="n">
        <v>190</v>
      </c>
      <c r="F410" s="2" t="n">
        <v>100</v>
      </c>
      <c r="G410" s="118" t="n">
        <v>83061000</v>
      </c>
      <c r="H410" s="255" t="n">
        <v>0.05</v>
      </c>
      <c r="I410" s="2">
        <f>E411*H411</f>
        <v/>
      </c>
      <c r="K410" s="152" t="n">
        <v>300</v>
      </c>
      <c r="L410" s="135">
        <f>K411+J411+I411+F411+E411+D411</f>
        <v/>
      </c>
      <c r="M410" s="2">
        <f>D411*1%</f>
        <v/>
      </c>
      <c r="N410" s="12">
        <f>L411*8%</f>
        <v/>
      </c>
      <c r="O410" s="12">
        <f>L411*10%</f>
        <v/>
      </c>
      <c r="P410" s="12">
        <f>L411*5%</f>
        <v/>
      </c>
      <c r="Q410" s="12">
        <f>L411*2%</f>
        <v/>
      </c>
      <c r="R410" s="12">
        <f>AC411*0.5%</f>
        <v/>
      </c>
      <c r="S410" s="12">
        <f>L411*1%</f>
        <v/>
      </c>
      <c r="T410" s="60">
        <f>S411+Q411+P411+O411+N411+M411</f>
        <v/>
      </c>
      <c r="U410" s="2">
        <f>AC411*1%</f>
        <v/>
      </c>
      <c r="V410" s="44">
        <f>AC411*5%</f>
        <v/>
      </c>
      <c r="W410" s="2">
        <f>AC411*1%</f>
        <v/>
      </c>
      <c r="X410" s="2">
        <f>AC411*8%</f>
        <v/>
      </c>
      <c r="Y410" s="2">
        <f>U411+V411+W411+X411</f>
        <v/>
      </c>
      <c r="Z410" s="60">
        <f>Y411+T411+L411</f>
        <v/>
      </c>
      <c r="AA410" s="11">
        <f>Z411*20%</f>
        <v/>
      </c>
      <c r="AB410" s="12">
        <f>Z411+AA411</f>
        <v/>
      </c>
      <c r="AC410" s="2">
        <f>D411*2.1</f>
        <v/>
      </c>
      <c r="AD410" s="12">
        <f>AB411-AC411</f>
        <v/>
      </c>
      <c r="AE410" s="12">
        <f>AD411/AB411*100</f>
        <v/>
      </c>
      <c r="AF410" s="92" t="n">
        <v>27690</v>
      </c>
      <c r="AG410" s="62">
        <f>((AF411-L411)/L411)*100</f>
        <v/>
      </c>
      <c r="AH410" s="106">
        <f>AJ411-AF411</f>
        <v/>
      </c>
      <c r="AI410" s="65" t="n">
        <v>29990</v>
      </c>
      <c r="AJ410" s="65" t="n">
        <v>28990</v>
      </c>
      <c r="AK410" s="66">
        <f>(AJ411-L411)/L411*100</f>
        <v/>
      </c>
      <c r="AL410" s="66" t="n"/>
      <c r="AM410" s="14">
        <f>AH411/AJ411%</f>
        <v/>
      </c>
      <c r="AN410" s="67">
        <f>AK411-AG411</f>
        <v/>
      </c>
      <c r="AO410" s="68">
        <f>AJ411/L411</f>
        <v/>
      </c>
      <c r="AP410" s="69">
        <f>(AJ411-AB411)/100</f>
        <v/>
      </c>
      <c r="AQ410" s="70">
        <f>(AJ411-AC411)/100</f>
        <v/>
      </c>
      <c r="AR410" s="71">
        <f>AI411/94</f>
        <v/>
      </c>
      <c r="AS410" s="71">
        <f>AJ411/94</f>
        <v/>
      </c>
      <c r="AT410" s="72">
        <f>AI411/24</f>
        <v/>
      </c>
      <c r="AU410" s="72">
        <f>AJ411/24</f>
        <v/>
      </c>
      <c r="AV410" s="73">
        <f>AI411/125</f>
        <v/>
      </c>
      <c r="AW410" s="73">
        <f>AJ411/125</f>
        <v/>
      </c>
    </row>
    <row r="411" ht="15.75" customHeight="1" s="258">
      <c r="A411" s="2" t="n"/>
      <c r="B411" s="2" t="inlineStr">
        <is>
          <t>24 in / Mandala</t>
        </is>
      </c>
      <c r="C411" s="2" t="inlineStr">
        <is>
          <t>MI-G-ET-M-24</t>
        </is>
      </c>
      <c r="D411" s="207" t="n">
        <v>19800</v>
      </c>
      <c r="E411" s="2" t="n">
        <v>190</v>
      </c>
      <c r="F411" s="2" t="n">
        <v>100</v>
      </c>
      <c r="G411" s="118" t="n">
        <v>83061000</v>
      </c>
      <c r="H411" s="255" t="n">
        <v>0.05</v>
      </c>
      <c r="I411" s="2">
        <f>E412*H412</f>
        <v/>
      </c>
      <c r="K411" s="152" t="n">
        <v>300</v>
      </c>
      <c r="L411" s="135">
        <f>K412+J412+I412+F412+E412+D412</f>
        <v/>
      </c>
      <c r="M411" s="2">
        <f>D412*1%</f>
        <v/>
      </c>
      <c r="N411" s="12">
        <f>L412*8%</f>
        <v/>
      </c>
      <c r="O411" s="12">
        <f>L412*10%</f>
        <v/>
      </c>
      <c r="P411" s="12">
        <f>L412*5%</f>
        <v/>
      </c>
      <c r="Q411" s="12">
        <f>L412*2%</f>
        <v/>
      </c>
      <c r="R411" s="12">
        <f>AC412*0.5%</f>
        <v/>
      </c>
      <c r="S411" s="12">
        <f>L412*1%</f>
        <v/>
      </c>
      <c r="T411" s="60">
        <f>S412+Q412+P412+O412+N412+M412</f>
        <v/>
      </c>
      <c r="U411" s="2">
        <f>AC412*1%</f>
        <v/>
      </c>
      <c r="V411" s="44">
        <f>AC412*5%</f>
        <v/>
      </c>
      <c r="W411" s="2">
        <f>AC412*1%</f>
        <v/>
      </c>
      <c r="X411" s="2">
        <f>AC412*8%</f>
        <v/>
      </c>
      <c r="Y411" s="2">
        <f>U412+V412+W412+X412</f>
        <v/>
      </c>
      <c r="Z411" s="60">
        <f>Y412+T412+L412</f>
        <v/>
      </c>
      <c r="AA411" s="11">
        <f>Z412*20%</f>
        <v/>
      </c>
      <c r="AB411" s="12">
        <f>Z412+AA412</f>
        <v/>
      </c>
      <c r="AC411" s="2">
        <f>D412*2.1</f>
        <v/>
      </c>
      <c r="AD411" s="12">
        <f>AB412-AC412</f>
        <v/>
      </c>
      <c r="AE411" s="12">
        <f>AD412/AB412*100</f>
        <v/>
      </c>
      <c r="AF411" s="92" t="n">
        <v>32950</v>
      </c>
      <c r="AG411" s="62">
        <f>((AF412-L412)/L412)*100</f>
        <v/>
      </c>
      <c r="AH411" s="106">
        <f>AJ412-AF412</f>
        <v/>
      </c>
      <c r="AI411" s="65" t="n">
        <v>35990</v>
      </c>
      <c r="AJ411" s="65" t="n">
        <v>33990</v>
      </c>
      <c r="AK411" s="66">
        <f>(AJ412-L412)/L412*100</f>
        <v/>
      </c>
      <c r="AL411" s="66" t="n"/>
      <c r="AM411" s="14">
        <f>AH412/AJ412%</f>
        <v/>
      </c>
      <c r="AN411" s="67">
        <f>AK412-AG412</f>
        <v/>
      </c>
      <c r="AO411" s="68">
        <f>AJ412/L412</f>
        <v/>
      </c>
      <c r="AP411" s="69">
        <f>(AJ412-AB412)/100</f>
        <v/>
      </c>
      <c r="AQ411" s="70">
        <f>(AJ412-AC412)/100</f>
        <v/>
      </c>
      <c r="AR411" s="71">
        <f>AI412/94</f>
        <v/>
      </c>
      <c r="AS411" s="71">
        <f>AJ412/94</f>
        <v/>
      </c>
      <c r="AT411" s="72">
        <f>AI412/24</f>
        <v/>
      </c>
      <c r="AU411" s="72">
        <f>AJ412/24</f>
        <v/>
      </c>
      <c r="AV411" s="73">
        <f>AI412/125</f>
        <v/>
      </c>
      <c r="AW411" s="73">
        <f>AJ412/125</f>
        <v/>
      </c>
    </row>
    <row r="412" ht="15.75" customHeight="1" s="258">
      <c r="A412" s="2" t="n"/>
      <c r="B412" s="2" t="inlineStr">
        <is>
          <t>Mandala / 26 in</t>
        </is>
      </c>
      <c r="C412" s="2" t="inlineStr">
        <is>
          <t>MI-G-ET-M-26</t>
        </is>
      </c>
      <c r="D412" s="207" t="n">
        <v>25200</v>
      </c>
      <c r="E412" s="2" t="n">
        <v>350</v>
      </c>
      <c r="F412" s="2" t="n">
        <v>100</v>
      </c>
      <c r="G412" s="118" t="n">
        <v>83061000</v>
      </c>
      <c r="H412" s="255" t="n">
        <v>0.05</v>
      </c>
      <c r="I412" s="2">
        <f>E413*H413</f>
        <v/>
      </c>
      <c r="K412" s="152" t="n">
        <v>300</v>
      </c>
      <c r="L412" s="135">
        <f>K413+J413+I413+F413+E413+D413</f>
        <v/>
      </c>
      <c r="M412" s="2">
        <f>D413*1%</f>
        <v/>
      </c>
      <c r="N412" s="12">
        <f>L413*8%</f>
        <v/>
      </c>
      <c r="O412" s="12">
        <f>L413*10%</f>
        <v/>
      </c>
      <c r="P412" s="12">
        <f>L413*5%</f>
        <v/>
      </c>
      <c r="Q412" s="12">
        <f>L413*2%</f>
        <v/>
      </c>
      <c r="R412" s="12">
        <f>AC413*0.5%</f>
        <v/>
      </c>
      <c r="S412" s="12">
        <f>L413*1%</f>
        <v/>
      </c>
      <c r="T412" s="60">
        <f>S413+Q413+P413+O413+N413+M413</f>
        <v/>
      </c>
      <c r="U412" s="2">
        <f>AC413*1%</f>
        <v/>
      </c>
      <c r="V412" s="44">
        <f>AC413*5%</f>
        <v/>
      </c>
      <c r="W412" s="2">
        <f>AC413*1%</f>
        <v/>
      </c>
      <c r="X412" s="2">
        <f>AC413*8%</f>
        <v/>
      </c>
      <c r="Y412" s="2">
        <f>U413+V413+W413+X413</f>
        <v/>
      </c>
      <c r="Z412" s="60">
        <f>Y413+T413+L413</f>
        <v/>
      </c>
      <c r="AA412" s="11">
        <f>Z413*20%</f>
        <v/>
      </c>
      <c r="AB412" s="12">
        <f>Z413+AA413</f>
        <v/>
      </c>
      <c r="AC412" s="2">
        <f>D413*2.1</f>
        <v/>
      </c>
      <c r="AD412" s="12">
        <f>AB413-AC413</f>
        <v/>
      </c>
      <c r="AE412" s="12">
        <f>AD413/AB413*100</f>
        <v/>
      </c>
      <c r="AF412" s="92" t="n">
        <v>37950</v>
      </c>
      <c r="AG412" s="62">
        <f>((AF413-L413)/L413)*100</f>
        <v/>
      </c>
      <c r="AH412" s="106">
        <f>AJ413-AF413</f>
        <v/>
      </c>
      <c r="AI412" s="65" t="n">
        <v>41990</v>
      </c>
      <c r="AJ412" s="65" t="n">
        <v>39490</v>
      </c>
      <c r="AK412" s="66">
        <f>(AJ413-L413)/L413*100</f>
        <v/>
      </c>
      <c r="AL412" s="66" t="n"/>
      <c r="AM412" s="14">
        <f>AH413/AJ413%</f>
        <v/>
      </c>
      <c r="AN412" s="67">
        <f>AK413-AG413</f>
        <v/>
      </c>
      <c r="AO412" s="68">
        <f>AJ413/L413</f>
        <v/>
      </c>
      <c r="AP412" s="69">
        <f>(AJ413-AB413)/100</f>
        <v/>
      </c>
      <c r="AQ412" s="70">
        <f>(AJ413-AC413)/100</f>
        <v/>
      </c>
      <c r="AR412" s="71">
        <f>AI413/94</f>
        <v/>
      </c>
      <c r="AS412" s="71">
        <f>AJ413/94</f>
        <v/>
      </c>
      <c r="AT412" s="72">
        <f>AI413/24</f>
        <v/>
      </c>
      <c r="AU412" s="72">
        <f>AJ413/24</f>
        <v/>
      </c>
      <c r="AV412" s="73">
        <f>AI413/125</f>
        <v/>
      </c>
      <c r="AW412" s="73">
        <f>AJ413/125</f>
        <v/>
      </c>
    </row>
    <row r="413" ht="15.75" customHeight="1" s="258">
      <c r="A413" s="96" t="n"/>
      <c r="B413" s="96" t="inlineStr">
        <is>
          <t>28 in / Mandala</t>
        </is>
      </c>
      <c r="C413" s="96" t="inlineStr">
        <is>
          <t>MI-G-ET-M-28</t>
        </is>
      </c>
      <c r="D413" s="208" t="n">
        <v>36550</v>
      </c>
      <c r="E413" s="96" t="n">
        <v>350</v>
      </c>
      <c r="F413" s="96" t="n">
        <v>100</v>
      </c>
      <c r="G413" s="94" t="n">
        <v>83061000</v>
      </c>
      <c r="H413" s="97" t="n">
        <v>0.05</v>
      </c>
      <c r="I413" s="96">
        <f>E414*H414</f>
        <v/>
      </c>
      <c r="J413" s="107" t="n"/>
      <c r="K413" s="160" t="n">
        <v>300</v>
      </c>
      <c r="L413" s="163">
        <f>K414+J414+I414+F414+E414+D414</f>
        <v/>
      </c>
      <c r="M413" s="96">
        <f>D414*1%</f>
        <v/>
      </c>
      <c r="N413" s="99">
        <f>L414*8%</f>
        <v/>
      </c>
      <c r="O413" s="99">
        <f>L414*10%</f>
        <v/>
      </c>
      <c r="P413" s="99">
        <f>L414*5%</f>
        <v/>
      </c>
      <c r="Q413" s="99">
        <f>L414*2%</f>
        <v/>
      </c>
      <c r="R413" s="99">
        <f>AC414*0.5%</f>
        <v/>
      </c>
      <c r="S413" s="99">
        <f>L414*1%</f>
        <v/>
      </c>
      <c r="T413" s="100">
        <f>S414+Q414+P414+O414+N414+M414</f>
        <v/>
      </c>
      <c r="U413" s="96">
        <f>AC414*1%</f>
        <v/>
      </c>
      <c r="V413" s="44">
        <f>AC414*5%</f>
        <v/>
      </c>
      <c r="W413" s="96">
        <f>AC414*1%</f>
        <v/>
      </c>
      <c r="X413" s="96">
        <f>AC414*8%</f>
        <v/>
      </c>
      <c r="Y413" s="96">
        <f>U414+V414+W414+X414</f>
        <v/>
      </c>
      <c r="Z413" s="100">
        <f>Y414+T414+L414</f>
        <v/>
      </c>
      <c r="AA413" s="101">
        <f>Z414*20%</f>
        <v/>
      </c>
      <c r="AB413" s="99">
        <f>Z414+AA414</f>
        <v/>
      </c>
      <c r="AC413" s="96">
        <f>D414*2.1</f>
        <v/>
      </c>
      <c r="AD413" s="99">
        <f>AB414-AC414</f>
        <v/>
      </c>
      <c r="AE413" s="99">
        <f>AD414/AB414*100</f>
        <v/>
      </c>
      <c r="AF413" s="107" t="n">
        <v>42950</v>
      </c>
      <c r="AG413" s="102">
        <f>((AF414-L414)/L414)*100</f>
        <v/>
      </c>
      <c r="AH413" s="106">
        <f>AJ414-AF414</f>
        <v/>
      </c>
      <c r="AI413" s="106" t="n">
        <v>46990</v>
      </c>
      <c r="AJ413" s="106" t="n">
        <v>43990</v>
      </c>
      <c r="AK413" s="14">
        <f>(AJ414-L414)/L414*100</f>
        <v/>
      </c>
      <c r="AL413" s="14" t="n"/>
      <c r="AM413" s="14">
        <f>AH414/AJ414%</f>
        <v/>
      </c>
      <c r="AN413" s="14">
        <f>AK414-AG414</f>
        <v/>
      </c>
      <c r="AO413" s="103">
        <f>AJ414/L414</f>
        <v/>
      </c>
      <c r="AP413" s="14">
        <f>(AJ414-AB414)/100</f>
        <v/>
      </c>
      <c r="AQ413" s="14">
        <f>(AJ414-AC414)/100</f>
        <v/>
      </c>
      <c r="AR413" s="104">
        <f>AI414/94</f>
        <v/>
      </c>
      <c r="AS413" s="104">
        <f>AJ414/94</f>
        <v/>
      </c>
      <c r="AT413" s="105">
        <f>AI414/24</f>
        <v/>
      </c>
      <c r="AU413" s="105">
        <f>AJ414/24</f>
        <v/>
      </c>
      <c r="AV413" s="105">
        <f>AI414/125</f>
        <v/>
      </c>
      <c r="AW413" s="105">
        <f>AJ414/125</f>
        <v/>
      </c>
      <c r="AX413" s="107" t="n"/>
      <c r="AY413" s="107" t="n"/>
    </row>
    <row r="414" ht="15.75" customHeight="1" s="258">
      <c r="A414" s="2" t="n"/>
      <c r="B414" s="2" t="inlineStr">
        <is>
          <t>Shakti Chakra / 14 in</t>
        </is>
      </c>
      <c r="C414" s="2" t="inlineStr">
        <is>
          <t>MI-G-ET-SC-14</t>
        </is>
      </c>
      <c r="D414" s="207" t="n">
        <v>5400</v>
      </c>
      <c r="E414" s="2" t="n">
        <v>190</v>
      </c>
      <c r="F414" s="2" t="n">
        <v>100</v>
      </c>
      <c r="G414" s="118" t="n">
        <v>83061000</v>
      </c>
      <c r="H414" s="255" t="n">
        <v>0.05</v>
      </c>
      <c r="I414" s="2">
        <f>E415*H415</f>
        <v/>
      </c>
      <c r="K414" s="152" t="n">
        <v>300</v>
      </c>
      <c r="L414" s="135">
        <f>K415+J415+I415+F415+E415+D415</f>
        <v/>
      </c>
      <c r="M414" s="2">
        <f>D415*1%</f>
        <v/>
      </c>
      <c r="N414" s="12">
        <f>L415*8%</f>
        <v/>
      </c>
      <c r="O414" s="12">
        <f>L415*10%</f>
        <v/>
      </c>
      <c r="P414" s="12">
        <f>L415*5%</f>
        <v/>
      </c>
      <c r="Q414" s="12">
        <f>L415*2%</f>
        <v/>
      </c>
      <c r="R414" s="12">
        <f>AC415*0.5%</f>
        <v/>
      </c>
      <c r="S414" s="12">
        <f>L415*1%</f>
        <v/>
      </c>
      <c r="T414" s="60">
        <f>S415+Q415+P415+O415+N415+M415</f>
        <v/>
      </c>
      <c r="U414" s="2">
        <f>AC415*1%</f>
        <v/>
      </c>
      <c r="V414" s="44">
        <f>AC415*5%</f>
        <v/>
      </c>
      <c r="W414" s="2">
        <f>AC415*1%</f>
        <v/>
      </c>
      <c r="X414" s="2">
        <f>AC415*8%</f>
        <v/>
      </c>
      <c r="Y414" s="2">
        <f>U415+V415+W415+X415</f>
        <v/>
      </c>
      <c r="Z414" s="60">
        <f>Y415+T415+L415</f>
        <v/>
      </c>
      <c r="AA414" s="11">
        <f>Z415*20%</f>
        <v/>
      </c>
      <c r="AB414" s="12">
        <f>Z415+AA415</f>
        <v/>
      </c>
      <c r="AC414" s="2">
        <f>D415*2.1</f>
        <v/>
      </c>
      <c r="AD414" s="12">
        <f>AB415-AC415</f>
        <v/>
      </c>
      <c r="AE414" s="12">
        <f>AD415/AB415*100</f>
        <v/>
      </c>
      <c r="AF414" s="92" t="n">
        <v>12450</v>
      </c>
      <c r="AG414" s="62">
        <f>((AF415-L415)/L415)*100</f>
        <v/>
      </c>
      <c r="AH414" s="106">
        <f>AJ415-AF415</f>
        <v/>
      </c>
      <c r="AI414" s="65" t="n">
        <v>13990</v>
      </c>
      <c r="AJ414" s="65" t="n">
        <v>12990</v>
      </c>
      <c r="AK414" s="66">
        <f>(AJ415-L415)/L415*100</f>
        <v/>
      </c>
      <c r="AL414" s="66" t="n"/>
      <c r="AM414" s="14">
        <f>AH415/AJ415%</f>
        <v/>
      </c>
      <c r="AN414" s="67">
        <f>AK415-AG415</f>
        <v/>
      </c>
      <c r="AO414" s="68">
        <f>AJ415/L415</f>
        <v/>
      </c>
      <c r="AP414" s="69">
        <f>(AJ415-AB415)/100</f>
        <v/>
      </c>
      <c r="AQ414" s="70">
        <f>(AJ415-AC415)/100</f>
        <v/>
      </c>
      <c r="AR414" s="71">
        <f>AI415/94</f>
        <v/>
      </c>
      <c r="AS414" s="71">
        <f>AJ415/94</f>
        <v/>
      </c>
      <c r="AT414" s="72">
        <f>AI415/24</f>
        <v/>
      </c>
      <c r="AU414" s="72">
        <f>AJ415/24</f>
        <v/>
      </c>
      <c r="AV414" s="73">
        <f>AI415/125</f>
        <v/>
      </c>
      <c r="AW414" s="73">
        <f>AJ415/125</f>
        <v/>
      </c>
    </row>
    <row r="415" ht="15.75" customHeight="1" s="258">
      <c r="A415" s="2" t="n"/>
      <c r="B415" s="2" t="inlineStr">
        <is>
          <t>Shakti Chakra / 16 in</t>
        </is>
      </c>
      <c r="C415" s="2" t="inlineStr">
        <is>
          <t>MI-G-ET-SC-16</t>
        </is>
      </c>
      <c r="D415" s="207" t="n">
        <v>7200</v>
      </c>
      <c r="E415" s="2" t="n">
        <v>190</v>
      </c>
      <c r="F415" s="2" t="n">
        <v>100</v>
      </c>
      <c r="G415" s="118" t="n">
        <v>83061000</v>
      </c>
      <c r="H415" s="255" t="n">
        <v>0.05</v>
      </c>
      <c r="I415" s="2">
        <f>E416*H416</f>
        <v/>
      </c>
      <c r="K415" s="152" t="n">
        <v>300</v>
      </c>
      <c r="L415" s="135">
        <f>K416+J416+I416+F416+E416+D416</f>
        <v/>
      </c>
      <c r="M415" s="2">
        <f>D416*1%</f>
        <v/>
      </c>
      <c r="N415" s="12">
        <f>L416*8%</f>
        <v/>
      </c>
      <c r="O415" s="12">
        <f>L416*10%</f>
        <v/>
      </c>
      <c r="P415" s="12">
        <f>L416*5%</f>
        <v/>
      </c>
      <c r="Q415" s="12">
        <f>L416*2%</f>
        <v/>
      </c>
      <c r="R415" s="12">
        <f>AC416*0.5%</f>
        <v/>
      </c>
      <c r="S415" s="12">
        <f>L416*1%</f>
        <v/>
      </c>
      <c r="T415" s="60">
        <f>S416+Q416+P416+O416+N416+M416</f>
        <v/>
      </c>
      <c r="U415" s="2">
        <f>AC416*1%</f>
        <v/>
      </c>
      <c r="V415" s="44">
        <f>AC416*5%</f>
        <v/>
      </c>
      <c r="W415" s="2">
        <f>AC416*1%</f>
        <v/>
      </c>
      <c r="X415" s="2">
        <f>AC416*8%</f>
        <v/>
      </c>
      <c r="Y415" s="2">
        <f>U416+V416+W416+X416</f>
        <v/>
      </c>
      <c r="Z415" s="60">
        <f>Y416+T416+L416</f>
        <v/>
      </c>
      <c r="AA415" s="11">
        <f>Z416*20%</f>
        <v/>
      </c>
      <c r="AB415" s="12">
        <f>Z416+AA416</f>
        <v/>
      </c>
      <c r="AC415" s="2">
        <f>D416*2.1</f>
        <v/>
      </c>
      <c r="AD415" s="12">
        <f>AB416-AC416</f>
        <v/>
      </c>
      <c r="AE415" s="12">
        <f>AD416/AB416*100</f>
        <v/>
      </c>
      <c r="AF415" s="92" t="n">
        <v>15950</v>
      </c>
      <c r="AG415" s="62">
        <f>((AF416-L416)/L416)*100</f>
        <v/>
      </c>
      <c r="AH415" s="106">
        <f>AJ416-AF416</f>
        <v/>
      </c>
      <c r="AI415" s="65" t="n">
        <v>17990</v>
      </c>
      <c r="AJ415" s="65" t="n">
        <v>16490</v>
      </c>
      <c r="AK415" s="66">
        <f>(AJ416-L416)/L416*100</f>
        <v/>
      </c>
      <c r="AL415" s="66" t="n"/>
      <c r="AM415" s="14">
        <f>AH416/AJ416%</f>
        <v/>
      </c>
      <c r="AN415" s="67">
        <f>AK416-AG416</f>
        <v/>
      </c>
      <c r="AO415" s="68">
        <f>AJ416/L416</f>
        <v/>
      </c>
      <c r="AP415" s="69">
        <f>(AJ416-AB416)/100</f>
        <v/>
      </c>
      <c r="AQ415" s="70">
        <f>(AJ416-AC416)/100</f>
        <v/>
      </c>
      <c r="AR415" s="71">
        <f>AI416/94</f>
        <v/>
      </c>
      <c r="AS415" s="71">
        <f>AJ416/94</f>
        <v/>
      </c>
      <c r="AT415" s="72">
        <f>AI416/24</f>
        <v/>
      </c>
      <c r="AU415" s="72">
        <f>AJ416/24</f>
        <v/>
      </c>
      <c r="AV415" s="73">
        <f>AI416/125</f>
        <v/>
      </c>
      <c r="AW415" s="73">
        <f>AJ416/125</f>
        <v/>
      </c>
    </row>
    <row r="416" ht="15.75" customHeight="1" s="258">
      <c r="A416" s="2" t="n"/>
      <c r="B416" s="2" t="inlineStr">
        <is>
          <t>18 in / Shakti Chakra</t>
        </is>
      </c>
      <c r="C416" s="2" t="inlineStr">
        <is>
          <t>MI-G-ET-SC-18</t>
        </is>
      </c>
      <c r="D416" s="207" t="n">
        <v>9000</v>
      </c>
      <c r="E416" s="2" t="n">
        <v>190</v>
      </c>
      <c r="F416" s="2" t="n">
        <v>100</v>
      </c>
      <c r="G416" s="118" t="n">
        <v>83061000</v>
      </c>
      <c r="H416" s="255" t="n">
        <v>0.05</v>
      </c>
      <c r="I416" s="2">
        <f>E417*H417</f>
        <v/>
      </c>
      <c r="K416" s="152" t="n">
        <v>300</v>
      </c>
      <c r="L416" s="135">
        <f>K417+J417+I417+F417+E417+D417</f>
        <v/>
      </c>
      <c r="M416" s="2">
        <f>D417*1%</f>
        <v/>
      </c>
      <c r="N416" s="12">
        <f>L417*8%</f>
        <v/>
      </c>
      <c r="O416" s="12">
        <f>L417*10%</f>
        <v/>
      </c>
      <c r="P416" s="12">
        <f>L417*5%</f>
        <v/>
      </c>
      <c r="Q416" s="12">
        <f>L417*2%</f>
        <v/>
      </c>
      <c r="R416" s="12">
        <f>AC417*0.5%</f>
        <v/>
      </c>
      <c r="S416" s="12">
        <f>L417*1%</f>
        <v/>
      </c>
      <c r="T416" s="60">
        <f>S417+Q417+P417+O417+N417+M417</f>
        <v/>
      </c>
      <c r="U416" s="2">
        <f>AC417*1%</f>
        <v/>
      </c>
      <c r="V416" s="44">
        <f>AC417*5%</f>
        <v/>
      </c>
      <c r="W416" s="2">
        <f>AC417*1%</f>
        <v/>
      </c>
      <c r="X416" s="2">
        <f>AC417*8%</f>
        <v/>
      </c>
      <c r="Y416" s="2">
        <f>U417+V417+W417+X417</f>
        <v/>
      </c>
      <c r="Z416" s="60">
        <f>Y417+T417+L417</f>
        <v/>
      </c>
      <c r="AA416" s="11">
        <f>Z417*20%</f>
        <v/>
      </c>
      <c r="AB416" s="12">
        <f>Z417+AA417</f>
        <v/>
      </c>
      <c r="AC416" s="2">
        <f>D417*2.1</f>
        <v/>
      </c>
      <c r="AD416" s="12">
        <f>AB417-AC417</f>
        <v/>
      </c>
      <c r="AE416" s="12">
        <f>AD417/AB417*100</f>
        <v/>
      </c>
      <c r="AF416" s="92" t="n">
        <v>18950</v>
      </c>
      <c r="AG416" s="62">
        <f>((AF417-L417)/L417)*100</f>
        <v/>
      </c>
      <c r="AH416" s="106">
        <f>AJ417-AF417</f>
        <v/>
      </c>
      <c r="AI416" s="65" t="n">
        <v>21990</v>
      </c>
      <c r="AJ416" s="65" t="n">
        <v>19990</v>
      </c>
      <c r="AK416" s="66">
        <f>(AJ417-L417)/L417*100</f>
        <v/>
      </c>
      <c r="AL416" s="66" t="n"/>
      <c r="AM416" s="14">
        <f>AH417/AJ417%</f>
        <v/>
      </c>
      <c r="AN416" s="67">
        <f>AK417-AG417</f>
        <v/>
      </c>
      <c r="AO416" s="68">
        <f>AJ417/L417</f>
        <v/>
      </c>
      <c r="AP416" s="69">
        <f>(AJ417-AB417)/100</f>
        <v/>
      </c>
      <c r="AQ416" s="70">
        <f>(AJ417-AC417)/100</f>
        <v/>
      </c>
      <c r="AR416" s="71">
        <f>AI417/94</f>
        <v/>
      </c>
      <c r="AS416" s="71">
        <f>AJ417/94</f>
        <v/>
      </c>
      <c r="AT416" s="72">
        <f>AI417/24</f>
        <v/>
      </c>
      <c r="AU416" s="72">
        <f>AJ417/24</f>
        <v/>
      </c>
      <c r="AV416" s="73">
        <f>AI417/125</f>
        <v/>
      </c>
      <c r="AW416" s="73">
        <f>AJ417/125</f>
        <v/>
      </c>
    </row>
    <row r="417" ht="15.75" customHeight="1" s="258">
      <c r="A417" s="2" t="n"/>
      <c r="B417" s="2" t="inlineStr">
        <is>
          <t>Shakti Chakra / 20 in</t>
        </is>
      </c>
      <c r="C417" s="2" t="inlineStr">
        <is>
          <t>MI-G-ET-SC-20</t>
        </is>
      </c>
      <c r="D417" s="207" t="n">
        <v>12600</v>
      </c>
      <c r="E417" s="2" t="n">
        <v>190</v>
      </c>
      <c r="F417" s="2" t="n">
        <v>100</v>
      </c>
      <c r="G417" s="118" t="n">
        <v>83061000</v>
      </c>
      <c r="H417" s="255" t="n">
        <v>0.05</v>
      </c>
      <c r="I417" s="2">
        <f>E418*H418</f>
        <v/>
      </c>
      <c r="K417" s="152" t="n">
        <v>300</v>
      </c>
      <c r="L417" s="135">
        <f>K418+J418+I418+F418+E418+D418</f>
        <v/>
      </c>
      <c r="M417" s="2">
        <f>D418*1%</f>
        <v/>
      </c>
      <c r="N417" s="12">
        <f>L418*8%</f>
        <v/>
      </c>
      <c r="O417" s="12">
        <f>L418*10%</f>
        <v/>
      </c>
      <c r="P417" s="12">
        <f>L418*5%</f>
        <v/>
      </c>
      <c r="Q417" s="12">
        <f>L418*2%</f>
        <v/>
      </c>
      <c r="R417" s="12">
        <f>AC418*0.5%</f>
        <v/>
      </c>
      <c r="S417" s="12">
        <f>L418*1%</f>
        <v/>
      </c>
      <c r="T417" s="60">
        <f>S418+Q418+P418+O418+N418+M418</f>
        <v/>
      </c>
      <c r="U417" s="2">
        <f>AC418*1%</f>
        <v/>
      </c>
      <c r="V417" s="44">
        <f>AC418*5%</f>
        <v/>
      </c>
      <c r="W417" s="2">
        <f>AC418*1%</f>
        <v/>
      </c>
      <c r="X417" s="2">
        <f>AC418*8%</f>
        <v/>
      </c>
      <c r="Y417" s="2">
        <f>U418+V418+W418+X418</f>
        <v/>
      </c>
      <c r="Z417" s="60">
        <f>Y418+T418+L418</f>
        <v/>
      </c>
      <c r="AA417" s="11">
        <f>Z418*20%</f>
        <v/>
      </c>
      <c r="AB417" s="12">
        <f>Z418+AA418</f>
        <v/>
      </c>
      <c r="AC417" s="2">
        <f>D418*2.1</f>
        <v/>
      </c>
      <c r="AD417" s="12">
        <f>AB418-AC418</f>
        <v/>
      </c>
      <c r="AE417" s="12">
        <f>AD418/AB418*100</f>
        <v/>
      </c>
      <c r="AF417" s="92" t="n">
        <v>23250</v>
      </c>
      <c r="AG417" s="62">
        <f>((AF418-L418)/L418)*100</f>
        <v/>
      </c>
      <c r="AH417" s="106">
        <f>AJ418-AF418</f>
        <v/>
      </c>
      <c r="AI417" s="65" t="n">
        <v>25990</v>
      </c>
      <c r="AJ417" s="65" t="n">
        <v>24490</v>
      </c>
      <c r="AK417" s="66">
        <f>(AJ418-L418)/L418*100</f>
        <v/>
      </c>
      <c r="AL417" s="66" t="n"/>
      <c r="AM417" s="14">
        <f>AH418/AJ418%</f>
        <v/>
      </c>
      <c r="AN417" s="67">
        <f>AK418-AG418</f>
        <v/>
      </c>
      <c r="AO417" s="68">
        <f>AJ418/L418</f>
        <v/>
      </c>
      <c r="AP417" s="69">
        <f>(AJ418-AB418)/100</f>
        <v/>
      </c>
      <c r="AQ417" s="70">
        <f>(AJ418-AC418)/100</f>
        <v/>
      </c>
      <c r="AR417" s="71">
        <f>AI418/94</f>
        <v/>
      </c>
      <c r="AS417" s="71">
        <f>AJ418/94</f>
        <v/>
      </c>
      <c r="AT417" s="72">
        <f>AI418/24</f>
        <v/>
      </c>
      <c r="AU417" s="72">
        <f>AJ418/24</f>
        <v/>
      </c>
      <c r="AV417" s="73">
        <f>AI418/125</f>
        <v/>
      </c>
      <c r="AW417" s="73">
        <f>AJ418/125</f>
        <v/>
      </c>
    </row>
    <row r="418" ht="15.75" customHeight="1" s="258">
      <c r="A418" s="2" t="n"/>
      <c r="B418" s="2" t="inlineStr">
        <is>
          <t>Shakti Chakra / 22 in</t>
        </is>
      </c>
      <c r="C418" s="2" t="inlineStr">
        <is>
          <t>MI-G-ET-SC-22</t>
        </is>
      </c>
      <c r="D418" s="207" t="n">
        <v>15120</v>
      </c>
      <c r="E418" s="2" t="n">
        <v>350</v>
      </c>
      <c r="F418" s="2" t="n">
        <v>100</v>
      </c>
      <c r="G418" s="118" t="n">
        <v>83061000</v>
      </c>
      <c r="H418" s="255" t="n">
        <v>0.05</v>
      </c>
      <c r="I418" s="2">
        <f>E419*H419</f>
        <v/>
      </c>
      <c r="K418" s="152" t="n">
        <v>300</v>
      </c>
      <c r="L418" s="135">
        <f>K419+J419+I419+F419+E419+D419</f>
        <v/>
      </c>
      <c r="M418" s="2">
        <f>D419*1%</f>
        <v/>
      </c>
      <c r="N418" s="12">
        <f>L419*8%</f>
        <v/>
      </c>
      <c r="O418" s="12">
        <f>L419*10%</f>
        <v/>
      </c>
      <c r="P418" s="12">
        <f>L419*5%</f>
        <v/>
      </c>
      <c r="Q418" s="12">
        <f>L419*2%</f>
        <v/>
      </c>
      <c r="R418" s="12">
        <f>AC419*0.5%</f>
        <v/>
      </c>
      <c r="S418" s="12">
        <f>L419*1%</f>
        <v/>
      </c>
      <c r="T418" s="60">
        <f>S419+Q419+P419+O419+N419+M419</f>
        <v/>
      </c>
      <c r="U418" s="2">
        <f>AC419*1%</f>
        <v/>
      </c>
      <c r="V418" s="44">
        <f>AC419*5%</f>
        <v/>
      </c>
      <c r="W418" s="2">
        <f>AC419*1%</f>
        <v/>
      </c>
      <c r="X418" s="2">
        <f>AC419*8%</f>
        <v/>
      </c>
      <c r="Y418" s="2">
        <f>U419+V419+W419+X419</f>
        <v/>
      </c>
      <c r="Z418" s="60">
        <f>Y419+T419+L419</f>
        <v/>
      </c>
      <c r="AA418" s="11">
        <f>Z419*20%</f>
        <v/>
      </c>
      <c r="AB418" s="12">
        <f>Z419+AA419</f>
        <v/>
      </c>
      <c r="AC418" s="2">
        <f>D419*2.1</f>
        <v/>
      </c>
      <c r="AD418" s="12">
        <f>AB419-AC419</f>
        <v/>
      </c>
      <c r="AE418" s="12">
        <f>AD419/AB419*100</f>
        <v/>
      </c>
      <c r="AF418" s="92" t="n">
        <v>27690</v>
      </c>
      <c r="AG418" s="62">
        <f>((AF419-L419)/L419)*100</f>
        <v/>
      </c>
      <c r="AH418" s="106">
        <f>AJ419-AF419</f>
        <v/>
      </c>
      <c r="AI418" s="65" t="n">
        <v>31990</v>
      </c>
      <c r="AJ418" s="65" t="n">
        <v>28990</v>
      </c>
      <c r="AK418" s="66">
        <f>(AJ419-L419)/L419*100</f>
        <v/>
      </c>
      <c r="AL418" s="66" t="n"/>
      <c r="AM418" s="14">
        <f>AH419/AJ419%</f>
        <v/>
      </c>
      <c r="AN418" s="67">
        <f>AK419-AG419</f>
        <v/>
      </c>
      <c r="AO418" s="68">
        <f>AJ419/L419</f>
        <v/>
      </c>
      <c r="AP418" s="69">
        <f>(AJ419-AB419)/100</f>
        <v/>
      </c>
      <c r="AQ418" s="70">
        <f>(AJ419-AC419)/100</f>
        <v/>
      </c>
      <c r="AR418" s="71">
        <f>AI419/94</f>
        <v/>
      </c>
      <c r="AS418" s="71">
        <f>AJ419/94</f>
        <v/>
      </c>
      <c r="AT418" s="72">
        <f>AI419/24</f>
        <v/>
      </c>
      <c r="AU418" s="72">
        <f>AJ419/24</f>
        <v/>
      </c>
      <c r="AV418" s="73">
        <f>AI419/125</f>
        <v/>
      </c>
      <c r="AW418" s="73">
        <f>AJ419/125</f>
        <v/>
      </c>
    </row>
    <row r="419" ht="15.75" customHeight="1" s="258">
      <c r="A419" s="2" t="n"/>
      <c r="B419" s="2" t="inlineStr">
        <is>
          <t>Shakti Chakra / 24 in</t>
        </is>
      </c>
      <c r="C419" s="2" t="inlineStr">
        <is>
          <t>MI-G-ET-SC-24</t>
        </is>
      </c>
      <c r="D419" s="207" t="n">
        <v>19800</v>
      </c>
      <c r="E419" s="2" t="n">
        <v>350</v>
      </c>
      <c r="F419" s="2" t="n">
        <v>100</v>
      </c>
      <c r="G419" s="118" t="n">
        <v>83061000</v>
      </c>
      <c r="H419" s="255" t="n">
        <v>0.05</v>
      </c>
      <c r="I419" s="2">
        <f>E420*H420</f>
        <v/>
      </c>
      <c r="K419" s="152" t="n">
        <v>300</v>
      </c>
      <c r="L419" s="135">
        <f>K420+J420+I420+F420+E420+D420</f>
        <v/>
      </c>
      <c r="M419" s="2">
        <f>D420*1%</f>
        <v/>
      </c>
      <c r="N419" s="12">
        <f>L420*8%</f>
        <v/>
      </c>
      <c r="O419" s="12">
        <f>L420*10%</f>
        <v/>
      </c>
      <c r="P419" s="12">
        <f>L420*5%</f>
        <v/>
      </c>
      <c r="Q419" s="12">
        <f>L420*2%</f>
        <v/>
      </c>
      <c r="R419" s="12">
        <f>AC420*0.5%</f>
        <v/>
      </c>
      <c r="S419" s="12">
        <f>L420*1%</f>
        <v/>
      </c>
      <c r="T419" s="60">
        <f>S420+Q420+P420+O420+N420+M420</f>
        <v/>
      </c>
      <c r="U419" s="2">
        <f>AC420*1%</f>
        <v/>
      </c>
      <c r="V419" s="44">
        <f>AC420*5%</f>
        <v/>
      </c>
      <c r="W419" s="2">
        <f>AC420*1%</f>
        <v/>
      </c>
      <c r="X419" s="2">
        <f>AC420*8%</f>
        <v/>
      </c>
      <c r="Y419" s="2">
        <f>U420+V420+W420+X420</f>
        <v/>
      </c>
      <c r="Z419" s="60">
        <f>Y420+T420+L420</f>
        <v/>
      </c>
      <c r="AA419" s="11">
        <f>Z420*20%</f>
        <v/>
      </c>
      <c r="AB419" s="12">
        <f>Z420+AA420</f>
        <v/>
      </c>
      <c r="AC419" s="2">
        <f>D420*2.1</f>
        <v/>
      </c>
      <c r="AD419" s="12">
        <f>AB420-AC420</f>
        <v/>
      </c>
      <c r="AE419" s="12">
        <f>AD420/AB420*100</f>
        <v/>
      </c>
      <c r="AF419" s="92" t="n">
        <v>32950</v>
      </c>
      <c r="AG419" s="62">
        <f>((AF420-L420)/L420)*100</f>
        <v/>
      </c>
      <c r="AH419" s="106">
        <f>AJ420-AF420</f>
        <v/>
      </c>
      <c r="AI419" s="65" t="n">
        <v>37990</v>
      </c>
      <c r="AJ419" s="65" t="n">
        <v>33990</v>
      </c>
      <c r="AK419" s="66">
        <f>(AJ420-L420)/L420*100</f>
        <v/>
      </c>
      <c r="AL419" s="66" t="n"/>
      <c r="AM419" s="14">
        <f>AH420/AJ420%</f>
        <v/>
      </c>
      <c r="AN419" s="67">
        <f>AK420-AG420</f>
        <v/>
      </c>
      <c r="AO419" s="68">
        <f>AJ420/L420</f>
        <v/>
      </c>
      <c r="AP419" s="69">
        <f>(AJ420-AB420)/100</f>
        <v/>
      </c>
      <c r="AQ419" s="70">
        <f>(AJ420-AC420)/100</f>
        <v/>
      </c>
      <c r="AR419" s="71">
        <f>AI420/94</f>
        <v/>
      </c>
      <c r="AS419" s="71">
        <f>AJ420/94</f>
        <v/>
      </c>
      <c r="AT419" s="72">
        <f>AI420/24</f>
        <v/>
      </c>
      <c r="AU419" s="72">
        <f>AJ420/24</f>
        <v/>
      </c>
      <c r="AV419" s="73">
        <f>AI420/125</f>
        <v/>
      </c>
      <c r="AW419" s="73">
        <f>AJ420/125</f>
        <v/>
      </c>
    </row>
    <row r="420" ht="15.75" customHeight="1" s="258">
      <c r="A420" s="2" t="n"/>
      <c r="B420" s="2" t="inlineStr">
        <is>
          <t>Shakti Chakra / 26 in</t>
        </is>
      </c>
      <c r="C420" s="2" t="inlineStr">
        <is>
          <t>MI-G-ET-SC-26</t>
        </is>
      </c>
      <c r="D420" s="207" t="n">
        <v>25200</v>
      </c>
      <c r="E420" s="2" t="n">
        <v>350</v>
      </c>
      <c r="F420" s="2" t="n">
        <v>100</v>
      </c>
      <c r="G420" s="118" t="n">
        <v>83061000</v>
      </c>
      <c r="H420" s="255" t="n">
        <v>0.05</v>
      </c>
      <c r="I420" s="2">
        <f>E421*H421</f>
        <v/>
      </c>
      <c r="K420" s="152" t="n">
        <v>300</v>
      </c>
      <c r="L420" s="135">
        <f>K421+J421+I421+F421+E421+D421</f>
        <v/>
      </c>
      <c r="M420" s="2">
        <f>D421*1%</f>
        <v/>
      </c>
      <c r="N420" s="12">
        <f>L421*8%</f>
        <v/>
      </c>
      <c r="O420" s="12">
        <f>L421*10%</f>
        <v/>
      </c>
      <c r="P420" s="12">
        <f>L421*5%</f>
        <v/>
      </c>
      <c r="Q420" s="12">
        <f>L421*2%</f>
        <v/>
      </c>
      <c r="R420" s="12">
        <f>AC421*0.5%</f>
        <v/>
      </c>
      <c r="S420" s="12">
        <f>L421*1%</f>
        <v/>
      </c>
      <c r="T420" s="60">
        <f>S421+Q421+P421+O421+N421+M421</f>
        <v/>
      </c>
      <c r="U420" s="2">
        <f>AC421*1%</f>
        <v/>
      </c>
      <c r="V420" s="44">
        <f>AC421*5%</f>
        <v/>
      </c>
      <c r="W420" s="2">
        <f>AC421*1%</f>
        <v/>
      </c>
      <c r="X420" s="2">
        <f>AC421*8%</f>
        <v/>
      </c>
      <c r="Y420" s="2">
        <f>U421+V421+W421+X421</f>
        <v/>
      </c>
      <c r="Z420" s="60">
        <f>Y421+T421+L421</f>
        <v/>
      </c>
      <c r="AA420" s="11">
        <f>Z421*20%</f>
        <v/>
      </c>
      <c r="AB420" s="12">
        <f>Z421+AA421</f>
        <v/>
      </c>
      <c r="AC420" s="2">
        <f>D421*2.1</f>
        <v/>
      </c>
      <c r="AD420" s="12">
        <f>AB421-AC421</f>
        <v/>
      </c>
      <c r="AE420" s="12">
        <f>AD421/AB421*100</f>
        <v/>
      </c>
      <c r="AF420" s="92" t="n">
        <v>37950</v>
      </c>
      <c r="AG420" s="62">
        <f>((AF421-L421)/L421)*100</f>
        <v/>
      </c>
      <c r="AH420" s="106">
        <f>AJ421-AF421</f>
        <v/>
      </c>
      <c r="AI420" s="65" t="n">
        <v>40990</v>
      </c>
      <c r="AJ420" s="65" t="n">
        <v>38990</v>
      </c>
      <c r="AK420" s="66">
        <f>(AJ421-L421)/L421*100</f>
        <v/>
      </c>
      <c r="AL420" s="66" t="n"/>
      <c r="AM420" s="14">
        <f>AH421/AJ421%</f>
        <v/>
      </c>
      <c r="AN420" s="67">
        <f>AK421-AG421</f>
        <v/>
      </c>
      <c r="AO420" s="68">
        <f>AJ421/L421</f>
        <v/>
      </c>
      <c r="AP420" s="69">
        <f>(AJ421-AB421)/100</f>
        <v/>
      </c>
      <c r="AQ420" s="70">
        <f>(AJ421-AC421)/100</f>
        <v/>
      </c>
      <c r="AR420" s="71">
        <f>AI421/94</f>
        <v/>
      </c>
      <c r="AS420" s="71">
        <f>AJ421/94</f>
        <v/>
      </c>
      <c r="AT420" s="72">
        <f>AI421/24</f>
        <v/>
      </c>
      <c r="AU420" s="72">
        <f>AJ421/24</f>
        <v/>
      </c>
      <c r="AV420" s="73">
        <f>AI421/125</f>
        <v/>
      </c>
      <c r="AW420" s="73">
        <f>AJ421/125</f>
        <v/>
      </c>
    </row>
    <row r="421" ht="15.75" customHeight="1" s="258">
      <c r="A421" s="96" t="n"/>
      <c r="B421" s="96" t="inlineStr">
        <is>
          <t>Shakti Chakra / 28 in</t>
        </is>
      </c>
      <c r="C421" s="96" t="inlineStr">
        <is>
          <t>MI-G-ET-SC-28</t>
        </is>
      </c>
      <c r="D421" s="208" t="n">
        <v>36550</v>
      </c>
      <c r="E421" s="96" t="n">
        <v>350</v>
      </c>
      <c r="F421" s="96" t="n">
        <v>100</v>
      </c>
      <c r="G421" s="94" t="n">
        <v>83061000</v>
      </c>
      <c r="H421" s="97" t="n">
        <v>0.05</v>
      </c>
      <c r="I421" s="96">
        <f>E422*H422</f>
        <v/>
      </c>
      <c r="J421" s="107" t="n"/>
      <c r="K421" s="160" t="n">
        <v>300</v>
      </c>
      <c r="L421" s="163">
        <f>K422+J422+I422+F422+E422+D422</f>
        <v/>
      </c>
      <c r="M421" s="96">
        <f>D422*1%</f>
        <v/>
      </c>
      <c r="N421" s="99">
        <f>L422*8%</f>
        <v/>
      </c>
      <c r="O421" s="99">
        <f>L422*10%</f>
        <v/>
      </c>
      <c r="P421" s="99">
        <f>L422*5%</f>
        <v/>
      </c>
      <c r="Q421" s="99">
        <f>L422*2%</f>
        <v/>
      </c>
      <c r="R421" s="99">
        <f>AC422*0.5%</f>
        <v/>
      </c>
      <c r="S421" s="99">
        <f>L422*1%</f>
        <v/>
      </c>
      <c r="T421" s="100">
        <f>S422+Q422+P422+O422+N422+M422</f>
        <v/>
      </c>
      <c r="U421" s="96">
        <f>AC422*1%</f>
        <v/>
      </c>
      <c r="V421" s="44">
        <f>AC422*5%</f>
        <v/>
      </c>
      <c r="W421" s="96">
        <f>AC422*1%</f>
        <v/>
      </c>
      <c r="X421" s="96">
        <f>AC422*8%</f>
        <v/>
      </c>
      <c r="Y421" s="96">
        <f>U422+V422+W422+X422</f>
        <v/>
      </c>
      <c r="Z421" s="100">
        <f>Y422+T422+L422</f>
        <v/>
      </c>
      <c r="AA421" s="101">
        <f>Z422*20%</f>
        <v/>
      </c>
      <c r="AB421" s="99">
        <f>Z422+AA422</f>
        <v/>
      </c>
      <c r="AC421" s="96">
        <f>D422*2.1</f>
        <v/>
      </c>
      <c r="AD421" s="99">
        <f>AB422-AC422</f>
        <v/>
      </c>
      <c r="AE421" s="99">
        <f>AD422/AB422*100</f>
        <v/>
      </c>
      <c r="AF421" s="107" t="n">
        <v>42950</v>
      </c>
      <c r="AG421" s="102">
        <f>((AF422-L422)/L422)*100</f>
        <v/>
      </c>
      <c r="AH421" s="106">
        <f>AJ422-AF422</f>
        <v/>
      </c>
      <c r="AI421" s="106" t="n">
        <v>49990</v>
      </c>
      <c r="AJ421" s="106" t="n">
        <v>44490</v>
      </c>
      <c r="AK421" s="14">
        <f>(AJ422-L422)/L422*100</f>
        <v/>
      </c>
      <c r="AL421" s="14" t="n"/>
      <c r="AM421" s="14">
        <f>AH422/AJ422%</f>
        <v/>
      </c>
      <c r="AN421" s="14">
        <f>AK422-AG422</f>
        <v/>
      </c>
      <c r="AO421" s="103">
        <f>AJ422/L422</f>
        <v/>
      </c>
      <c r="AP421" s="14">
        <f>(AJ422-AB422)/100</f>
        <v/>
      </c>
      <c r="AQ421" s="14">
        <f>(AJ422-AC422)/100</f>
        <v/>
      </c>
      <c r="AR421" s="104">
        <f>AI422/94</f>
        <v/>
      </c>
      <c r="AS421" s="104">
        <f>AJ422/94</f>
        <v/>
      </c>
      <c r="AT421" s="105">
        <f>AI422/24</f>
        <v/>
      </c>
      <c r="AU421" s="105">
        <f>AJ422/24</f>
        <v/>
      </c>
      <c r="AV421" s="105">
        <f>AI422/125</f>
        <v/>
      </c>
      <c r="AW421" s="105">
        <f>AJ422/125</f>
        <v/>
      </c>
      <c r="AX421" s="107" t="n"/>
      <c r="AY421" s="107" t="n"/>
    </row>
    <row r="422" ht="15.75" customHeight="1" s="258">
      <c r="A422" s="2" t="n"/>
      <c r="B422" s="2" t="inlineStr">
        <is>
          <t>Dorje / 14 in</t>
        </is>
      </c>
      <c r="C422" s="2" t="inlineStr">
        <is>
          <t>MI-SB-H-ET-DJ-14</t>
        </is>
      </c>
      <c r="D422" s="207" t="n">
        <v>5400</v>
      </c>
      <c r="E422" s="2" t="n">
        <v>190</v>
      </c>
      <c r="F422" s="2" t="n">
        <v>100</v>
      </c>
      <c r="G422" s="118" t="n">
        <v>83061000</v>
      </c>
      <c r="H422" s="255" t="n">
        <v>0.05</v>
      </c>
      <c r="I422" s="2">
        <f>E423*H423</f>
        <v/>
      </c>
      <c r="K422" s="152" t="n">
        <v>300</v>
      </c>
      <c r="L422" s="135">
        <f>K423+J423+I423+F423+E423+D423</f>
        <v/>
      </c>
      <c r="M422" s="2">
        <f>D423*1%</f>
        <v/>
      </c>
      <c r="N422" s="12">
        <f>L423*8%</f>
        <v/>
      </c>
      <c r="O422" s="12">
        <f>L423*10%</f>
        <v/>
      </c>
      <c r="P422" s="12">
        <f>L423*5%</f>
        <v/>
      </c>
      <c r="Q422" s="12">
        <f>L423*2%</f>
        <v/>
      </c>
      <c r="R422" s="12">
        <f>AC423*0.5%</f>
        <v/>
      </c>
      <c r="S422" s="12">
        <f>L423*1%</f>
        <v/>
      </c>
      <c r="T422" s="60">
        <f>S423+Q423+P423+O423+N423+M423</f>
        <v/>
      </c>
      <c r="U422" s="2">
        <f>AC423*1%</f>
        <v/>
      </c>
      <c r="V422" s="44">
        <f>AC423*5%</f>
        <v/>
      </c>
      <c r="W422" s="2">
        <f>AC423*1%</f>
        <v/>
      </c>
      <c r="X422" s="2">
        <f>AC423*8%</f>
        <v/>
      </c>
      <c r="Y422" s="2">
        <f>U423+V423+W423+X423</f>
        <v/>
      </c>
      <c r="Z422" s="60">
        <f>Y423+T423+L423</f>
        <v/>
      </c>
      <c r="AA422" s="11">
        <f>Z423*20%</f>
        <v/>
      </c>
      <c r="AB422" s="12">
        <f>Z423+AA423</f>
        <v/>
      </c>
      <c r="AC422" s="2">
        <f>D423*2.1</f>
        <v/>
      </c>
      <c r="AD422" s="12">
        <f>AB423-AC423</f>
        <v/>
      </c>
      <c r="AE422" s="12">
        <f>AD423/AB423*100</f>
        <v/>
      </c>
      <c r="AF422" s="92" t="n">
        <v>12450</v>
      </c>
      <c r="AG422" s="62">
        <f>((AF423-L423)/L423)*100</f>
        <v/>
      </c>
      <c r="AH422" s="106">
        <f>AJ423-AF423</f>
        <v/>
      </c>
      <c r="AI422" s="65" t="n">
        <v>13990</v>
      </c>
      <c r="AJ422" s="65" t="n">
        <v>12990</v>
      </c>
      <c r="AK422" s="66">
        <f>(AJ423-L423)/L423*100</f>
        <v/>
      </c>
      <c r="AL422" s="66" t="n"/>
      <c r="AM422" s="14">
        <f>AH423/AJ423%</f>
        <v/>
      </c>
      <c r="AN422" s="67">
        <f>AK423-AG423</f>
        <v/>
      </c>
      <c r="AO422" s="68">
        <f>AJ423/L423</f>
        <v/>
      </c>
      <c r="AP422" s="69">
        <f>(AJ423-AB423)/100</f>
        <v/>
      </c>
      <c r="AQ422" s="70">
        <f>(AJ423-AC423)/100</f>
        <v/>
      </c>
      <c r="AR422" s="71">
        <f>AI423/94</f>
        <v/>
      </c>
      <c r="AS422" s="71">
        <f>AJ423/94</f>
        <v/>
      </c>
      <c r="AT422" s="72">
        <f>AI423/24</f>
        <v/>
      </c>
      <c r="AU422" s="72">
        <f>AJ423/24</f>
        <v/>
      </c>
      <c r="AV422" s="73">
        <f>AI423/125</f>
        <v/>
      </c>
      <c r="AW422" s="73">
        <f>AJ423/125</f>
        <v/>
      </c>
    </row>
    <row r="423" ht="15.75" customHeight="1" s="258">
      <c r="A423" s="2" t="n"/>
      <c r="B423" s="2" t="inlineStr">
        <is>
          <t>Dorje / 16 in</t>
        </is>
      </c>
      <c r="C423" s="2" t="inlineStr">
        <is>
          <t>MI-SB-H-ET-DJ-16</t>
        </is>
      </c>
      <c r="D423" s="207" t="n">
        <v>7200</v>
      </c>
      <c r="E423" s="2" t="n">
        <v>190</v>
      </c>
      <c r="F423" s="2" t="n">
        <v>100</v>
      </c>
      <c r="G423" s="118" t="n">
        <v>83061000</v>
      </c>
      <c r="H423" s="255" t="n">
        <v>0.05</v>
      </c>
      <c r="I423" s="2">
        <f>E424*H424</f>
        <v/>
      </c>
      <c r="K423" s="152" t="n">
        <v>300</v>
      </c>
      <c r="L423" s="135">
        <f>K424+J424+I424+F424+E424+D424</f>
        <v/>
      </c>
      <c r="M423" s="2">
        <f>D424*1%</f>
        <v/>
      </c>
      <c r="N423" s="12">
        <f>L424*8%</f>
        <v/>
      </c>
      <c r="O423" s="12">
        <f>L424*10%</f>
        <v/>
      </c>
      <c r="P423" s="12">
        <f>L424*5%</f>
        <v/>
      </c>
      <c r="Q423" s="12">
        <f>L424*2%</f>
        <v/>
      </c>
      <c r="R423" s="12">
        <f>AC424*0.5%</f>
        <v/>
      </c>
      <c r="S423" s="12">
        <f>L424*1%</f>
        <v/>
      </c>
      <c r="T423" s="60">
        <f>S424+Q424+P424+O424+N424+M424</f>
        <v/>
      </c>
      <c r="U423" s="2">
        <f>AC424*1%</f>
        <v/>
      </c>
      <c r="V423" s="44">
        <f>AC424*5%</f>
        <v/>
      </c>
      <c r="W423" s="2">
        <f>AC424*1%</f>
        <v/>
      </c>
      <c r="X423" s="2">
        <f>AC424*8%</f>
        <v/>
      </c>
      <c r="Y423" s="2">
        <f>U424+V424+W424+X424</f>
        <v/>
      </c>
      <c r="Z423" s="60">
        <f>Y424+T424+L424</f>
        <v/>
      </c>
      <c r="AA423" s="11">
        <f>Z424*20%</f>
        <v/>
      </c>
      <c r="AB423" s="12">
        <f>Z424+AA424</f>
        <v/>
      </c>
      <c r="AC423" s="2">
        <f>D424*2.1</f>
        <v/>
      </c>
      <c r="AD423" s="12">
        <f>AB424-AC424</f>
        <v/>
      </c>
      <c r="AE423" s="12">
        <f>AD424/AB424*100</f>
        <v/>
      </c>
      <c r="AF423" s="92" t="n">
        <v>15950</v>
      </c>
      <c r="AG423" s="62">
        <f>((AF424-L424)/L424)*100</f>
        <v/>
      </c>
      <c r="AH423" s="106">
        <f>AJ424-AF424</f>
        <v/>
      </c>
      <c r="AI423" s="65" t="n">
        <v>17990</v>
      </c>
      <c r="AJ423" s="65" t="n">
        <v>16490</v>
      </c>
      <c r="AK423" s="66">
        <f>(AJ424-L424)/L424*100</f>
        <v/>
      </c>
      <c r="AL423" s="66" t="n"/>
      <c r="AM423" s="14">
        <f>AH424/AJ424%</f>
        <v/>
      </c>
      <c r="AN423" s="67">
        <f>AK424-AG424</f>
        <v/>
      </c>
      <c r="AO423" s="68">
        <f>AJ424/L424</f>
        <v/>
      </c>
      <c r="AP423" s="69">
        <f>(AJ424-AB424)/100</f>
        <v/>
      </c>
      <c r="AQ423" s="70">
        <f>(AJ424-AC424)/100</f>
        <v/>
      </c>
      <c r="AR423" s="71">
        <f>AI424/94</f>
        <v/>
      </c>
      <c r="AS423" s="71">
        <f>AJ424/94</f>
        <v/>
      </c>
      <c r="AT423" s="72">
        <f>AI424/24</f>
        <v/>
      </c>
      <c r="AU423" s="72">
        <f>AJ424/24</f>
        <v/>
      </c>
      <c r="AV423" s="73">
        <f>AI424/125</f>
        <v/>
      </c>
      <c r="AW423" s="73">
        <f>AJ424/125</f>
        <v/>
      </c>
    </row>
    <row r="424" ht="15.75" customHeight="1" s="258">
      <c r="A424" s="2" t="n"/>
      <c r="B424" s="2" t="inlineStr">
        <is>
          <t>18 in / Dorje</t>
        </is>
      </c>
      <c r="C424" s="2" t="inlineStr">
        <is>
          <t>MI-SB-H-ET-DJ-18</t>
        </is>
      </c>
      <c r="D424" s="207" t="n">
        <v>9000</v>
      </c>
      <c r="E424" s="2" t="n">
        <v>190</v>
      </c>
      <c r="F424" s="2" t="n">
        <v>100</v>
      </c>
      <c r="G424" s="118" t="n">
        <v>83061000</v>
      </c>
      <c r="H424" s="255" t="n">
        <v>0.05</v>
      </c>
      <c r="I424" s="2">
        <f>E425*H425</f>
        <v/>
      </c>
      <c r="K424" s="152" t="n">
        <v>300</v>
      </c>
      <c r="L424" s="135">
        <f>K425+J425+I425+F425+E425+D425</f>
        <v/>
      </c>
      <c r="M424" s="2">
        <f>D425*1%</f>
        <v/>
      </c>
      <c r="N424" s="12">
        <f>L425*8%</f>
        <v/>
      </c>
      <c r="O424" s="12">
        <f>L425*10%</f>
        <v/>
      </c>
      <c r="P424" s="12">
        <f>L425*5%</f>
        <v/>
      </c>
      <c r="Q424" s="12">
        <f>L425*2%</f>
        <v/>
      </c>
      <c r="R424" s="12">
        <f>AC425*0.5%</f>
        <v/>
      </c>
      <c r="S424" s="12">
        <f>L425*1%</f>
        <v/>
      </c>
      <c r="T424" s="60">
        <f>S425+Q425+P425+O425+N425+M425</f>
        <v/>
      </c>
      <c r="U424" s="2">
        <f>AC425*1%</f>
        <v/>
      </c>
      <c r="V424" s="44">
        <f>AC425*5%</f>
        <v/>
      </c>
      <c r="W424" s="2">
        <f>AC425*1%</f>
        <v/>
      </c>
      <c r="X424" s="2">
        <f>AC425*8%</f>
        <v/>
      </c>
      <c r="Y424" s="2">
        <f>U425+V425+W425+X425</f>
        <v/>
      </c>
      <c r="Z424" s="60">
        <f>Y425+T425+L425</f>
        <v/>
      </c>
      <c r="AA424" s="11">
        <f>Z425*20%</f>
        <v/>
      </c>
      <c r="AB424" s="12">
        <f>Z425+AA425</f>
        <v/>
      </c>
      <c r="AC424" s="2">
        <f>D425*2.1</f>
        <v/>
      </c>
      <c r="AD424" s="12">
        <f>AB425-AC425</f>
        <v/>
      </c>
      <c r="AE424" s="12">
        <f>AD425/AB425*100</f>
        <v/>
      </c>
      <c r="AF424" s="92" t="n">
        <v>18950</v>
      </c>
      <c r="AG424" s="62">
        <f>((AF425-L425)/L425)*100</f>
        <v/>
      </c>
      <c r="AH424" s="106">
        <f>AJ425-AF425</f>
        <v/>
      </c>
      <c r="AI424" s="65" t="n">
        <v>21990</v>
      </c>
      <c r="AJ424" s="65" t="n">
        <v>19990</v>
      </c>
      <c r="AK424" s="66">
        <f>(AJ425-L425)/L425*100</f>
        <v/>
      </c>
      <c r="AL424" s="66" t="n"/>
      <c r="AM424" s="14">
        <f>AH425/AJ425%</f>
        <v/>
      </c>
      <c r="AN424" s="67">
        <f>AK425-AG425</f>
        <v/>
      </c>
      <c r="AO424" s="68">
        <f>AJ425/L425</f>
        <v/>
      </c>
      <c r="AP424" s="69">
        <f>(AJ425-AB425)/100</f>
        <v/>
      </c>
      <c r="AQ424" s="70">
        <f>(AJ425-AC425)/100</f>
        <v/>
      </c>
      <c r="AR424" s="71">
        <f>AI425/94</f>
        <v/>
      </c>
      <c r="AS424" s="71">
        <f>AJ425/94</f>
        <v/>
      </c>
      <c r="AT424" s="72">
        <f>AI425/24</f>
        <v/>
      </c>
      <c r="AU424" s="72">
        <f>AJ425/24</f>
        <v/>
      </c>
      <c r="AV424" s="73">
        <f>AI425/125</f>
        <v/>
      </c>
      <c r="AW424" s="73">
        <f>AJ425/125</f>
        <v/>
      </c>
    </row>
    <row r="425" ht="15.75" customHeight="1" s="258">
      <c r="A425" s="2" t="n"/>
      <c r="B425" s="2" t="inlineStr">
        <is>
          <t>Dorje / 20 in</t>
        </is>
      </c>
      <c r="C425" s="2" t="inlineStr">
        <is>
          <t>MI-SB-H-ET-DJ-20</t>
        </is>
      </c>
      <c r="D425" s="207" t="n">
        <v>12600</v>
      </c>
      <c r="E425" s="2" t="n">
        <v>190</v>
      </c>
      <c r="F425" s="2" t="n">
        <v>100</v>
      </c>
      <c r="G425" s="118" t="n">
        <v>83061000</v>
      </c>
      <c r="H425" s="255" t="n">
        <v>0.05</v>
      </c>
      <c r="I425" s="2">
        <f>E426*H426</f>
        <v/>
      </c>
      <c r="K425" s="152" t="n">
        <v>300</v>
      </c>
      <c r="L425" s="135">
        <f>K426+J426+I426+F426+E426+D426</f>
        <v/>
      </c>
      <c r="M425" s="2">
        <f>D426*1%</f>
        <v/>
      </c>
      <c r="N425" s="12">
        <f>L426*8%</f>
        <v/>
      </c>
      <c r="O425" s="12">
        <f>L426*10%</f>
        <v/>
      </c>
      <c r="P425" s="12">
        <f>L426*5%</f>
        <v/>
      </c>
      <c r="Q425" s="12">
        <f>L426*2%</f>
        <v/>
      </c>
      <c r="R425" s="12">
        <f>AC426*0.5%</f>
        <v/>
      </c>
      <c r="S425" s="12">
        <f>L426*1%</f>
        <v/>
      </c>
      <c r="T425" s="60">
        <f>S426+Q426+P426+O426+N426+M426</f>
        <v/>
      </c>
      <c r="U425" s="2">
        <f>AC426*1%</f>
        <v/>
      </c>
      <c r="V425" s="44">
        <f>AC426*5%</f>
        <v/>
      </c>
      <c r="W425" s="2">
        <f>AC426*1%</f>
        <v/>
      </c>
      <c r="X425" s="2">
        <f>AC426*8%</f>
        <v/>
      </c>
      <c r="Y425" s="2">
        <f>U426+V426+W426+X426</f>
        <v/>
      </c>
      <c r="Z425" s="60">
        <f>Y426+T426+L426</f>
        <v/>
      </c>
      <c r="AA425" s="11">
        <f>Z426*20%</f>
        <v/>
      </c>
      <c r="AB425" s="12">
        <f>Z426+AA426</f>
        <v/>
      </c>
      <c r="AC425" s="2">
        <f>D426*2.1</f>
        <v/>
      </c>
      <c r="AD425" s="12">
        <f>AB426-AC426</f>
        <v/>
      </c>
      <c r="AE425" s="12">
        <f>AD426/AB426*100</f>
        <v/>
      </c>
      <c r="AF425" s="92" t="n">
        <v>23250</v>
      </c>
      <c r="AG425" s="62">
        <f>((AF426-L426)/L426)*100</f>
        <v/>
      </c>
      <c r="AH425" s="106">
        <f>AJ426-AF426</f>
        <v/>
      </c>
      <c r="AI425" s="65" t="n">
        <v>25990</v>
      </c>
      <c r="AJ425" s="65" t="n">
        <v>24490</v>
      </c>
      <c r="AK425" s="66">
        <f>(AJ426-L426)/L426*100</f>
        <v/>
      </c>
      <c r="AL425" s="66" t="n"/>
      <c r="AM425" s="14">
        <f>AH426/AJ426%</f>
        <v/>
      </c>
      <c r="AN425" s="67">
        <f>AK426-AG426</f>
        <v/>
      </c>
      <c r="AO425" s="68">
        <f>AJ426/L426</f>
        <v/>
      </c>
      <c r="AP425" s="69">
        <f>(AJ426-AB426)/100</f>
        <v/>
      </c>
      <c r="AQ425" s="70">
        <f>(AJ426-AC426)/100</f>
        <v/>
      </c>
      <c r="AR425" s="71">
        <f>AI426/94</f>
        <v/>
      </c>
      <c r="AS425" s="71">
        <f>AJ426/94</f>
        <v/>
      </c>
      <c r="AT425" s="72">
        <f>AI426/24</f>
        <v/>
      </c>
      <c r="AU425" s="72">
        <f>AJ426/24</f>
        <v/>
      </c>
      <c r="AV425" s="73">
        <f>AI426/125</f>
        <v/>
      </c>
      <c r="AW425" s="73">
        <f>AJ426/125</f>
        <v/>
      </c>
    </row>
    <row r="426" ht="15.75" customHeight="1" s="258">
      <c r="A426" s="2" t="n"/>
      <c r="B426" s="2" t="inlineStr">
        <is>
          <t>Dorje / 22 in</t>
        </is>
      </c>
      <c r="C426" s="2" t="inlineStr">
        <is>
          <t>MI-SB-H-ET-DJ-22</t>
        </is>
      </c>
      <c r="D426" s="207" t="n">
        <v>15120</v>
      </c>
      <c r="E426" s="2" t="n">
        <v>350</v>
      </c>
      <c r="F426" s="2" t="n">
        <v>100</v>
      </c>
      <c r="G426" s="118" t="n">
        <v>83061000</v>
      </c>
      <c r="H426" s="255" t="n">
        <v>0.05</v>
      </c>
      <c r="I426" s="2">
        <f>E427*H427</f>
        <v/>
      </c>
      <c r="K426" s="152" t="n">
        <v>300</v>
      </c>
      <c r="L426" s="135">
        <f>K427+J427+I427+F427+E427+D427</f>
        <v/>
      </c>
      <c r="M426" s="2">
        <f>D427*1%</f>
        <v/>
      </c>
      <c r="N426" s="12">
        <f>L427*8%</f>
        <v/>
      </c>
      <c r="O426" s="12">
        <f>L427*10%</f>
        <v/>
      </c>
      <c r="P426" s="12">
        <f>L427*5%</f>
        <v/>
      </c>
      <c r="Q426" s="12">
        <f>L427*2%</f>
        <v/>
      </c>
      <c r="R426" s="12">
        <f>AC427*0.5%</f>
        <v/>
      </c>
      <c r="S426" s="12">
        <f>L427*1%</f>
        <v/>
      </c>
      <c r="T426" s="60">
        <f>S427+Q427+P427+O427+N427+M427</f>
        <v/>
      </c>
      <c r="U426" s="2">
        <f>AC427*1%</f>
        <v/>
      </c>
      <c r="V426" s="44">
        <f>AC427*5%</f>
        <v/>
      </c>
      <c r="W426" s="2">
        <f>AC427*1%</f>
        <v/>
      </c>
      <c r="X426" s="2">
        <f>AC427*8%</f>
        <v/>
      </c>
      <c r="Y426" s="2">
        <f>U427+V427+W427+X427</f>
        <v/>
      </c>
      <c r="Z426" s="60">
        <f>Y427+T427+L427</f>
        <v/>
      </c>
      <c r="AA426" s="11">
        <f>Z427*20%</f>
        <v/>
      </c>
      <c r="AB426" s="12">
        <f>Z427+AA427</f>
        <v/>
      </c>
      <c r="AC426" s="2">
        <f>D427*2.1</f>
        <v/>
      </c>
      <c r="AD426" s="12">
        <f>AB427-AC427</f>
        <v/>
      </c>
      <c r="AE426" s="12">
        <f>AD427/AB427*100</f>
        <v/>
      </c>
      <c r="AF426" s="92" t="n">
        <v>27690</v>
      </c>
      <c r="AG426" s="62">
        <f>((AF427-L427)/L427)*100</f>
        <v/>
      </c>
      <c r="AH426" s="106">
        <f>AJ427-AF427</f>
        <v/>
      </c>
      <c r="AI426" s="65" t="n">
        <v>31990</v>
      </c>
      <c r="AJ426" s="65" t="n">
        <v>28990</v>
      </c>
      <c r="AK426" s="66">
        <f>(AJ427-L427)/L427*100</f>
        <v/>
      </c>
      <c r="AL426" s="66" t="n"/>
      <c r="AM426" s="14">
        <f>AH427/AJ427%</f>
        <v/>
      </c>
      <c r="AN426" s="67">
        <f>AK427-AG427</f>
        <v/>
      </c>
      <c r="AO426" s="68">
        <f>AJ427/L427</f>
        <v/>
      </c>
      <c r="AP426" s="69">
        <f>(AJ427-AB427)/100</f>
        <v/>
      </c>
      <c r="AQ426" s="70">
        <f>(AJ427-AC427)/100</f>
        <v/>
      </c>
      <c r="AR426" s="71">
        <f>AI427/94</f>
        <v/>
      </c>
      <c r="AS426" s="71">
        <f>AJ427/94</f>
        <v/>
      </c>
      <c r="AT426" s="72">
        <f>AI427/24</f>
        <v/>
      </c>
      <c r="AU426" s="72">
        <f>AJ427/24</f>
        <v/>
      </c>
      <c r="AV426" s="73">
        <f>AI427/125</f>
        <v/>
      </c>
      <c r="AW426" s="73">
        <f>AJ427/125</f>
        <v/>
      </c>
    </row>
    <row r="427" ht="15.75" customHeight="1" s="258">
      <c r="A427" s="2" t="n"/>
      <c r="B427" s="2" t="inlineStr">
        <is>
          <t>Dorje / 24 in</t>
        </is>
      </c>
      <c r="C427" s="2" t="inlineStr">
        <is>
          <t>MI-SB-H-ET-DJ-24</t>
        </is>
      </c>
      <c r="D427" s="207" t="n">
        <v>19800</v>
      </c>
      <c r="E427" s="2" t="n">
        <v>350</v>
      </c>
      <c r="F427" s="2" t="n">
        <v>100</v>
      </c>
      <c r="G427" s="118" t="n">
        <v>83061000</v>
      </c>
      <c r="H427" s="255" t="n">
        <v>0.05</v>
      </c>
      <c r="I427" s="2">
        <f>E428*H428</f>
        <v/>
      </c>
      <c r="K427" s="152" t="n">
        <v>300</v>
      </c>
      <c r="L427" s="135">
        <f>K428+J428+I428+F428+E428+D428</f>
        <v/>
      </c>
      <c r="M427" s="2">
        <f>D428*1%</f>
        <v/>
      </c>
      <c r="N427" s="12">
        <f>L428*8%</f>
        <v/>
      </c>
      <c r="O427" s="12">
        <f>L428*10%</f>
        <v/>
      </c>
      <c r="P427" s="12">
        <f>L428*5%</f>
        <v/>
      </c>
      <c r="Q427" s="12">
        <f>L428*2%</f>
        <v/>
      </c>
      <c r="R427" s="12">
        <f>AC428*0.5%</f>
        <v/>
      </c>
      <c r="S427" s="12">
        <f>L428*1%</f>
        <v/>
      </c>
      <c r="T427" s="60">
        <f>S428+Q428+P428+O428+N428+M428</f>
        <v/>
      </c>
      <c r="U427" s="2">
        <f>AC428*1%</f>
        <v/>
      </c>
      <c r="V427" s="44">
        <f>AC428*5%</f>
        <v/>
      </c>
      <c r="W427" s="2">
        <f>AC428*1%</f>
        <v/>
      </c>
      <c r="X427" s="2">
        <f>AC428*8%</f>
        <v/>
      </c>
      <c r="Y427" s="2">
        <f>U428+V428+W428+X428</f>
        <v/>
      </c>
      <c r="Z427" s="60">
        <f>Y428+T428+L428</f>
        <v/>
      </c>
      <c r="AA427" s="11">
        <f>Z428*20%</f>
        <v/>
      </c>
      <c r="AB427" s="12">
        <f>Z428+AA428</f>
        <v/>
      </c>
      <c r="AC427" s="2">
        <f>D428*2.1</f>
        <v/>
      </c>
      <c r="AD427" s="12">
        <f>AB428-AC428</f>
        <v/>
      </c>
      <c r="AE427" s="12">
        <f>AD428/AB428*100</f>
        <v/>
      </c>
      <c r="AF427" s="92" t="n">
        <v>32950</v>
      </c>
      <c r="AG427" s="62">
        <f>((AF428-L428)/L428)*100</f>
        <v/>
      </c>
      <c r="AH427" s="106">
        <f>AJ428-AF428</f>
        <v/>
      </c>
      <c r="AI427" s="65" t="n">
        <v>37990</v>
      </c>
      <c r="AJ427" s="65" t="n">
        <v>33990</v>
      </c>
      <c r="AK427" s="66">
        <f>(AJ428-L428)/L428*100</f>
        <v/>
      </c>
      <c r="AL427" s="66" t="n"/>
      <c r="AM427" s="14">
        <f>AH428/AJ428%</f>
        <v/>
      </c>
      <c r="AN427" s="67">
        <f>AK428-AG428</f>
        <v/>
      </c>
      <c r="AO427" s="68">
        <f>AJ428/L428</f>
        <v/>
      </c>
      <c r="AP427" s="69">
        <f>(AJ428-AB428)/100</f>
        <v/>
      </c>
      <c r="AQ427" s="70">
        <f>(AJ428-AC428)/100</f>
        <v/>
      </c>
      <c r="AR427" s="71">
        <f>AI428/94</f>
        <v/>
      </c>
      <c r="AS427" s="71">
        <f>AJ428/94</f>
        <v/>
      </c>
      <c r="AT427" s="72">
        <f>AI428/24</f>
        <v/>
      </c>
      <c r="AU427" s="72">
        <f>AJ428/24</f>
        <v/>
      </c>
      <c r="AV427" s="73">
        <f>AI428/125</f>
        <v/>
      </c>
      <c r="AW427" s="73">
        <f>AJ428/125</f>
        <v/>
      </c>
    </row>
    <row r="428" ht="15.75" customHeight="1" s="258">
      <c r="A428" s="2" t="n"/>
      <c r="B428" s="2" t="inlineStr">
        <is>
          <t>Dorje / 26 in</t>
        </is>
      </c>
      <c r="C428" s="2" t="inlineStr">
        <is>
          <t>MI-SB-H-ET-DJ-26</t>
        </is>
      </c>
      <c r="D428" s="207" t="n">
        <v>25200</v>
      </c>
      <c r="E428" s="2" t="n">
        <v>350</v>
      </c>
      <c r="F428" s="2" t="n">
        <v>100</v>
      </c>
      <c r="G428" s="118" t="n">
        <v>83061000</v>
      </c>
      <c r="H428" s="255" t="n">
        <v>0.05</v>
      </c>
      <c r="I428" s="2">
        <f>E429*H429</f>
        <v/>
      </c>
      <c r="K428" s="152" t="n">
        <v>300</v>
      </c>
      <c r="L428" s="135">
        <f>K429+J429+I429+F429+E429+D429</f>
        <v/>
      </c>
      <c r="M428" s="2">
        <f>D429*1%</f>
        <v/>
      </c>
      <c r="N428" s="12">
        <f>L429*8%</f>
        <v/>
      </c>
      <c r="O428" s="12">
        <f>L429*10%</f>
        <v/>
      </c>
      <c r="P428" s="12">
        <f>L429*5%</f>
        <v/>
      </c>
      <c r="Q428" s="12">
        <f>L429*2%</f>
        <v/>
      </c>
      <c r="R428" s="12">
        <f>AC429*0.5%</f>
        <v/>
      </c>
      <c r="S428" s="12">
        <f>L429*1%</f>
        <v/>
      </c>
      <c r="T428" s="60">
        <f>S429+Q429+P429+O429+N429+M429</f>
        <v/>
      </c>
      <c r="U428" s="2">
        <f>AC429*1%</f>
        <v/>
      </c>
      <c r="V428" s="44">
        <f>AC429*5%</f>
        <v/>
      </c>
      <c r="W428" s="2">
        <f>AC429*1%</f>
        <v/>
      </c>
      <c r="X428" s="2">
        <f>AC429*8%</f>
        <v/>
      </c>
      <c r="Y428" s="2">
        <f>U429+V429+W429+X429</f>
        <v/>
      </c>
      <c r="Z428" s="60">
        <f>Y429+T429+L429</f>
        <v/>
      </c>
      <c r="AA428" s="11">
        <f>Z429*20%</f>
        <v/>
      </c>
      <c r="AB428" s="12">
        <f>Z429+AA429</f>
        <v/>
      </c>
      <c r="AC428" s="2">
        <f>D429*2.1</f>
        <v/>
      </c>
      <c r="AD428" s="12">
        <f>AB429-AC429</f>
        <v/>
      </c>
      <c r="AE428" s="12">
        <f>AD429/AB429*100</f>
        <v/>
      </c>
      <c r="AF428" s="92" t="n">
        <v>37950</v>
      </c>
      <c r="AG428" s="62">
        <f>((AF429-L429)/L429)*100</f>
        <v/>
      </c>
      <c r="AH428" s="106">
        <f>AJ429-AF429</f>
        <v/>
      </c>
      <c r="AI428" s="65" t="n">
        <v>40990</v>
      </c>
      <c r="AJ428" s="65" t="n">
        <v>38990</v>
      </c>
      <c r="AK428" s="66">
        <f>(AJ429-L429)/L429*100</f>
        <v/>
      </c>
      <c r="AL428" s="66" t="n"/>
      <c r="AM428" s="14">
        <f>AH429/AJ429%</f>
        <v/>
      </c>
      <c r="AN428" s="67">
        <f>AK429-AG429</f>
        <v/>
      </c>
      <c r="AO428" s="68">
        <f>AJ429/L429</f>
        <v/>
      </c>
      <c r="AP428" s="69">
        <f>(AJ429-AB429)/100</f>
        <v/>
      </c>
      <c r="AQ428" s="70">
        <f>(AJ429-AC429)/100</f>
        <v/>
      </c>
      <c r="AR428" s="71">
        <f>AI429/94</f>
        <v/>
      </c>
      <c r="AS428" s="71">
        <f>AJ429/94</f>
        <v/>
      </c>
      <c r="AT428" s="72">
        <f>AI429/24</f>
        <v/>
      </c>
      <c r="AU428" s="72">
        <f>AJ429/24</f>
        <v/>
      </c>
      <c r="AV428" s="73">
        <f>AI429/125</f>
        <v/>
      </c>
      <c r="AW428" s="73">
        <f>AJ429/125</f>
        <v/>
      </c>
    </row>
    <row r="429" ht="15.75" customHeight="1" s="258">
      <c r="A429" s="96" t="n"/>
      <c r="B429" s="96" t="inlineStr">
        <is>
          <t>Dorje / 28 in</t>
        </is>
      </c>
      <c r="C429" s="96" t="inlineStr">
        <is>
          <t>MI-SB-H-ET-DJ-28</t>
        </is>
      </c>
      <c r="D429" s="208" t="n">
        <v>36550</v>
      </c>
      <c r="E429" s="96" t="n">
        <v>350</v>
      </c>
      <c r="F429" s="96" t="n">
        <v>100</v>
      </c>
      <c r="G429" s="94" t="n">
        <v>83061000</v>
      </c>
      <c r="H429" s="97" t="n">
        <v>0.05</v>
      </c>
      <c r="I429" s="96">
        <f>E430*H430</f>
        <v/>
      </c>
      <c r="J429" s="107" t="n"/>
      <c r="K429" s="160" t="n">
        <v>300</v>
      </c>
      <c r="L429" s="163">
        <f>K430+J430+I430+F430+E430+D430</f>
        <v/>
      </c>
      <c r="M429" s="96">
        <f>D430*1%</f>
        <v/>
      </c>
      <c r="N429" s="99">
        <f>L430*8%</f>
        <v/>
      </c>
      <c r="O429" s="99">
        <f>L430*10%</f>
        <v/>
      </c>
      <c r="P429" s="99">
        <f>L430*5%</f>
        <v/>
      </c>
      <c r="Q429" s="99">
        <f>L430*2%</f>
        <v/>
      </c>
      <c r="R429" s="99">
        <f>AC430*0.5%</f>
        <v/>
      </c>
      <c r="S429" s="99">
        <f>L430*1%</f>
        <v/>
      </c>
      <c r="T429" s="100">
        <f>S430+Q430+P430+O430+N430+M430</f>
        <v/>
      </c>
      <c r="U429" s="96">
        <f>AC430*1%</f>
        <v/>
      </c>
      <c r="V429" s="44">
        <f>AC430*5%</f>
        <v/>
      </c>
      <c r="W429" s="96">
        <f>AC430*1%</f>
        <v/>
      </c>
      <c r="X429" s="96">
        <f>AC430*8%</f>
        <v/>
      </c>
      <c r="Y429" s="96">
        <f>U430+V430+W430+X430</f>
        <v/>
      </c>
      <c r="Z429" s="100">
        <f>Y430+T430+L430</f>
        <v/>
      </c>
      <c r="AA429" s="101">
        <f>Z430*20%</f>
        <v/>
      </c>
      <c r="AB429" s="99">
        <f>Z430+AA430</f>
        <v/>
      </c>
      <c r="AC429" s="96">
        <f>D430*2.1</f>
        <v/>
      </c>
      <c r="AD429" s="99">
        <f>AB430-AC430</f>
        <v/>
      </c>
      <c r="AE429" s="99">
        <f>AD430/AB430*100</f>
        <v/>
      </c>
      <c r="AF429" s="107" t="n">
        <v>42950</v>
      </c>
      <c r="AG429" s="102">
        <f>((AF430-L430)/L430)*100</f>
        <v/>
      </c>
      <c r="AH429" s="106">
        <f>AJ430-AF430</f>
        <v/>
      </c>
      <c r="AI429" s="106" t="n">
        <v>49990</v>
      </c>
      <c r="AJ429" s="106" t="n">
        <v>44490</v>
      </c>
      <c r="AK429" s="14">
        <f>(AJ430-L430)/L430*100</f>
        <v/>
      </c>
      <c r="AL429" s="14" t="n"/>
      <c r="AM429" s="14">
        <f>AH430/AJ430%</f>
        <v/>
      </c>
      <c r="AN429" s="14">
        <f>AK430-AG430</f>
        <v/>
      </c>
      <c r="AO429" s="103">
        <f>AJ430/L430</f>
        <v/>
      </c>
      <c r="AP429" s="14">
        <f>(AJ430-AB430)/100</f>
        <v/>
      </c>
      <c r="AQ429" s="14">
        <f>(AJ430-AC430)/100</f>
        <v/>
      </c>
      <c r="AR429" s="104">
        <f>AI430/94</f>
        <v/>
      </c>
      <c r="AS429" s="104">
        <f>AJ430/94</f>
        <v/>
      </c>
      <c r="AT429" s="105">
        <f>AI430/24</f>
        <v/>
      </c>
      <c r="AU429" s="105">
        <f>AJ430/24</f>
        <v/>
      </c>
      <c r="AV429" s="105">
        <f>AI430/125</f>
        <v/>
      </c>
      <c r="AW429" s="105">
        <f>AJ430/125</f>
        <v/>
      </c>
      <c r="AX429" s="107" t="n"/>
      <c r="AY429" s="107" t="n"/>
    </row>
    <row r="430" ht="15.75" customHeight="1" s="258">
      <c r="A430" s="2" t="n"/>
      <c r="B430" s="2" t="inlineStr">
        <is>
          <t>Tara / 14 in</t>
        </is>
      </c>
      <c r="C430" s="2" t="inlineStr">
        <is>
          <t>MI-SB-H-ET-TR-14</t>
        </is>
      </c>
      <c r="D430" s="207" t="n">
        <v>5400</v>
      </c>
      <c r="E430" s="2" t="n">
        <v>190</v>
      </c>
      <c r="F430" s="2" t="n">
        <v>100</v>
      </c>
      <c r="G430" s="118" t="n">
        <v>83061000</v>
      </c>
      <c r="H430" s="255" t="n">
        <v>0.05</v>
      </c>
      <c r="I430" s="2">
        <f>E431*H431</f>
        <v/>
      </c>
      <c r="K430" s="152" t="n">
        <v>300</v>
      </c>
      <c r="L430" s="135">
        <f>K431+J431+I431+F431+E431+D431</f>
        <v/>
      </c>
      <c r="M430" s="2">
        <f>D431*1%</f>
        <v/>
      </c>
      <c r="N430" s="12">
        <f>L431*8%</f>
        <v/>
      </c>
      <c r="O430" s="12">
        <f>L431*10%</f>
        <v/>
      </c>
      <c r="P430" s="12">
        <f>L431*5%</f>
        <v/>
      </c>
      <c r="Q430" s="12">
        <f>L431*2%</f>
        <v/>
      </c>
      <c r="R430" s="12">
        <f>AC431*0.5%</f>
        <v/>
      </c>
      <c r="S430" s="12">
        <f>L431*1%</f>
        <v/>
      </c>
      <c r="T430" s="60">
        <f>S431+Q431+P431+O431+N431+M431</f>
        <v/>
      </c>
      <c r="U430" s="2">
        <f>AC431*1%</f>
        <v/>
      </c>
      <c r="V430" s="44">
        <f>AC431*5%</f>
        <v/>
      </c>
      <c r="W430" s="2">
        <f>AC431*1%</f>
        <v/>
      </c>
      <c r="X430" s="2">
        <f>AC431*8%</f>
        <v/>
      </c>
      <c r="Y430" s="2">
        <f>U431+V431+W431+X431</f>
        <v/>
      </c>
      <c r="Z430" s="60">
        <f>Y431+T431+L431</f>
        <v/>
      </c>
      <c r="AA430" s="11">
        <f>Z431*20%</f>
        <v/>
      </c>
      <c r="AB430" s="12">
        <f>Z431+AA431</f>
        <v/>
      </c>
      <c r="AC430" s="2">
        <f>D431*2.1</f>
        <v/>
      </c>
      <c r="AD430" s="12">
        <f>AB431-AC431</f>
        <v/>
      </c>
      <c r="AE430" s="12">
        <f>AD431/AB431*100</f>
        <v/>
      </c>
      <c r="AF430" s="92" t="n">
        <v>12450</v>
      </c>
      <c r="AG430" s="62">
        <f>((AF431-L431)/L431)*100</f>
        <v/>
      </c>
      <c r="AH430" s="106">
        <f>AJ431-AF431</f>
        <v/>
      </c>
      <c r="AI430" s="65" t="n">
        <v>13990</v>
      </c>
      <c r="AJ430" s="65" t="n">
        <v>12990</v>
      </c>
      <c r="AK430" s="66">
        <f>(AJ431-L431)/L431*100</f>
        <v/>
      </c>
      <c r="AL430" s="66" t="n"/>
      <c r="AM430" s="14">
        <f>AH431/AJ431%</f>
        <v/>
      </c>
      <c r="AN430" s="67">
        <f>AK431-AG431</f>
        <v/>
      </c>
      <c r="AO430" s="68">
        <f>AJ431/L431</f>
        <v/>
      </c>
      <c r="AP430" s="69">
        <f>(AJ431-AB431)/100</f>
        <v/>
      </c>
      <c r="AQ430" s="70">
        <f>(AJ431-AC431)/100</f>
        <v/>
      </c>
      <c r="AR430" s="71">
        <f>AI431/94</f>
        <v/>
      </c>
      <c r="AS430" s="71">
        <f>AJ431/94</f>
        <v/>
      </c>
      <c r="AT430" s="72">
        <f>AI431/24</f>
        <v/>
      </c>
      <c r="AU430" s="72">
        <f>AJ431/24</f>
        <v/>
      </c>
      <c r="AV430" s="73">
        <f>AI431/125</f>
        <v/>
      </c>
      <c r="AW430" s="73">
        <f>AJ431/125</f>
        <v/>
      </c>
    </row>
    <row r="431" ht="15.75" customHeight="1" s="258">
      <c r="A431" s="2" t="n"/>
      <c r="B431" s="2" t="inlineStr">
        <is>
          <t>Tara / 16 in</t>
        </is>
      </c>
      <c r="C431" s="2" t="inlineStr">
        <is>
          <t>MI-SB-H-ET-TR-16</t>
        </is>
      </c>
      <c r="D431" s="207" t="n">
        <v>7200</v>
      </c>
      <c r="E431" s="2" t="n">
        <v>190</v>
      </c>
      <c r="F431" s="2" t="n">
        <v>100</v>
      </c>
      <c r="G431" s="118" t="n">
        <v>83061000</v>
      </c>
      <c r="H431" s="255" t="n">
        <v>0.05</v>
      </c>
      <c r="I431" s="2">
        <f>E432*H432</f>
        <v/>
      </c>
      <c r="K431" s="152" t="n">
        <v>300</v>
      </c>
      <c r="L431" s="135">
        <f>K432+J432+I432+F432+E432+D432</f>
        <v/>
      </c>
      <c r="M431" s="2">
        <f>D432*1%</f>
        <v/>
      </c>
      <c r="N431" s="12">
        <f>L432*8%</f>
        <v/>
      </c>
      <c r="O431" s="12">
        <f>L432*10%</f>
        <v/>
      </c>
      <c r="P431" s="12">
        <f>L432*5%</f>
        <v/>
      </c>
      <c r="Q431" s="12">
        <f>L432*2%</f>
        <v/>
      </c>
      <c r="R431" s="12">
        <f>AC432*0.5%</f>
        <v/>
      </c>
      <c r="S431" s="12">
        <f>L432*1%</f>
        <v/>
      </c>
      <c r="T431" s="60">
        <f>S432+Q432+P432+O432+N432+M432</f>
        <v/>
      </c>
      <c r="U431" s="2">
        <f>AC432*1%</f>
        <v/>
      </c>
      <c r="V431" s="44">
        <f>AC432*5%</f>
        <v/>
      </c>
      <c r="W431" s="2">
        <f>AC432*1%</f>
        <v/>
      </c>
      <c r="X431" s="2">
        <f>AC432*8%</f>
        <v/>
      </c>
      <c r="Y431" s="2">
        <f>U432+V432+W432+X432</f>
        <v/>
      </c>
      <c r="Z431" s="60">
        <f>Y432+T432+L432</f>
        <v/>
      </c>
      <c r="AA431" s="11">
        <f>Z432*20%</f>
        <v/>
      </c>
      <c r="AB431" s="12">
        <f>Z432+AA432</f>
        <v/>
      </c>
      <c r="AC431" s="2">
        <f>D432*2.1</f>
        <v/>
      </c>
      <c r="AD431" s="12">
        <f>AB432-AC432</f>
        <v/>
      </c>
      <c r="AE431" s="12">
        <f>AD432/AB432*100</f>
        <v/>
      </c>
      <c r="AF431" s="92" t="n">
        <v>15950</v>
      </c>
      <c r="AG431" s="62">
        <f>((AF432-L432)/L432)*100</f>
        <v/>
      </c>
      <c r="AH431" s="106">
        <f>AJ432-AF432</f>
        <v/>
      </c>
      <c r="AI431" s="65" t="n">
        <v>17990</v>
      </c>
      <c r="AJ431" s="65" t="n">
        <v>16490</v>
      </c>
      <c r="AK431" s="66">
        <f>(AJ432-L432)/L432*100</f>
        <v/>
      </c>
      <c r="AL431" s="66" t="n"/>
      <c r="AM431" s="14">
        <f>AH432/AJ432%</f>
        <v/>
      </c>
      <c r="AN431" s="67">
        <f>AK432-AG432</f>
        <v/>
      </c>
      <c r="AO431" s="68">
        <f>AJ432/L432</f>
        <v/>
      </c>
      <c r="AP431" s="69">
        <f>(AJ432-AB432)/100</f>
        <v/>
      </c>
      <c r="AQ431" s="70">
        <f>(AJ432-AC432)/100</f>
        <v/>
      </c>
      <c r="AR431" s="71">
        <f>AI432/94</f>
        <v/>
      </c>
      <c r="AS431" s="71">
        <f>AJ432/94</f>
        <v/>
      </c>
      <c r="AT431" s="72">
        <f>AI432/24</f>
        <v/>
      </c>
      <c r="AU431" s="72">
        <f>AJ432/24</f>
        <v/>
      </c>
      <c r="AV431" s="73">
        <f>AI432/125</f>
        <v/>
      </c>
      <c r="AW431" s="73">
        <f>AJ432/125</f>
        <v/>
      </c>
    </row>
    <row r="432" ht="15.75" customHeight="1" s="258">
      <c r="A432" s="2" t="n"/>
      <c r="B432" s="2" t="inlineStr">
        <is>
          <t>18 in / Tara</t>
        </is>
      </c>
      <c r="C432" s="2" t="inlineStr">
        <is>
          <t>MI-SB-H-ET-TR-18</t>
        </is>
      </c>
      <c r="D432" s="207" t="n">
        <v>9000</v>
      </c>
      <c r="E432" s="2" t="n">
        <v>190</v>
      </c>
      <c r="F432" s="2" t="n">
        <v>100</v>
      </c>
      <c r="G432" s="118" t="n">
        <v>83061000</v>
      </c>
      <c r="H432" s="255" t="n">
        <v>0.05</v>
      </c>
      <c r="I432" s="2">
        <f>E433*H433</f>
        <v/>
      </c>
      <c r="K432" s="152" t="n">
        <v>300</v>
      </c>
      <c r="L432" s="135">
        <f>K433+J433+I433+F433+E433+D433</f>
        <v/>
      </c>
      <c r="M432" s="2">
        <f>D433*1%</f>
        <v/>
      </c>
      <c r="N432" s="12">
        <f>L433*8%</f>
        <v/>
      </c>
      <c r="O432" s="12">
        <f>L433*10%</f>
        <v/>
      </c>
      <c r="P432" s="12">
        <f>L433*5%</f>
        <v/>
      </c>
      <c r="Q432" s="12">
        <f>L433*2%</f>
        <v/>
      </c>
      <c r="R432" s="12">
        <f>AC433*0.5%</f>
        <v/>
      </c>
      <c r="S432" s="12">
        <f>L433*1%</f>
        <v/>
      </c>
      <c r="T432" s="60">
        <f>S433+Q433+P433+O433+N433+M433</f>
        <v/>
      </c>
      <c r="U432" s="2">
        <f>AC433*1%</f>
        <v/>
      </c>
      <c r="V432" s="44">
        <f>AC433*5%</f>
        <v/>
      </c>
      <c r="W432" s="2">
        <f>AC433*1%</f>
        <v/>
      </c>
      <c r="X432" s="2">
        <f>AC433*8%</f>
        <v/>
      </c>
      <c r="Y432" s="2">
        <f>U433+V433+W433+X433</f>
        <v/>
      </c>
      <c r="Z432" s="60">
        <f>Y433+T433+L433</f>
        <v/>
      </c>
      <c r="AA432" s="11">
        <f>Z433*20%</f>
        <v/>
      </c>
      <c r="AB432" s="12">
        <f>Z433+AA433</f>
        <v/>
      </c>
      <c r="AC432" s="2">
        <f>D433*2.1</f>
        <v/>
      </c>
      <c r="AD432" s="12">
        <f>AB433-AC433</f>
        <v/>
      </c>
      <c r="AE432" s="12">
        <f>AD433/AB433*100</f>
        <v/>
      </c>
      <c r="AF432" s="92" t="n">
        <v>18950</v>
      </c>
      <c r="AG432" s="62">
        <f>((AF433-L433)/L433)*100</f>
        <v/>
      </c>
      <c r="AH432" s="106">
        <f>AJ433-AF433</f>
        <v/>
      </c>
      <c r="AI432" s="65" t="n">
        <v>21990</v>
      </c>
      <c r="AJ432" s="65" t="n">
        <v>19990</v>
      </c>
      <c r="AK432" s="66">
        <f>(AJ433-L433)/L433*100</f>
        <v/>
      </c>
      <c r="AL432" s="66" t="n"/>
      <c r="AM432" s="14">
        <f>AH433/AJ433%</f>
        <v/>
      </c>
      <c r="AN432" s="67">
        <f>AK433-AG433</f>
        <v/>
      </c>
      <c r="AO432" s="68">
        <f>AJ433/L433</f>
        <v/>
      </c>
      <c r="AP432" s="69">
        <f>(AJ433-AB433)/100</f>
        <v/>
      </c>
      <c r="AQ432" s="70">
        <f>(AJ433-AC433)/100</f>
        <v/>
      </c>
      <c r="AR432" s="71">
        <f>AI433/94</f>
        <v/>
      </c>
      <c r="AS432" s="71">
        <f>AJ433/94</f>
        <v/>
      </c>
      <c r="AT432" s="72">
        <f>AI433/24</f>
        <v/>
      </c>
      <c r="AU432" s="72">
        <f>AJ433/24</f>
        <v/>
      </c>
      <c r="AV432" s="73">
        <f>AI433/125</f>
        <v/>
      </c>
      <c r="AW432" s="73">
        <f>AJ433/125</f>
        <v/>
      </c>
    </row>
    <row r="433" ht="15.75" customHeight="1" s="258">
      <c r="A433" s="2" t="n"/>
      <c r="B433" s="2" t="inlineStr">
        <is>
          <t>Tara / 20 in</t>
        </is>
      </c>
      <c r="C433" s="2" t="inlineStr">
        <is>
          <t>MI-SB-H-ET-TR-20</t>
        </is>
      </c>
      <c r="D433" s="207" t="n">
        <v>12600</v>
      </c>
      <c r="E433" s="2" t="n">
        <v>190</v>
      </c>
      <c r="F433" s="2" t="n">
        <v>100</v>
      </c>
      <c r="G433" s="118" t="n">
        <v>83061000</v>
      </c>
      <c r="H433" s="255" t="n">
        <v>0.05</v>
      </c>
      <c r="I433" s="2">
        <f>E434*H434</f>
        <v/>
      </c>
      <c r="K433" s="152" t="n">
        <v>300</v>
      </c>
      <c r="L433" s="135">
        <f>K434+J434+I434+F434+E434+D434</f>
        <v/>
      </c>
      <c r="M433" s="2">
        <f>D434*1%</f>
        <v/>
      </c>
      <c r="N433" s="12">
        <f>L434*8%</f>
        <v/>
      </c>
      <c r="O433" s="12">
        <f>L434*10%</f>
        <v/>
      </c>
      <c r="P433" s="12">
        <f>L434*5%</f>
        <v/>
      </c>
      <c r="Q433" s="12">
        <f>L434*2%</f>
        <v/>
      </c>
      <c r="R433" s="12">
        <f>AC434*0.5%</f>
        <v/>
      </c>
      <c r="S433" s="12">
        <f>L434*1%</f>
        <v/>
      </c>
      <c r="T433" s="60">
        <f>S434+Q434+P434+O434+N434+M434</f>
        <v/>
      </c>
      <c r="U433" s="2">
        <f>AC434*1%</f>
        <v/>
      </c>
      <c r="V433" s="44">
        <f>AC434*5%</f>
        <v/>
      </c>
      <c r="W433" s="2">
        <f>AC434*1%</f>
        <v/>
      </c>
      <c r="X433" s="2">
        <f>AC434*8%</f>
        <v/>
      </c>
      <c r="Y433" s="2">
        <f>U434+V434+W434+X434</f>
        <v/>
      </c>
      <c r="Z433" s="60">
        <f>Y434+T434+L434</f>
        <v/>
      </c>
      <c r="AA433" s="11">
        <f>Z434*20%</f>
        <v/>
      </c>
      <c r="AB433" s="12">
        <f>Z434+AA434</f>
        <v/>
      </c>
      <c r="AC433" s="2">
        <f>D434*2.1</f>
        <v/>
      </c>
      <c r="AD433" s="12">
        <f>AB434-AC434</f>
        <v/>
      </c>
      <c r="AE433" s="12">
        <f>AD434/AB434*100</f>
        <v/>
      </c>
      <c r="AF433" s="92" t="n">
        <v>23250</v>
      </c>
      <c r="AG433" s="62">
        <f>((AF434-L434)/L434)*100</f>
        <v/>
      </c>
      <c r="AH433" s="106">
        <f>AJ434-AF434</f>
        <v/>
      </c>
      <c r="AI433" s="65" t="n">
        <v>25990</v>
      </c>
      <c r="AJ433" s="65" t="n">
        <v>24490</v>
      </c>
      <c r="AK433" s="66">
        <f>(AJ434-L434)/L434*100</f>
        <v/>
      </c>
      <c r="AL433" s="66" t="n"/>
      <c r="AM433" s="14">
        <f>AH434/AJ434%</f>
        <v/>
      </c>
      <c r="AN433" s="67">
        <f>AK434-AG434</f>
        <v/>
      </c>
      <c r="AO433" s="68">
        <f>AJ434/L434</f>
        <v/>
      </c>
      <c r="AP433" s="69">
        <f>(AJ434-AB434)/100</f>
        <v/>
      </c>
      <c r="AQ433" s="70">
        <f>(AJ434-AC434)/100</f>
        <v/>
      </c>
      <c r="AR433" s="71">
        <f>AI434/94</f>
        <v/>
      </c>
      <c r="AS433" s="71">
        <f>AJ434/94</f>
        <v/>
      </c>
      <c r="AT433" s="72">
        <f>AI434/24</f>
        <v/>
      </c>
      <c r="AU433" s="72">
        <f>AJ434/24</f>
        <v/>
      </c>
      <c r="AV433" s="73">
        <f>AI434/125</f>
        <v/>
      </c>
      <c r="AW433" s="73">
        <f>AJ434/125</f>
        <v/>
      </c>
    </row>
    <row r="434" ht="15.75" customHeight="1" s="258">
      <c r="A434" s="2" t="n"/>
      <c r="B434" s="2" t="inlineStr">
        <is>
          <t>Tara / 22 in</t>
        </is>
      </c>
      <c r="C434" s="2" t="inlineStr">
        <is>
          <t>MI-SB-H-ET-TR-22</t>
        </is>
      </c>
      <c r="D434" s="207" t="n">
        <v>15120</v>
      </c>
      <c r="E434" s="2" t="n">
        <v>350</v>
      </c>
      <c r="F434" s="2" t="n">
        <v>100</v>
      </c>
      <c r="G434" s="118" t="n">
        <v>83061000</v>
      </c>
      <c r="H434" s="255" t="n">
        <v>0.05</v>
      </c>
      <c r="I434" s="2">
        <f>E435*H435</f>
        <v/>
      </c>
      <c r="K434" s="152" t="n">
        <v>300</v>
      </c>
      <c r="L434" s="135">
        <f>K435+J435+I435+F435+E435+D435</f>
        <v/>
      </c>
      <c r="M434" s="2">
        <f>D435*1%</f>
        <v/>
      </c>
      <c r="N434" s="12">
        <f>L435*8%</f>
        <v/>
      </c>
      <c r="O434" s="12">
        <f>L435*10%</f>
        <v/>
      </c>
      <c r="P434" s="12">
        <f>L435*5%</f>
        <v/>
      </c>
      <c r="Q434" s="12">
        <f>L435*2%</f>
        <v/>
      </c>
      <c r="R434" s="12">
        <f>AC435*0.5%</f>
        <v/>
      </c>
      <c r="S434" s="12">
        <f>L435*1%</f>
        <v/>
      </c>
      <c r="T434" s="60">
        <f>S435+Q435+P435+O435+N435+M435</f>
        <v/>
      </c>
      <c r="U434" s="2">
        <f>AC435*1%</f>
        <v/>
      </c>
      <c r="V434" s="44">
        <f>AC435*5%</f>
        <v/>
      </c>
      <c r="W434" s="2">
        <f>AC435*1%</f>
        <v/>
      </c>
      <c r="X434" s="2">
        <f>AC435*8%</f>
        <v/>
      </c>
      <c r="Y434" s="2">
        <f>U435+V435+W435+X435</f>
        <v/>
      </c>
      <c r="Z434" s="60">
        <f>Y435+T435+L435</f>
        <v/>
      </c>
      <c r="AA434" s="11">
        <f>Z435*20%</f>
        <v/>
      </c>
      <c r="AB434" s="12">
        <f>Z435+AA435</f>
        <v/>
      </c>
      <c r="AC434" s="2">
        <f>D435*2.1</f>
        <v/>
      </c>
      <c r="AD434" s="12">
        <f>AB435-AC435</f>
        <v/>
      </c>
      <c r="AE434" s="12">
        <f>AD435/AB435*100</f>
        <v/>
      </c>
      <c r="AF434" s="92" t="n">
        <v>27690</v>
      </c>
      <c r="AG434" s="62">
        <f>((AF435-L435)/L435)*100</f>
        <v/>
      </c>
      <c r="AH434" s="106">
        <f>AJ435-AF435</f>
        <v/>
      </c>
      <c r="AI434" s="65" t="n">
        <v>31990</v>
      </c>
      <c r="AJ434" s="65" t="n">
        <v>28990</v>
      </c>
      <c r="AK434" s="66">
        <f>(AJ435-L435)/L435*100</f>
        <v/>
      </c>
      <c r="AL434" s="66" t="n"/>
      <c r="AM434" s="14">
        <f>AH435/AJ435%</f>
        <v/>
      </c>
      <c r="AN434" s="67">
        <f>AK435-AG435</f>
        <v/>
      </c>
      <c r="AO434" s="68">
        <f>AJ435/L435</f>
        <v/>
      </c>
      <c r="AP434" s="69">
        <f>(AJ435-AB435)/100</f>
        <v/>
      </c>
      <c r="AQ434" s="70">
        <f>(AJ435-AC435)/100</f>
        <v/>
      </c>
      <c r="AR434" s="71">
        <f>AI435/94</f>
        <v/>
      </c>
      <c r="AS434" s="71">
        <f>AJ435/94</f>
        <v/>
      </c>
      <c r="AT434" s="72">
        <f>AI435/24</f>
        <v/>
      </c>
      <c r="AU434" s="72">
        <f>AJ435/24</f>
        <v/>
      </c>
      <c r="AV434" s="73">
        <f>AI435/125</f>
        <v/>
      </c>
      <c r="AW434" s="73">
        <f>AJ435/125</f>
        <v/>
      </c>
    </row>
    <row r="435" ht="15.75" customHeight="1" s="258">
      <c r="A435" s="2" t="n"/>
      <c r="B435" s="2" t="inlineStr">
        <is>
          <t>Tara / 24 in</t>
        </is>
      </c>
      <c r="C435" s="2" t="inlineStr">
        <is>
          <t>MI-SB-H-ET-TR-24</t>
        </is>
      </c>
      <c r="D435" s="207" t="n">
        <v>19800</v>
      </c>
      <c r="E435" s="2" t="n">
        <v>350</v>
      </c>
      <c r="F435" s="2" t="n">
        <v>100</v>
      </c>
      <c r="G435" s="118" t="n">
        <v>83061000</v>
      </c>
      <c r="H435" s="255" t="n">
        <v>0.05</v>
      </c>
      <c r="I435" s="2">
        <f>E436*H436</f>
        <v/>
      </c>
      <c r="K435" s="152" t="n">
        <v>300</v>
      </c>
      <c r="L435" s="135">
        <f>K436+J436+I436+F436+E436+D436</f>
        <v/>
      </c>
      <c r="M435" s="2">
        <f>D436*1%</f>
        <v/>
      </c>
      <c r="N435" s="12">
        <f>L436*8%</f>
        <v/>
      </c>
      <c r="O435" s="12">
        <f>L436*10%</f>
        <v/>
      </c>
      <c r="P435" s="12">
        <f>L436*5%</f>
        <v/>
      </c>
      <c r="Q435" s="12">
        <f>L436*2%</f>
        <v/>
      </c>
      <c r="R435" s="12">
        <f>AC436*0.5%</f>
        <v/>
      </c>
      <c r="S435" s="12">
        <f>L436*1%</f>
        <v/>
      </c>
      <c r="T435" s="60">
        <f>S436+Q436+P436+O436+N436+M436</f>
        <v/>
      </c>
      <c r="U435" s="2">
        <f>AC436*1%</f>
        <v/>
      </c>
      <c r="V435" s="44">
        <f>AC436*5%</f>
        <v/>
      </c>
      <c r="W435" s="2">
        <f>AC436*1%</f>
        <v/>
      </c>
      <c r="X435" s="2">
        <f>AC436*8%</f>
        <v/>
      </c>
      <c r="Y435" s="2">
        <f>U436+V436+W436+X436</f>
        <v/>
      </c>
      <c r="Z435" s="60">
        <f>Y436+T436+L436</f>
        <v/>
      </c>
      <c r="AA435" s="11">
        <f>Z436*20%</f>
        <v/>
      </c>
      <c r="AB435" s="12">
        <f>Z436+AA436</f>
        <v/>
      </c>
      <c r="AC435" s="2">
        <f>D436*2.1</f>
        <v/>
      </c>
      <c r="AD435" s="12">
        <f>AB436-AC436</f>
        <v/>
      </c>
      <c r="AE435" s="12">
        <f>AD436/AB436*100</f>
        <v/>
      </c>
      <c r="AF435" s="92" t="n">
        <v>32950</v>
      </c>
      <c r="AG435" s="62">
        <f>((AF436-L436)/L436)*100</f>
        <v/>
      </c>
      <c r="AH435" s="106">
        <f>AJ436-AF436</f>
        <v/>
      </c>
      <c r="AI435" s="65" t="n">
        <v>37990</v>
      </c>
      <c r="AJ435" s="65" t="n">
        <v>33990</v>
      </c>
      <c r="AK435" s="66">
        <f>(AJ436-L436)/L436*100</f>
        <v/>
      </c>
      <c r="AL435" s="66" t="n"/>
      <c r="AM435" s="14">
        <f>AH436/AJ436%</f>
        <v/>
      </c>
      <c r="AN435" s="67">
        <f>AK436-AG436</f>
        <v/>
      </c>
      <c r="AO435" s="68">
        <f>AJ436/L436</f>
        <v/>
      </c>
      <c r="AP435" s="69">
        <f>(AJ436-AB436)/100</f>
        <v/>
      </c>
      <c r="AQ435" s="70">
        <f>(AJ436-AC436)/100</f>
        <v/>
      </c>
      <c r="AR435" s="71">
        <f>AI436/94</f>
        <v/>
      </c>
      <c r="AS435" s="71">
        <f>AJ436/94</f>
        <v/>
      </c>
      <c r="AT435" s="72">
        <f>AI436/24</f>
        <v/>
      </c>
      <c r="AU435" s="72">
        <f>AJ436/24</f>
        <v/>
      </c>
      <c r="AV435" s="73">
        <f>AI436/125</f>
        <v/>
      </c>
      <c r="AW435" s="73">
        <f>AJ436/125</f>
        <v/>
      </c>
    </row>
    <row r="436" ht="15.75" customHeight="1" s="258">
      <c r="A436" s="2" t="n"/>
      <c r="B436" s="2" t="inlineStr">
        <is>
          <t>Tara / 26 in</t>
        </is>
      </c>
      <c r="C436" s="2" t="inlineStr">
        <is>
          <t>MI-SB-H-ET-TR-26</t>
        </is>
      </c>
      <c r="D436" s="207" t="n">
        <v>25200</v>
      </c>
      <c r="E436" s="2" t="n">
        <v>350</v>
      </c>
      <c r="F436" s="2" t="n">
        <v>100</v>
      </c>
      <c r="G436" s="118" t="n">
        <v>83061000</v>
      </c>
      <c r="H436" s="255" t="n">
        <v>0.05</v>
      </c>
      <c r="I436" s="2">
        <f>E437*H437</f>
        <v/>
      </c>
      <c r="K436" s="152" t="n">
        <v>300</v>
      </c>
      <c r="L436" s="135">
        <f>K437+J437+I437+F437+E437+D437</f>
        <v/>
      </c>
      <c r="M436" s="2">
        <f>D437*1%</f>
        <v/>
      </c>
      <c r="N436" s="12">
        <f>L437*8%</f>
        <v/>
      </c>
      <c r="O436" s="12">
        <f>L437*10%</f>
        <v/>
      </c>
      <c r="P436" s="12">
        <f>L437*5%</f>
        <v/>
      </c>
      <c r="Q436" s="12">
        <f>L437*2%</f>
        <v/>
      </c>
      <c r="R436" s="12">
        <f>AC437*0.5%</f>
        <v/>
      </c>
      <c r="S436" s="12">
        <f>L437*1%</f>
        <v/>
      </c>
      <c r="T436" s="60">
        <f>S437+Q437+P437+O437+N437+M437</f>
        <v/>
      </c>
      <c r="U436" s="2">
        <f>AC437*1%</f>
        <v/>
      </c>
      <c r="V436" s="44">
        <f>AC437*5%</f>
        <v/>
      </c>
      <c r="W436" s="2">
        <f>AC437*1%</f>
        <v/>
      </c>
      <c r="X436" s="2">
        <f>AC437*8%</f>
        <v/>
      </c>
      <c r="Y436" s="2">
        <f>U437+V437+W437+X437</f>
        <v/>
      </c>
      <c r="Z436" s="60">
        <f>Y437+T437+L437</f>
        <v/>
      </c>
      <c r="AA436" s="11">
        <f>Z437*20%</f>
        <v/>
      </c>
      <c r="AB436" s="12">
        <f>Z437+AA437</f>
        <v/>
      </c>
      <c r="AC436" s="2">
        <f>D437*2.1</f>
        <v/>
      </c>
      <c r="AD436" s="12">
        <f>AB437-AC437</f>
        <v/>
      </c>
      <c r="AE436" s="12">
        <f>AD437/AB437*100</f>
        <v/>
      </c>
      <c r="AF436" s="92" t="n">
        <v>37950</v>
      </c>
      <c r="AG436" s="62">
        <f>((AF437-L437)/L437)*100</f>
        <v/>
      </c>
      <c r="AH436" s="106">
        <f>AJ437-AF437</f>
        <v/>
      </c>
      <c r="AI436" s="65" t="n">
        <v>40990</v>
      </c>
      <c r="AJ436" s="65" t="n">
        <v>38990</v>
      </c>
      <c r="AK436" s="66">
        <f>(AJ437-L437)/L437*100</f>
        <v/>
      </c>
      <c r="AL436" s="66" t="n"/>
      <c r="AM436" s="14">
        <f>AH437/AJ437%</f>
        <v/>
      </c>
      <c r="AN436" s="67">
        <f>AK437-AG437</f>
        <v/>
      </c>
      <c r="AO436" s="68">
        <f>AJ437/L437</f>
        <v/>
      </c>
      <c r="AP436" s="69">
        <f>(AJ437-AB437)/100</f>
        <v/>
      </c>
      <c r="AQ436" s="70">
        <f>(AJ437-AC437)/100</f>
        <v/>
      </c>
      <c r="AR436" s="71">
        <f>AI437/94</f>
        <v/>
      </c>
      <c r="AS436" s="71">
        <f>AJ437/94</f>
        <v/>
      </c>
      <c r="AT436" s="72">
        <f>AI437/24</f>
        <v/>
      </c>
      <c r="AU436" s="72">
        <f>AJ437/24</f>
        <v/>
      </c>
      <c r="AV436" s="73">
        <f>AI437/125</f>
        <v/>
      </c>
      <c r="AW436" s="73">
        <f>AJ437/125</f>
        <v/>
      </c>
    </row>
    <row r="437" ht="15.75" customHeight="1" s="258">
      <c r="A437" s="192" t="n"/>
      <c r="B437" s="192" t="inlineStr">
        <is>
          <t>Tara / 28 in</t>
        </is>
      </c>
      <c r="C437" s="192" t="inlineStr">
        <is>
          <t>MI-SB-H-ET-TR-28</t>
        </is>
      </c>
      <c r="D437" s="209" t="n">
        <v>36550</v>
      </c>
      <c r="E437" s="192" t="n">
        <v>350</v>
      </c>
      <c r="F437" s="192" t="n">
        <v>100</v>
      </c>
      <c r="G437" s="193" t="n">
        <v>83061000</v>
      </c>
      <c r="H437" s="194" t="n">
        <v>0.05</v>
      </c>
      <c r="I437" s="192">
        <f>E438*H438</f>
        <v/>
      </c>
      <c r="J437" s="195" t="n"/>
      <c r="K437" s="196" t="n">
        <v>300</v>
      </c>
      <c r="L437" s="197">
        <f>K438+J438+I438+F438+E438+D438</f>
        <v/>
      </c>
      <c r="M437" s="192">
        <f>D438*1%</f>
        <v/>
      </c>
      <c r="N437" s="198">
        <f>L438*8%</f>
        <v/>
      </c>
      <c r="O437" s="198">
        <f>L438*10%</f>
        <v/>
      </c>
      <c r="P437" s="198">
        <f>L438*5%</f>
        <v/>
      </c>
      <c r="Q437" s="198">
        <f>L438*2%</f>
        <v/>
      </c>
      <c r="R437" s="198">
        <f>AC438*0.5%</f>
        <v/>
      </c>
      <c r="S437" s="198">
        <f>L438*1%</f>
        <v/>
      </c>
      <c r="T437" s="199">
        <f>S438+Q438+P438+O438+N438+M438</f>
        <v/>
      </c>
      <c r="U437" s="192">
        <f>AC438*1%</f>
        <v/>
      </c>
      <c r="V437" s="44">
        <f>AC438*5%</f>
        <v/>
      </c>
      <c r="W437" s="192">
        <f>AC438*1%</f>
        <v/>
      </c>
      <c r="X437" s="192">
        <f>AC438*8%</f>
        <v/>
      </c>
      <c r="Y437" s="192">
        <f>U438+V438+W438+X438</f>
        <v/>
      </c>
      <c r="Z437" s="199">
        <f>Y438+T438+L438</f>
        <v/>
      </c>
      <c r="AA437" s="200">
        <f>Z438*20%</f>
        <v/>
      </c>
      <c r="AB437" s="198">
        <f>Z438+AA438</f>
        <v/>
      </c>
      <c r="AC437" s="192">
        <f>D438*2.1</f>
        <v/>
      </c>
      <c r="AD437" s="198">
        <f>AB438-AC438</f>
        <v/>
      </c>
      <c r="AE437" s="198">
        <f>AD438/AB438*100</f>
        <v/>
      </c>
      <c r="AF437" s="195" t="n">
        <v>42950</v>
      </c>
      <c r="AG437" s="201">
        <f>((AF438-L438)/L438)*100</f>
        <v/>
      </c>
      <c r="AH437" s="210">
        <f>AJ438-AF438</f>
        <v/>
      </c>
      <c r="AI437" s="210" t="n">
        <v>49990</v>
      </c>
      <c r="AJ437" s="210" t="n">
        <v>44490</v>
      </c>
      <c r="AK437" s="203">
        <f>(AJ438-L438)/L438*100</f>
        <v/>
      </c>
      <c r="AL437" s="203" t="n"/>
      <c r="AM437" s="203">
        <f>AH438/AJ438%</f>
        <v/>
      </c>
      <c r="AN437" s="203">
        <f>AK438-AG438</f>
        <v/>
      </c>
      <c r="AO437" s="204">
        <f>AJ438/L438</f>
        <v/>
      </c>
      <c r="AP437" s="203">
        <f>(AJ438-AB438)/100</f>
        <v/>
      </c>
      <c r="AQ437" s="203">
        <f>(AJ438-AC438)/100</f>
        <v/>
      </c>
      <c r="AR437" s="205">
        <f>AI438/94</f>
        <v/>
      </c>
      <c r="AS437" s="205">
        <f>AJ438/94</f>
        <v/>
      </c>
      <c r="AT437" s="206">
        <f>AI438/24</f>
        <v/>
      </c>
      <c r="AU437" s="206">
        <f>AJ438/24</f>
        <v/>
      </c>
      <c r="AV437" s="206">
        <f>AI438/125</f>
        <v/>
      </c>
      <c r="AW437" s="206">
        <f>AJ438/125</f>
        <v/>
      </c>
      <c r="AX437" s="195" t="n"/>
      <c r="AY437" s="195" t="n"/>
    </row>
    <row r="438" ht="15.75" customHeight="1" s="258">
      <c r="A438" s="2" t="n"/>
      <c r="B438" s="2" t="inlineStr">
        <is>
          <t>Flower of Life-Center / 14 in</t>
        </is>
      </c>
      <c r="C438" s="91" t="inlineStr">
        <is>
          <t>MI-SB-H-ET-FL-14</t>
        </is>
      </c>
      <c r="D438" s="207" t="n">
        <v>5400</v>
      </c>
      <c r="E438" s="2" t="n">
        <v>190</v>
      </c>
      <c r="F438" s="2" t="n">
        <v>100</v>
      </c>
      <c r="G438" s="118" t="n">
        <v>83061000</v>
      </c>
      <c r="H438" s="255" t="n">
        <v>0.05</v>
      </c>
      <c r="I438" s="2">
        <f>E439*H439</f>
        <v/>
      </c>
      <c r="K438" s="152" t="n">
        <v>300</v>
      </c>
      <c r="L438" s="135">
        <f>K439+J439+I439+F439+E439+D439</f>
        <v/>
      </c>
      <c r="M438" s="2">
        <f>D439*1%</f>
        <v/>
      </c>
      <c r="N438" s="12">
        <f>L439*8%</f>
        <v/>
      </c>
      <c r="O438" s="12">
        <f>L439*10%</f>
        <v/>
      </c>
      <c r="P438" s="12">
        <f>L439*5%</f>
        <v/>
      </c>
      <c r="Q438" s="12">
        <f>L439*2%</f>
        <v/>
      </c>
      <c r="R438" s="12">
        <f>AC439*0.5%</f>
        <v/>
      </c>
      <c r="S438" s="12">
        <f>L439*1%</f>
        <v/>
      </c>
      <c r="T438" s="60">
        <f>S439+Q439+P439+O439+N439+M439</f>
        <v/>
      </c>
      <c r="U438" s="2">
        <f>AC439*1%</f>
        <v/>
      </c>
      <c r="V438" s="44">
        <f>AC439*5%</f>
        <v/>
      </c>
      <c r="W438" s="2">
        <f>AC439*1%</f>
        <v/>
      </c>
      <c r="X438" s="2">
        <f>AC439*8%</f>
        <v/>
      </c>
      <c r="Y438" s="2">
        <f>U439+V439+W439+X439</f>
        <v/>
      </c>
      <c r="Z438" s="60">
        <f>Y439+T439+L439</f>
        <v/>
      </c>
      <c r="AA438" s="11">
        <f>Z439*20%</f>
        <v/>
      </c>
      <c r="AB438" s="12">
        <f>Z439+AA439</f>
        <v/>
      </c>
      <c r="AC438" s="2">
        <f>D439*2.1</f>
        <v/>
      </c>
      <c r="AD438" s="12">
        <f>AB439-AC439</f>
        <v/>
      </c>
      <c r="AE438" s="12">
        <f>AD439/AB439*100</f>
        <v/>
      </c>
      <c r="AG438" s="62">
        <f>((AF439-L439)/L439)*100</f>
        <v/>
      </c>
      <c r="AH438" s="106">
        <f>AJ439-AF439</f>
        <v/>
      </c>
      <c r="AI438" s="65" t="n">
        <v>13990</v>
      </c>
      <c r="AJ438" s="65" t="n">
        <v>12990</v>
      </c>
      <c r="AK438" s="66">
        <f>(AJ439-L439)/L439*100</f>
        <v/>
      </c>
      <c r="AL438" s="66" t="n"/>
      <c r="AM438" s="14">
        <f>AH439/AJ439%</f>
        <v/>
      </c>
      <c r="AN438" s="67">
        <f>AK439-AG439</f>
        <v/>
      </c>
      <c r="AO438" s="68">
        <f>AJ439/L439</f>
        <v/>
      </c>
      <c r="AP438" s="69">
        <f>(AJ439-AB439)/100</f>
        <v/>
      </c>
      <c r="AQ438" s="70">
        <f>(AJ439-AC439)/100</f>
        <v/>
      </c>
      <c r="AR438" s="71">
        <f>AI439/94</f>
        <v/>
      </c>
      <c r="AS438" s="71">
        <f>AJ439/94</f>
        <v/>
      </c>
      <c r="AT438" s="72">
        <f>AI439/24</f>
        <v/>
      </c>
      <c r="AU438" s="72">
        <f>AJ439/24</f>
        <v/>
      </c>
      <c r="AV438" s="73">
        <f>AI439/125</f>
        <v/>
      </c>
      <c r="AW438" s="73">
        <f>AJ439/125</f>
        <v/>
      </c>
    </row>
    <row r="439" ht="15.75" customHeight="1" s="258">
      <c r="A439" s="2" t="n"/>
      <c r="B439" s="2" t="inlineStr">
        <is>
          <t>Flower of Life-Center / 16 in</t>
        </is>
      </c>
      <c r="C439" s="91" t="inlineStr">
        <is>
          <t>MI-SB-H-ET-FL-16</t>
        </is>
      </c>
      <c r="D439" s="207" t="n">
        <v>7200</v>
      </c>
      <c r="E439" s="2" t="n">
        <v>190</v>
      </c>
      <c r="F439" s="2" t="n">
        <v>100</v>
      </c>
      <c r="G439" s="118" t="n">
        <v>83061000</v>
      </c>
      <c r="H439" s="255" t="n">
        <v>0.05</v>
      </c>
      <c r="I439" s="2">
        <f>E440*H440</f>
        <v/>
      </c>
      <c r="K439" s="152" t="n">
        <v>300</v>
      </c>
      <c r="L439" s="135">
        <f>K440+J440+I440+F440+E440+D440</f>
        <v/>
      </c>
      <c r="M439" s="2">
        <f>D440*1%</f>
        <v/>
      </c>
      <c r="N439" s="12">
        <f>L440*8%</f>
        <v/>
      </c>
      <c r="O439" s="12">
        <f>L440*10%</f>
        <v/>
      </c>
      <c r="P439" s="12">
        <f>L440*5%</f>
        <v/>
      </c>
      <c r="Q439" s="12">
        <f>L440*2%</f>
        <v/>
      </c>
      <c r="R439" s="12">
        <f>AC440*0.5%</f>
        <v/>
      </c>
      <c r="S439" s="12">
        <f>L440*1%</f>
        <v/>
      </c>
      <c r="T439" s="60">
        <f>S440+Q440+P440+O440+N440+M440</f>
        <v/>
      </c>
      <c r="U439" s="2">
        <f>AC440*1%</f>
        <v/>
      </c>
      <c r="V439" s="44">
        <f>AC440*5%</f>
        <v/>
      </c>
      <c r="W439" s="2">
        <f>AC440*1%</f>
        <v/>
      </c>
      <c r="X439" s="2">
        <f>AC440*8%</f>
        <v/>
      </c>
      <c r="Y439" s="2">
        <f>U440+V440+W440+X440</f>
        <v/>
      </c>
      <c r="Z439" s="60">
        <f>Y440+T440+L440</f>
        <v/>
      </c>
      <c r="AA439" s="11">
        <f>Z440*20%</f>
        <v/>
      </c>
      <c r="AB439" s="12">
        <f>Z440+AA440</f>
        <v/>
      </c>
      <c r="AC439" s="2">
        <f>D440*2.1</f>
        <v/>
      </c>
      <c r="AD439" s="12">
        <f>AB440-AC440</f>
        <v/>
      </c>
      <c r="AE439" s="12">
        <f>AD440/AB440*100</f>
        <v/>
      </c>
      <c r="AG439" s="62">
        <f>((AF440-L440)/L440)*100</f>
        <v/>
      </c>
      <c r="AH439" s="106">
        <f>AJ440-AF440</f>
        <v/>
      </c>
      <c r="AI439" s="65" t="n">
        <v>17990</v>
      </c>
      <c r="AJ439" s="65" t="n">
        <v>16490</v>
      </c>
      <c r="AK439" s="66">
        <f>(AJ440-L440)/L440*100</f>
        <v/>
      </c>
      <c r="AL439" s="66" t="n"/>
      <c r="AM439" s="14">
        <f>AH440/AJ440%</f>
        <v/>
      </c>
      <c r="AN439" s="67">
        <f>AK440-AG440</f>
        <v/>
      </c>
      <c r="AO439" s="68">
        <f>AJ440/L440</f>
        <v/>
      </c>
      <c r="AP439" s="69">
        <f>(AJ440-AB440)/100</f>
        <v/>
      </c>
      <c r="AQ439" s="70">
        <f>(AJ440-AC440)/100</f>
        <v/>
      </c>
      <c r="AR439" s="71">
        <f>AI440/94</f>
        <v/>
      </c>
      <c r="AS439" s="71">
        <f>AJ440/94</f>
        <v/>
      </c>
      <c r="AT439" s="72">
        <f>AI440/24</f>
        <v/>
      </c>
      <c r="AU439" s="72">
        <f>AJ440/24</f>
        <v/>
      </c>
      <c r="AV439" s="73">
        <f>AI440/125</f>
        <v/>
      </c>
      <c r="AW439" s="73">
        <f>AJ440/125</f>
        <v/>
      </c>
    </row>
    <row r="440" ht="15.75" customHeight="1" s="258">
      <c r="A440" s="2" t="n"/>
      <c r="B440" s="2" t="inlineStr">
        <is>
          <t>Flower of Life-Center / 18 in</t>
        </is>
      </c>
      <c r="C440" s="91" t="inlineStr">
        <is>
          <t>MI-SB-H-ET-FL-18</t>
        </is>
      </c>
      <c r="D440" s="207" t="n">
        <v>9000</v>
      </c>
      <c r="E440" s="2" t="n">
        <v>190</v>
      </c>
      <c r="F440" s="2" t="n">
        <v>100</v>
      </c>
      <c r="G440" s="118" t="n">
        <v>83061000</v>
      </c>
      <c r="H440" s="255" t="n">
        <v>0.05</v>
      </c>
      <c r="I440" s="2">
        <f>E441*H441</f>
        <v/>
      </c>
      <c r="K440" s="152" t="n">
        <v>300</v>
      </c>
      <c r="L440" s="135">
        <f>K441+J441+I441+F441+E441+D441</f>
        <v/>
      </c>
      <c r="M440" s="2">
        <f>D441*1%</f>
        <v/>
      </c>
      <c r="N440" s="12">
        <f>L441*8%</f>
        <v/>
      </c>
      <c r="O440" s="12">
        <f>L441*10%</f>
        <v/>
      </c>
      <c r="P440" s="12">
        <f>L441*5%</f>
        <v/>
      </c>
      <c r="Q440" s="12">
        <f>L441*2%</f>
        <v/>
      </c>
      <c r="R440" s="12">
        <f>AC441*0.5%</f>
        <v/>
      </c>
      <c r="S440" s="12">
        <f>L441*1%</f>
        <v/>
      </c>
      <c r="T440" s="60">
        <f>S441+Q441+P441+O441+N441+M441</f>
        <v/>
      </c>
      <c r="U440" s="2">
        <f>AC441*1%</f>
        <v/>
      </c>
      <c r="V440" s="44">
        <f>AC441*5%</f>
        <v/>
      </c>
      <c r="W440" s="2">
        <f>AC441*1%</f>
        <v/>
      </c>
      <c r="X440" s="2">
        <f>AC441*8%</f>
        <v/>
      </c>
      <c r="Y440" s="2">
        <f>U441+V441+W441+X441</f>
        <v/>
      </c>
      <c r="Z440" s="60">
        <f>Y441+T441+L441</f>
        <v/>
      </c>
      <c r="AA440" s="11">
        <f>Z441*20%</f>
        <v/>
      </c>
      <c r="AB440" s="12">
        <f>Z441+AA441</f>
        <v/>
      </c>
      <c r="AC440" s="2">
        <f>D441*2.1</f>
        <v/>
      </c>
      <c r="AD440" s="12">
        <f>AB441-AC441</f>
        <v/>
      </c>
      <c r="AE440" s="12">
        <f>AD441/AB441*100</f>
        <v/>
      </c>
      <c r="AG440" s="62">
        <f>((AF441-L441)/L441)*100</f>
        <v/>
      </c>
      <c r="AH440" s="106">
        <f>AJ441-AF441</f>
        <v/>
      </c>
      <c r="AI440" s="65" t="n">
        <v>21990</v>
      </c>
      <c r="AJ440" s="65" t="n">
        <v>19990</v>
      </c>
      <c r="AK440" s="66">
        <f>(AJ441-L441)/L441*100</f>
        <v/>
      </c>
      <c r="AL440" s="66" t="n"/>
      <c r="AM440" s="14">
        <f>AH441/AJ441%</f>
        <v/>
      </c>
      <c r="AN440" s="67">
        <f>AK441-AG441</f>
        <v/>
      </c>
      <c r="AO440" s="68">
        <f>AJ441/L441</f>
        <v/>
      </c>
      <c r="AP440" s="69">
        <f>(AJ441-AB441)/100</f>
        <v/>
      </c>
      <c r="AQ440" s="70">
        <f>(AJ441-AC441)/100</f>
        <v/>
      </c>
      <c r="AR440" s="71">
        <f>AI441/94</f>
        <v/>
      </c>
      <c r="AS440" s="71">
        <f>AJ441/94</f>
        <v/>
      </c>
      <c r="AT440" s="72">
        <f>AI441/24</f>
        <v/>
      </c>
      <c r="AU440" s="72">
        <f>AJ441/24</f>
        <v/>
      </c>
      <c r="AV440" s="73">
        <f>AI441/125</f>
        <v/>
      </c>
      <c r="AW440" s="73">
        <f>AJ441/125</f>
        <v/>
      </c>
    </row>
    <row r="441" ht="15.75" customHeight="1" s="258">
      <c r="A441" s="2" t="n"/>
      <c r="B441" s="2" t="inlineStr">
        <is>
          <t>Flower of Life-Center / 20 in</t>
        </is>
      </c>
      <c r="C441" s="91" t="inlineStr">
        <is>
          <t>MI-SB-H-ET-FL-20</t>
        </is>
      </c>
      <c r="D441" s="207" t="n">
        <v>12600</v>
      </c>
      <c r="E441" s="2" t="n">
        <v>190</v>
      </c>
      <c r="F441" s="2" t="n">
        <v>100</v>
      </c>
      <c r="G441" s="118" t="n">
        <v>83061000</v>
      </c>
      <c r="H441" s="255" t="n">
        <v>0.05</v>
      </c>
      <c r="I441" s="2">
        <f>E442*H442</f>
        <v/>
      </c>
      <c r="K441" s="152" t="n">
        <v>300</v>
      </c>
      <c r="L441" s="135">
        <f>K442+J442+I442+F442+E442+D442</f>
        <v/>
      </c>
      <c r="M441" s="2">
        <f>D442*1%</f>
        <v/>
      </c>
      <c r="N441" s="12">
        <f>L442*8%</f>
        <v/>
      </c>
      <c r="O441" s="12">
        <f>L442*10%</f>
        <v/>
      </c>
      <c r="P441" s="12">
        <f>L442*5%</f>
        <v/>
      </c>
      <c r="Q441" s="12">
        <f>L442*2%</f>
        <v/>
      </c>
      <c r="R441" s="12">
        <f>AC442*0.5%</f>
        <v/>
      </c>
      <c r="S441" s="12">
        <f>L442*1%</f>
        <v/>
      </c>
      <c r="T441" s="60">
        <f>S442+Q442+P442+O442+N442+M442</f>
        <v/>
      </c>
      <c r="U441" s="2">
        <f>AC442*1%</f>
        <v/>
      </c>
      <c r="V441" s="44">
        <f>AC442*5%</f>
        <v/>
      </c>
      <c r="W441" s="2">
        <f>AC442*1%</f>
        <v/>
      </c>
      <c r="X441" s="2">
        <f>AC442*8%</f>
        <v/>
      </c>
      <c r="Y441" s="2">
        <f>U442+V442+W442+X442</f>
        <v/>
      </c>
      <c r="Z441" s="60">
        <f>Y442+T442+L442</f>
        <v/>
      </c>
      <c r="AA441" s="11">
        <f>Z442*20%</f>
        <v/>
      </c>
      <c r="AB441" s="12">
        <f>Z442+AA442</f>
        <v/>
      </c>
      <c r="AC441" s="2">
        <f>D442*2.1</f>
        <v/>
      </c>
      <c r="AD441" s="12">
        <f>AB442-AC442</f>
        <v/>
      </c>
      <c r="AE441" s="12">
        <f>AD442/AB442*100</f>
        <v/>
      </c>
      <c r="AG441" s="62">
        <f>((AF442-L442)/L442)*100</f>
        <v/>
      </c>
      <c r="AH441" s="106">
        <f>AJ442-AF442</f>
        <v/>
      </c>
      <c r="AI441" s="65" t="n">
        <v>25990</v>
      </c>
      <c r="AJ441" s="65" t="n">
        <v>24490</v>
      </c>
      <c r="AK441" s="66">
        <f>(AJ442-L442)/L442*100</f>
        <v/>
      </c>
      <c r="AL441" s="66" t="n"/>
      <c r="AM441" s="14">
        <f>AH442/AJ442%</f>
        <v/>
      </c>
      <c r="AN441" s="67">
        <f>AK442-AG442</f>
        <v/>
      </c>
      <c r="AO441" s="68">
        <f>AJ442/L442</f>
        <v/>
      </c>
      <c r="AP441" s="69">
        <f>(AJ442-AB442)/100</f>
        <v/>
      </c>
      <c r="AQ441" s="70">
        <f>(AJ442-AC442)/100</f>
        <v/>
      </c>
      <c r="AR441" s="71">
        <f>AI442/94</f>
        <v/>
      </c>
      <c r="AS441" s="71">
        <f>AJ442/94</f>
        <v/>
      </c>
      <c r="AT441" s="72">
        <f>AI442/24</f>
        <v/>
      </c>
      <c r="AU441" s="72">
        <f>AJ442/24</f>
        <v/>
      </c>
      <c r="AV441" s="73">
        <f>AI442/125</f>
        <v/>
      </c>
      <c r="AW441" s="73">
        <f>AJ442/125</f>
        <v/>
      </c>
    </row>
    <row r="442" ht="15.75" customHeight="1" s="258">
      <c r="A442" s="2" t="n"/>
      <c r="B442" s="2" t="inlineStr">
        <is>
          <t>Flower of Life-Center / 22 in</t>
        </is>
      </c>
      <c r="C442" s="91" t="inlineStr">
        <is>
          <t>MI-SB-H-ET-FL-22</t>
        </is>
      </c>
      <c r="D442" s="207" t="n">
        <v>15120</v>
      </c>
      <c r="E442" s="2" t="n">
        <v>350</v>
      </c>
      <c r="F442" s="2" t="n">
        <v>100</v>
      </c>
      <c r="G442" s="118" t="n">
        <v>83061000</v>
      </c>
      <c r="H442" s="255" t="n">
        <v>0.05</v>
      </c>
      <c r="I442" s="2">
        <f>E443*H443</f>
        <v/>
      </c>
      <c r="K442" s="152" t="n">
        <v>300</v>
      </c>
      <c r="L442" s="135">
        <f>K443+J443+I443+F443+E443+D443</f>
        <v/>
      </c>
      <c r="M442" s="2">
        <f>D443*1%</f>
        <v/>
      </c>
      <c r="N442" s="12">
        <f>L443*8%</f>
        <v/>
      </c>
      <c r="O442" s="12">
        <f>L443*10%</f>
        <v/>
      </c>
      <c r="P442" s="12">
        <f>L443*5%</f>
        <v/>
      </c>
      <c r="Q442" s="12">
        <f>L443*2%</f>
        <v/>
      </c>
      <c r="R442" s="12">
        <f>AC443*0.5%</f>
        <v/>
      </c>
      <c r="S442" s="12">
        <f>L443*1%</f>
        <v/>
      </c>
      <c r="T442" s="60">
        <f>S443+Q443+P443+O443+N443+M443</f>
        <v/>
      </c>
      <c r="U442" s="2">
        <f>AC443*1%</f>
        <v/>
      </c>
      <c r="V442" s="44">
        <f>AC443*5%</f>
        <v/>
      </c>
      <c r="W442" s="2">
        <f>AC443*1%</f>
        <v/>
      </c>
      <c r="X442" s="2">
        <f>AC443*8%</f>
        <v/>
      </c>
      <c r="Y442" s="2">
        <f>U443+V443+W443+X443</f>
        <v/>
      </c>
      <c r="Z442" s="60">
        <f>Y443+T443+L443</f>
        <v/>
      </c>
      <c r="AA442" s="11">
        <f>Z443*20%</f>
        <v/>
      </c>
      <c r="AB442" s="12">
        <f>Z443+AA443</f>
        <v/>
      </c>
      <c r="AC442" s="2">
        <f>D443*2.1</f>
        <v/>
      </c>
      <c r="AD442" s="12">
        <f>AB443-AC443</f>
        <v/>
      </c>
      <c r="AE442" s="12">
        <f>AD443/AB443*100</f>
        <v/>
      </c>
      <c r="AG442" s="62">
        <f>((AF443-L443)/L443)*100</f>
        <v/>
      </c>
      <c r="AH442" s="106">
        <f>AJ443-AF443</f>
        <v/>
      </c>
      <c r="AI442" s="65" t="n">
        <v>31990</v>
      </c>
      <c r="AJ442" s="65" t="n">
        <v>28990</v>
      </c>
      <c r="AK442" s="66">
        <f>(AJ443-L443)/L443*100</f>
        <v/>
      </c>
      <c r="AL442" s="66" t="n"/>
      <c r="AM442" s="14">
        <f>AH443/AJ443%</f>
        <v/>
      </c>
      <c r="AN442" s="67">
        <f>AK443-AG443</f>
        <v/>
      </c>
      <c r="AO442" s="68">
        <f>AJ443/L443</f>
        <v/>
      </c>
      <c r="AP442" s="69">
        <f>(AJ443-AB443)/100</f>
        <v/>
      </c>
      <c r="AQ442" s="70">
        <f>(AJ443-AC443)/100</f>
        <v/>
      </c>
      <c r="AR442" s="71">
        <f>AI443/94</f>
        <v/>
      </c>
      <c r="AS442" s="71">
        <f>AJ443/94</f>
        <v/>
      </c>
      <c r="AT442" s="72">
        <f>AI443/24</f>
        <v/>
      </c>
      <c r="AU442" s="72">
        <f>AJ443/24</f>
        <v/>
      </c>
      <c r="AV442" s="73">
        <f>AI443/125</f>
        <v/>
      </c>
      <c r="AW442" s="73">
        <f>AJ443/125</f>
        <v/>
      </c>
    </row>
    <row r="443" ht="15.75" customHeight="1" s="258">
      <c r="A443" s="2" t="n"/>
      <c r="B443" s="2" t="inlineStr">
        <is>
          <t>Flower of Life-Center / 24 in</t>
        </is>
      </c>
      <c r="C443" s="91" t="inlineStr">
        <is>
          <t>MI-SB-H-ET-FL-24</t>
        </is>
      </c>
      <c r="D443" s="207" t="n">
        <v>19800</v>
      </c>
      <c r="E443" s="2" t="n">
        <v>350</v>
      </c>
      <c r="F443" s="2" t="n">
        <v>100</v>
      </c>
      <c r="G443" s="118" t="n">
        <v>83061000</v>
      </c>
      <c r="H443" s="255" t="n">
        <v>0.05</v>
      </c>
      <c r="I443" s="2">
        <f>E444*H444</f>
        <v/>
      </c>
      <c r="K443" s="152" t="n">
        <v>300</v>
      </c>
      <c r="L443" s="135">
        <f>K444+J444+I444+F444+E444+D444</f>
        <v/>
      </c>
      <c r="M443" s="2">
        <f>D444*1%</f>
        <v/>
      </c>
      <c r="N443" s="12">
        <f>L444*8%</f>
        <v/>
      </c>
      <c r="O443" s="12">
        <f>L444*10%</f>
        <v/>
      </c>
      <c r="P443" s="12">
        <f>L444*5%</f>
        <v/>
      </c>
      <c r="Q443" s="12">
        <f>L444*2%</f>
        <v/>
      </c>
      <c r="R443" s="12">
        <f>AC444*0.5%</f>
        <v/>
      </c>
      <c r="S443" s="12">
        <f>L444*1%</f>
        <v/>
      </c>
      <c r="T443" s="60">
        <f>S444+Q444+P444+O444+N444+M444</f>
        <v/>
      </c>
      <c r="U443" s="2">
        <f>AC444*1%</f>
        <v/>
      </c>
      <c r="V443" s="44">
        <f>AC444*5%</f>
        <v/>
      </c>
      <c r="W443" s="2">
        <f>AC444*1%</f>
        <v/>
      </c>
      <c r="X443" s="2">
        <f>AC444*8%</f>
        <v/>
      </c>
      <c r="Y443" s="2">
        <f>U444+V444+W444+X444</f>
        <v/>
      </c>
      <c r="Z443" s="60">
        <f>Y444+T444+L444</f>
        <v/>
      </c>
      <c r="AA443" s="11">
        <f>Z444*20%</f>
        <v/>
      </c>
      <c r="AB443" s="12">
        <f>Z444+AA444</f>
        <v/>
      </c>
      <c r="AC443" s="2">
        <f>D444*2.1</f>
        <v/>
      </c>
      <c r="AD443" s="12">
        <f>AB444-AC444</f>
        <v/>
      </c>
      <c r="AE443" s="12">
        <f>AD444/AB444*100</f>
        <v/>
      </c>
      <c r="AG443" s="62">
        <f>((AF444-L444)/L444)*100</f>
        <v/>
      </c>
      <c r="AH443" s="106">
        <f>AJ444-AF444</f>
        <v/>
      </c>
      <c r="AI443" s="65" t="n">
        <v>37990</v>
      </c>
      <c r="AJ443" s="65" t="n">
        <v>33990</v>
      </c>
      <c r="AK443" s="66">
        <f>(AJ444-L444)/L444*100</f>
        <v/>
      </c>
      <c r="AL443" s="66" t="n"/>
      <c r="AM443" s="14">
        <f>AH444/AJ444%</f>
        <v/>
      </c>
      <c r="AN443" s="67">
        <f>AK444-AG444</f>
        <v/>
      </c>
      <c r="AO443" s="68">
        <f>AJ444/L444</f>
        <v/>
      </c>
      <c r="AP443" s="69">
        <f>(AJ444-AB444)/100</f>
        <v/>
      </c>
      <c r="AQ443" s="70">
        <f>(AJ444-AC444)/100</f>
        <v/>
      </c>
      <c r="AR443" s="71">
        <f>AI444/94</f>
        <v/>
      </c>
      <c r="AS443" s="71">
        <f>AJ444/94</f>
        <v/>
      </c>
      <c r="AT443" s="72">
        <f>AI444/24</f>
        <v/>
      </c>
      <c r="AU443" s="72">
        <f>AJ444/24</f>
        <v/>
      </c>
      <c r="AV443" s="73">
        <f>AI444/125</f>
        <v/>
      </c>
      <c r="AW443" s="73">
        <f>AJ444/125</f>
        <v/>
      </c>
    </row>
    <row r="444" ht="15.75" customHeight="1" s="258">
      <c r="A444" s="2" t="n"/>
      <c r="B444" s="2" t="inlineStr">
        <is>
          <t>Flower of Life-Center / 26 in</t>
        </is>
      </c>
      <c r="C444" s="91" t="inlineStr">
        <is>
          <t>MI-SB-H-ET-FL-26</t>
        </is>
      </c>
      <c r="D444" s="207" t="n">
        <v>25200</v>
      </c>
      <c r="E444" s="2" t="n">
        <v>350</v>
      </c>
      <c r="F444" s="2" t="n">
        <v>100</v>
      </c>
      <c r="G444" s="118" t="n">
        <v>83061000</v>
      </c>
      <c r="H444" s="255" t="n">
        <v>0.05</v>
      </c>
      <c r="I444" s="2">
        <f>E445*H445</f>
        <v/>
      </c>
      <c r="K444" s="152" t="n">
        <v>300</v>
      </c>
      <c r="L444" s="135">
        <f>K445+J445+I445+F445+E445+D445</f>
        <v/>
      </c>
      <c r="M444" s="2">
        <f>D445*1%</f>
        <v/>
      </c>
      <c r="N444" s="12">
        <f>L445*8%</f>
        <v/>
      </c>
      <c r="O444" s="12">
        <f>L445*10%</f>
        <v/>
      </c>
      <c r="P444" s="12">
        <f>L445*5%</f>
        <v/>
      </c>
      <c r="Q444" s="12">
        <f>L445*2%</f>
        <v/>
      </c>
      <c r="R444" s="12">
        <f>AC445*0.5%</f>
        <v/>
      </c>
      <c r="S444" s="12">
        <f>L445*1%</f>
        <v/>
      </c>
      <c r="T444" s="60">
        <f>S445+Q445+P445+O445+N445+M445</f>
        <v/>
      </c>
      <c r="U444" s="2">
        <f>AC445*1%</f>
        <v/>
      </c>
      <c r="V444" s="44">
        <f>AC445*5%</f>
        <v/>
      </c>
      <c r="W444" s="2">
        <f>AC445*1%</f>
        <v/>
      </c>
      <c r="X444" s="2">
        <f>AC445*8%</f>
        <v/>
      </c>
      <c r="Y444" s="2">
        <f>U445+V445+W445+X445</f>
        <v/>
      </c>
      <c r="Z444" s="60">
        <f>Y445+T445+L445</f>
        <v/>
      </c>
      <c r="AA444" s="11">
        <f>Z445*20%</f>
        <v/>
      </c>
      <c r="AB444" s="12">
        <f>Z445+AA445</f>
        <v/>
      </c>
      <c r="AC444" s="2">
        <f>D445*2.1</f>
        <v/>
      </c>
      <c r="AD444" s="12">
        <f>AB445-AC445</f>
        <v/>
      </c>
      <c r="AE444" s="12">
        <f>AD445/AB445*100</f>
        <v/>
      </c>
      <c r="AG444" s="62">
        <f>((AF445-L445)/L445)*100</f>
        <v/>
      </c>
      <c r="AH444" s="106">
        <f>AJ445-AF445</f>
        <v/>
      </c>
      <c r="AI444" s="65" t="n">
        <v>40990</v>
      </c>
      <c r="AJ444" s="65" t="n">
        <v>38990</v>
      </c>
      <c r="AK444" s="66">
        <f>(AJ445-L445)/L445*100</f>
        <v/>
      </c>
      <c r="AL444" s="66" t="n"/>
      <c r="AM444" s="14">
        <f>AH445/AJ445%</f>
        <v/>
      </c>
      <c r="AN444" s="67">
        <f>AK445-AG445</f>
        <v/>
      </c>
      <c r="AO444" s="68">
        <f>AJ445/L445</f>
        <v/>
      </c>
      <c r="AP444" s="69">
        <f>(AJ445-AB445)/100</f>
        <v/>
      </c>
      <c r="AQ444" s="70">
        <f>(AJ445-AC445)/100</f>
        <v/>
      </c>
      <c r="AR444" s="71">
        <f>AI445/94</f>
        <v/>
      </c>
      <c r="AS444" s="71">
        <f>AJ445/94</f>
        <v/>
      </c>
      <c r="AT444" s="72">
        <f>AI445/24</f>
        <v/>
      </c>
      <c r="AU444" s="72">
        <f>AJ445/24</f>
        <v/>
      </c>
      <c r="AV444" s="73">
        <f>AI445/125</f>
        <v/>
      </c>
      <c r="AW444" s="73">
        <f>AJ445/125</f>
        <v/>
      </c>
    </row>
    <row r="445" ht="15.75" customHeight="1" s="258">
      <c r="A445" s="192" t="n"/>
      <c r="B445" s="192" t="inlineStr">
        <is>
          <t>Flower of Life-Center / 28 in</t>
        </is>
      </c>
      <c r="C445" s="211" t="inlineStr">
        <is>
          <t>MI-SB-H-ET-FL-28</t>
        </is>
      </c>
      <c r="D445" s="209" t="n">
        <v>36550</v>
      </c>
      <c r="E445" s="192" t="n">
        <v>350</v>
      </c>
      <c r="F445" s="192" t="n">
        <v>100</v>
      </c>
      <c r="G445" s="193" t="n">
        <v>83061000</v>
      </c>
      <c r="H445" s="194" t="n">
        <v>0.05</v>
      </c>
      <c r="I445" s="192">
        <f>E446*H446</f>
        <v/>
      </c>
      <c r="J445" s="195" t="n"/>
      <c r="K445" s="196" t="n">
        <v>300</v>
      </c>
      <c r="L445" s="197">
        <f>K446+J446+I446+F446+E446+D446</f>
        <v/>
      </c>
      <c r="M445" s="192">
        <f>D446*1%</f>
        <v/>
      </c>
      <c r="N445" s="198">
        <f>L446*8%</f>
        <v/>
      </c>
      <c r="O445" s="198">
        <f>L446*10%</f>
        <v/>
      </c>
      <c r="P445" s="198">
        <f>L446*5%</f>
        <v/>
      </c>
      <c r="Q445" s="198">
        <f>L446*2%</f>
        <v/>
      </c>
      <c r="R445" s="198">
        <f>AC446*0.5%</f>
        <v/>
      </c>
      <c r="S445" s="198">
        <f>L446*1%</f>
        <v/>
      </c>
      <c r="T445" s="199">
        <f>S446+Q446+P446+O446+N446+M446</f>
        <v/>
      </c>
      <c r="U445" s="192">
        <f>AC446*1%</f>
        <v/>
      </c>
      <c r="V445" s="44">
        <f>AC446*5%</f>
        <v/>
      </c>
      <c r="W445" s="192">
        <f>AC446*1%</f>
        <v/>
      </c>
      <c r="X445" s="192">
        <f>AC446*8%</f>
        <v/>
      </c>
      <c r="Y445" s="192">
        <f>U446+V446+W446+X446</f>
        <v/>
      </c>
      <c r="Z445" s="199">
        <f>Y446+T446+L446</f>
        <v/>
      </c>
      <c r="AA445" s="200">
        <f>Z446*20%</f>
        <v/>
      </c>
      <c r="AB445" s="198">
        <f>Z446+AA446</f>
        <v/>
      </c>
      <c r="AC445" s="192">
        <f>D446*2.1</f>
        <v/>
      </c>
      <c r="AD445" s="198">
        <f>AB446-AC446</f>
        <v/>
      </c>
      <c r="AE445" s="198">
        <f>AD446/AB446*100</f>
        <v/>
      </c>
      <c r="AF445" s="195" t="n"/>
      <c r="AG445" s="201">
        <f>((AF446-L446)/L446)*100</f>
        <v/>
      </c>
      <c r="AH445" s="210">
        <f>AJ446-AF446</f>
        <v/>
      </c>
      <c r="AI445" s="210" t="n">
        <v>49990</v>
      </c>
      <c r="AJ445" s="210" t="n">
        <v>44490</v>
      </c>
      <c r="AK445" s="203">
        <f>(AJ446-L446)/L446*100</f>
        <v/>
      </c>
      <c r="AL445" s="203" t="n"/>
      <c r="AM445" s="203">
        <f>AH446/AJ446%</f>
        <v/>
      </c>
      <c r="AN445" s="203">
        <f>AK446-AG446</f>
        <v/>
      </c>
      <c r="AO445" s="204">
        <f>AJ446/L446</f>
        <v/>
      </c>
      <c r="AP445" s="203">
        <f>(AJ446-AB446)/100</f>
        <v/>
      </c>
      <c r="AQ445" s="203">
        <f>(AJ446-AC446)/100</f>
        <v/>
      </c>
      <c r="AR445" s="205">
        <f>AI446/94</f>
        <v/>
      </c>
      <c r="AS445" s="205">
        <f>AJ446/94</f>
        <v/>
      </c>
      <c r="AT445" s="206">
        <f>AI446/24</f>
        <v/>
      </c>
      <c r="AU445" s="206">
        <f>AJ446/24</f>
        <v/>
      </c>
      <c r="AV445" s="206">
        <f>AI446/125</f>
        <v/>
      </c>
      <c r="AW445" s="206">
        <f>AJ446/125</f>
        <v/>
      </c>
      <c r="AX445" s="195" t="n"/>
      <c r="AY445" s="195" t="n"/>
    </row>
    <row r="446" ht="15.75" customHeight="1" s="258">
      <c r="A446" s="2" t="inlineStr">
        <is>
          <t>Extra Large Meridian Singing Bowls</t>
        </is>
      </c>
      <c r="B446" s="2" t="inlineStr">
        <is>
          <t>18 in / Etched</t>
        </is>
      </c>
      <c r="C446" s="2" t="inlineStr">
        <is>
          <t>Mi-SB-MD-E-18</t>
        </is>
      </c>
      <c r="D446" s="118" t="inlineStr">
        <is>
          <t>N/A</t>
        </is>
      </c>
      <c r="E446" s="2" t="n">
        <v>190</v>
      </c>
      <c r="F446" s="2" t="n">
        <v>10</v>
      </c>
      <c r="G446" s="118" t="n">
        <v>83061000</v>
      </c>
      <c r="H446" s="255" t="n">
        <v>0.05</v>
      </c>
      <c r="I446" s="2">
        <f>D447*H447</f>
        <v/>
      </c>
      <c r="K446" s="2">
        <f>D447*4%</f>
        <v/>
      </c>
      <c r="L446" s="4">
        <f>K447+J447+I447+F447+E447+D447</f>
        <v/>
      </c>
      <c r="M446" s="2">
        <f>D447*1%</f>
        <v/>
      </c>
      <c r="N446" s="12">
        <f>L447*8%</f>
        <v/>
      </c>
      <c r="O446" s="12">
        <f>L447*10%</f>
        <v/>
      </c>
      <c r="P446" s="12">
        <f>L447*5%</f>
        <v/>
      </c>
      <c r="Q446" s="12">
        <f>L447*2%</f>
        <v/>
      </c>
      <c r="R446" s="12">
        <f>AC447*0.5%</f>
        <v/>
      </c>
      <c r="S446" s="12">
        <f>L447*1%</f>
        <v/>
      </c>
      <c r="T446" s="4">
        <f>S447+Q447+P447+O447+N447+M447</f>
        <v/>
      </c>
      <c r="U446" s="2">
        <f>AC447*1%</f>
        <v/>
      </c>
      <c r="V446" s="44">
        <f>AC447*5%</f>
        <v/>
      </c>
      <c r="W446" s="2">
        <f>AC447*1%</f>
        <v/>
      </c>
      <c r="X446" s="2">
        <f>AC447*8%</f>
        <v/>
      </c>
      <c r="Y446" s="2">
        <f>U447+V447+W447+X447</f>
        <v/>
      </c>
      <c r="Z446" s="60">
        <f>Y447+T447+L447</f>
        <v/>
      </c>
      <c r="AA446" s="11">
        <f>Z447*20%</f>
        <v/>
      </c>
      <c r="AB446" s="2">
        <f>Z447+AA447</f>
        <v/>
      </c>
      <c r="AC446" s="2">
        <f>D447*2.1</f>
        <v/>
      </c>
      <c r="AD446" s="12">
        <f>AB447-AC447</f>
        <v/>
      </c>
      <c r="AE446" s="12">
        <f>AD447/AB447*100</f>
        <v/>
      </c>
      <c r="AF446" s="92" t="n">
        <v>68500</v>
      </c>
      <c r="AG446" s="62">
        <f>((AF447-L447)/L447)*100</f>
        <v/>
      </c>
      <c r="AH446" s="106">
        <f>AJ447-AF447</f>
        <v/>
      </c>
      <c r="AI446" s="65">
        <f>AB447</f>
        <v/>
      </c>
      <c r="AJ446" s="65">
        <f>AI447-(AI447*7%)</f>
        <v/>
      </c>
      <c r="AK446" s="66">
        <f>(AJ447-L447)/L447*100</f>
        <v/>
      </c>
      <c r="AL446" s="66" t="n"/>
      <c r="AM446" s="14">
        <f>AH447/AJ447%</f>
        <v/>
      </c>
      <c r="AN446" s="67">
        <f>AK447-AG447</f>
        <v/>
      </c>
      <c r="AO446" s="68">
        <f>AJ447/L447</f>
        <v/>
      </c>
      <c r="AP446" s="69">
        <f>(AJ447-AB447)/100</f>
        <v/>
      </c>
      <c r="AQ446" s="70">
        <f>(AJ447-AC447)/100</f>
        <v/>
      </c>
      <c r="AR446" s="71">
        <f>AI447/94</f>
        <v/>
      </c>
      <c r="AS446" s="71">
        <f>AJ447/94</f>
        <v/>
      </c>
      <c r="AT446" s="72">
        <f>AI447/24</f>
        <v/>
      </c>
      <c r="AU446" s="72">
        <f>AJ447/24</f>
        <v/>
      </c>
      <c r="AV446" s="73">
        <f>AI447/125</f>
        <v/>
      </c>
      <c r="AW446" s="73">
        <f>AJ447/125</f>
        <v/>
      </c>
    </row>
    <row r="447" ht="15.75" customHeight="1" s="258">
      <c r="A447" s="2" t="n"/>
      <c r="B447" s="2" t="inlineStr">
        <is>
          <t>20 in / Etched</t>
        </is>
      </c>
      <c r="C447" s="2" t="inlineStr">
        <is>
          <t>Mi-SB-MD-E-20</t>
        </is>
      </c>
      <c r="D447" s="189">
        <f>11*5500</f>
        <v/>
      </c>
      <c r="E447" s="2" t="n">
        <v>1000</v>
      </c>
      <c r="F447" s="2" t="n">
        <v>10</v>
      </c>
      <c r="G447" s="118" t="n">
        <v>83061000</v>
      </c>
      <c r="H447" s="255" t="n">
        <v>0.05</v>
      </c>
      <c r="I447" s="2">
        <f>D448*H448</f>
        <v/>
      </c>
      <c r="K447" s="2">
        <f>D448*4%</f>
        <v/>
      </c>
      <c r="L447" s="135">
        <f>K448+J448+I448+F448+E448+D448</f>
        <v/>
      </c>
      <c r="M447" s="2">
        <f>D448*1%</f>
        <v/>
      </c>
      <c r="N447" s="12">
        <f>L448*8%</f>
        <v/>
      </c>
      <c r="O447" s="12">
        <f>L448*10%</f>
        <v/>
      </c>
      <c r="P447" s="12">
        <f>L448*5%</f>
        <v/>
      </c>
      <c r="Q447" s="12">
        <f>L448*2%</f>
        <v/>
      </c>
      <c r="R447" s="12">
        <f>AC448*0.5%</f>
        <v/>
      </c>
      <c r="S447" s="12">
        <f>L448*1%</f>
        <v/>
      </c>
      <c r="T447" s="60">
        <f>S448+Q448+P448+O448+N448+M448</f>
        <v/>
      </c>
      <c r="U447" s="2">
        <f>AC448*1%</f>
        <v/>
      </c>
      <c r="V447" s="44">
        <f>AC448*5%</f>
        <v/>
      </c>
      <c r="W447" s="2">
        <f>AC448*1%</f>
        <v/>
      </c>
      <c r="X447" s="2">
        <f>AC448*8%</f>
        <v/>
      </c>
      <c r="Y447" s="2">
        <f>U448+V448+W448+X448</f>
        <v/>
      </c>
      <c r="Z447" s="60">
        <f>Y448+T448+L448</f>
        <v/>
      </c>
      <c r="AA447" s="11">
        <f>Z448*20%</f>
        <v/>
      </c>
      <c r="AB447" s="12">
        <f>Z448+AA448</f>
        <v/>
      </c>
      <c r="AC447" s="2">
        <f>D448*2.1</f>
        <v/>
      </c>
      <c r="AD447" s="12">
        <f>AB448-AC448</f>
        <v/>
      </c>
      <c r="AE447" s="12">
        <f>AD448/AB448*100</f>
        <v/>
      </c>
      <c r="AF447" s="92" t="n">
        <v>79500</v>
      </c>
      <c r="AG447" s="62">
        <f>((AF448-L448)/L448)*100</f>
        <v/>
      </c>
      <c r="AH447" s="106">
        <f>AJ448-AF448</f>
        <v/>
      </c>
      <c r="AI447" s="65" t="n">
        <v>84990</v>
      </c>
      <c r="AJ447" s="65" t="n">
        <v>79990</v>
      </c>
      <c r="AK447" s="66">
        <f>(AJ448-L448)/L448*100</f>
        <v/>
      </c>
      <c r="AL447" s="66" t="n"/>
      <c r="AM447" s="14">
        <f>AH448/AJ448%</f>
        <v/>
      </c>
      <c r="AN447" s="67">
        <f>AK448-AG448</f>
        <v/>
      </c>
      <c r="AO447" s="68">
        <f>AJ448/L448</f>
        <v/>
      </c>
      <c r="AP447" s="69">
        <f>(AJ448-AB448)/100</f>
        <v/>
      </c>
      <c r="AQ447" s="70">
        <f>(AJ448-AC448)/100</f>
        <v/>
      </c>
      <c r="AR447" s="71">
        <f>AI448/94</f>
        <v/>
      </c>
      <c r="AS447" s="71">
        <f>AJ448/94</f>
        <v/>
      </c>
      <c r="AT447" s="72">
        <f>AI448/24</f>
        <v/>
      </c>
      <c r="AU447" s="72">
        <f>AJ448/24</f>
        <v/>
      </c>
      <c r="AV447" s="73">
        <f>AI448/125</f>
        <v/>
      </c>
      <c r="AW447" s="73">
        <f>AJ448/125</f>
        <v/>
      </c>
    </row>
    <row r="448" ht="15.75" customHeight="1" s="258">
      <c r="A448" s="2" t="n"/>
      <c r="B448" s="2" t="inlineStr">
        <is>
          <t>22 in / Etched</t>
        </is>
      </c>
      <c r="C448" s="2" t="inlineStr">
        <is>
          <t>Mi-SB-MD-E-22</t>
        </is>
      </c>
      <c r="D448" s="189">
        <f>13*5800</f>
        <v/>
      </c>
      <c r="E448" s="2" t="n">
        <v>1500</v>
      </c>
      <c r="F448" s="2" t="n">
        <v>10</v>
      </c>
      <c r="G448" s="118" t="n">
        <v>83061000</v>
      </c>
      <c r="H448" s="255" t="n">
        <v>0.05</v>
      </c>
      <c r="I448" s="2">
        <f>D449*H449</f>
        <v/>
      </c>
      <c r="K448" s="2">
        <f>D449*4%</f>
        <v/>
      </c>
      <c r="L448" s="135">
        <f>K449+J449+I449+F449+E449+D449</f>
        <v/>
      </c>
      <c r="M448" s="2">
        <f>D449*1%</f>
        <v/>
      </c>
      <c r="N448" s="12">
        <f>L449*8%</f>
        <v/>
      </c>
      <c r="O448" s="12">
        <f>L449*10%</f>
        <v/>
      </c>
      <c r="P448" s="12">
        <f>L449*5%</f>
        <v/>
      </c>
      <c r="Q448" s="12">
        <f>L449*2%</f>
        <v/>
      </c>
      <c r="R448" s="12">
        <f>AC449*0.5%</f>
        <v/>
      </c>
      <c r="S448" s="12">
        <f>L449*1%</f>
        <v/>
      </c>
      <c r="T448" s="60">
        <f>S449+Q449+P449+O449+N449+M449</f>
        <v/>
      </c>
      <c r="U448" s="2">
        <f>AC449*1%</f>
        <v/>
      </c>
      <c r="V448" s="44">
        <f>AC449*5%</f>
        <v/>
      </c>
      <c r="W448" s="2">
        <f>AC449*1%</f>
        <v/>
      </c>
      <c r="X448" s="2">
        <f>AC449*8%</f>
        <v/>
      </c>
      <c r="Y448" s="2">
        <f>U449+V449+W449+X449</f>
        <v/>
      </c>
      <c r="Z448" s="60">
        <f>Y449+T449+L449</f>
        <v/>
      </c>
      <c r="AA448" s="11">
        <f>Z449*20%</f>
        <v/>
      </c>
      <c r="AB448" s="12">
        <f>Z449+AA449</f>
        <v/>
      </c>
      <c r="AC448" s="2">
        <f>D449*2.1</f>
        <v/>
      </c>
      <c r="AD448" s="12">
        <f>AB449-AC449</f>
        <v/>
      </c>
      <c r="AE448" s="12">
        <f>AD449/AB449*100</f>
        <v/>
      </c>
      <c r="AF448" s="92" t="n">
        <v>97500</v>
      </c>
      <c r="AG448" s="62">
        <f>((AF449-L449)/L449)*100</f>
        <v/>
      </c>
      <c r="AH448" s="106">
        <f>AJ449-AF449</f>
        <v/>
      </c>
      <c r="AI448" s="65" t="n">
        <v>99990</v>
      </c>
      <c r="AJ448" s="65" t="n">
        <v>97900</v>
      </c>
      <c r="AK448" s="66">
        <f>(AJ449-L449)/L449*100</f>
        <v/>
      </c>
      <c r="AL448" s="66" t="n"/>
      <c r="AM448" s="14">
        <f>AH449/AJ449%</f>
        <v/>
      </c>
      <c r="AN448" s="67">
        <f>AK449-AG449</f>
        <v/>
      </c>
      <c r="AO448" s="68">
        <f>AJ449/L449</f>
        <v/>
      </c>
      <c r="AP448" s="69">
        <f>(AJ449-AB449)/100</f>
        <v/>
      </c>
      <c r="AQ448" s="70">
        <f>(AJ449-AC449)/100</f>
        <v/>
      </c>
      <c r="AR448" s="71">
        <f>AI449/94</f>
        <v/>
      </c>
      <c r="AS448" s="71">
        <f>AJ449/94</f>
        <v/>
      </c>
      <c r="AT448" s="72">
        <f>AI449/24</f>
        <v/>
      </c>
      <c r="AU448" s="72">
        <f>AJ449/24</f>
        <v/>
      </c>
      <c r="AV448" s="73">
        <f>AI449/125</f>
        <v/>
      </c>
      <c r="AW448" s="73">
        <f>AJ449/125</f>
        <v/>
      </c>
    </row>
    <row r="449" ht="15.75" customHeight="1" s="258">
      <c r="A449" s="2" t="n"/>
      <c r="B449" s="2" t="inlineStr">
        <is>
          <t>24 in / Etched</t>
        </is>
      </c>
      <c r="C449" s="2" t="inlineStr">
        <is>
          <t>Mi-SB-MD-E-24</t>
        </is>
      </c>
      <c r="D449" s="118" t="inlineStr">
        <is>
          <t>N/A</t>
        </is>
      </c>
      <c r="E449" s="2" t="n">
        <v>350</v>
      </c>
      <c r="F449" s="2" t="n">
        <v>10</v>
      </c>
      <c r="G449" s="118" t="n">
        <v>83061000</v>
      </c>
      <c r="H449" s="255" t="n">
        <v>0.05</v>
      </c>
      <c r="I449" s="2">
        <f>D450*H450</f>
        <v/>
      </c>
      <c r="K449" s="2">
        <f>D450*4%</f>
        <v/>
      </c>
      <c r="L449" s="4">
        <f>K450+J450+I450+F450+E450+D450</f>
        <v/>
      </c>
      <c r="M449" s="2">
        <f>D450*1%</f>
        <v/>
      </c>
      <c r="N449" s="12">
        <f>L450*8%</f>
        <v/>
      </c>
      <c r="O449" s="12">
        <f>L450*10%</f>
        <v/>
      </c>
      <c r="P449" s="12">
        <f>L450*5%</f>
        <v/>
      </c>
      <c r="Q449" s="12">
        <f>L450*2%</f>
        <v/>
      </c>
      <c r="R449" s="12">
        <f>AC450*0.5%</f>
        <v/>
      </c>
      <c r="S449" s="12">
        <f>L450*1%</f>
        <v/>
      </c>
      <c r="T449" s="4">
        <f>S450+Q450+P450+O450+N450+M450</f>
        <v/>
      </c>
      <c r="U449" s="2">
        <f>AC450*1%</f>
        <v/>
      </c>
      <c r="V449" s="44">
        <f>AC450*5%</f>
        <v/>
      </c>
      <c r="W449" s="2">
        <f>AC450*1%</f>
        <v/>
      </c>
      <c r="X449" s="2">
        <f>AC450*8%</f>
        <v/>
      </c>
      <c r="Y449" s="2">
        <f>U450+V450+W450+X450</f>
        <v/>
      </c>
      <c r="Z449" s="60">
        <f>Y450+T450+L450</f>
        <v/>
      </c>
      <c r="AA449" s="11">
        <f>Z450*20%</f>
        <v/>
      </c>
      <c r="AB449" s="2">
        <f>Z450+AA450</f>
        <v/>
      </c>
      <c r="AC449" s="2">
        <f>D450*2.1</f>
        <v/>
      </c>
      <c r="AD449" s="12">
        <f>AB450-AC450</f>
        <v/>
      </c>
      <c r="AE449" s="12">
        <f>AD450/AB450*100</f>
        <v/>
      </c>
      <c r="AF449" s="92" t="n">
        <v>129500</v>
      </c>
      <c r="AG449" s="62">
        <f>((AF450-L450)/L450)*100</f>
        <v/>
      </c>
      <c r="AH449" s="106">
        <f>AJ450-AF450</f>
        <v/>
      </c>
      <c r="AI449" s="65">
        <f>AB450</f>
        <v/>
      </c>
      <c r="AJ449" s="65">
        <f>AI450-(AI450*7%)</f>
        <v/>
      </c>
      <c r="AK449" s="66">
        <f>(AJ450-L450)/L450*100</f>
        <v/>
      </c>
      <c r="AL449" s="66" t="n"/>
      <c r="AM449" s="14">
        <f>AH450/AJ450%</f>
        <v/>
      </c>
      <c r="AN449" s="67">
        <f>AK450-AG450</f>
        <v/>
      </c>
      <c r="AO449" s="68">
        <f>AJ450/L450</f>
        <v/>
      </c>
      <c r="AP449" s="69">
        <f>(AJ450-AB450)/100</f>
        <v/>
      </c>
      <c r="AQ449" s="70">
        <f>(AJ450-AC450)/100</f>
        <v/>
      </c>
      <c r="AR449" s="71">
        <f>AI450/94</f>
        <v/>
      </c>
      <c r="AS449" s="71">
        <f>AJ450/94</f>
        <v/>
      </c>
      <c r="AT449" s="72">
        <f>AI450/24</f>
        <v/>
      </c>
      <c r="AU449" s="72">
        <f>AJ450/24</f>
        <v/>
      </c>
      <c r="AV449" s="73">
        <f>AI450/125</f>
        <v/>
      </c>
      <c r="AW449" s="73">
        <f>AJ450/125</f>
        <v/>
      </c>
    </row>
    <row r="450" ht="15.75" customHeight="1" s="258">
      <c r="A450" s="2" t="n"/>
      <c r="B450" s="2" t="inlineStr">
        <is>
          <t>23 In / Etched</t>
        </is>
      </c>
      <c r="C450" s="2" t="inlineStr">
        <is>
          <t>Mi-SB-MD-E-26</t>
        </is>
      </c>
      <c r="D450" s="118" t="inlineStr">
        <is>
          <t>N/A</t>
        </is>
      </c>
      <c r="E450" s="2" t="n">
        <v>350</v>
      </c>
      <c r="F450" s="2" t="n">
        <v>10</v>
      </c>
      <c r="G450" s="118" t="n">
        <v>83061000</v>
      </c>
      <c r="H450" s="255" t="n">
        <v>0.05</v>
      </c>
      <c r="I450" s="2">
        <f>D451*H451</f>
        <v/>
      </c>
      <c r="K450" s="2">
        <f>D451*4%</f>
        <v/>
      </c>
      <c r="L450" s="4">
        <f>K451+J451+I451+F451+E451+D451</f>
        <v/>
      </c>
      <c r="M450" s="2">
        <f>D451*1%</f>
        <v/>
      </c>
      <c r="N450" s="12">
        <f>L451*8%</f>
        <v/>
      </c>
      <c r="O450" s="12">
        <f>L451*10%</f>
        <v/>
      </c>
      <c r="P450" s="12">
        <f>L451*5%</f>
        <v/>
      </c>
      <c r="Q450" s="12">
        <f>L451*2%</f>
        <v/>
      </c>
      <c r="R450" s="12">
        <f>AC451*0.5%</f>
        <v/>
      </c>
      <c r="S450" s="12">
        <f>L451*1%</f>
        <v/>
      </c>
      <c r="T450" s="4">
        <f>S451+Q451+P451+O451+N451+M451</f>
        <v/>
      </c>
      <c r="U450" s="2">
        <f>AC451*1%</f>
        <v/>
      </c>
      <c r="V450" s="44">
        <f>AC451*5%</f>
        <v/>
      </c>
      <c r="W450" s="2">
        <f>AC451*1%</f>
        <v/>
      </c>
      <c r="X450" s="2">
        <f>AC451*8%</f>
        <v/>
      </c>
      <c r="Y450" s="2">
        <f>U451+V451+W451+X451</f>
        <v/>
      </c>
      <c r="Z450" s="60">
        <f>Y451+T451+L451</f>
        <v/>
      </c>
      <c r="AA450" s="11">
        <f>Z451*20%</f>
        <v/>
      </c>
      <c r="AB450" s="2">
        <f>Z451+AA451</f>
        <v/>
      </c>
      <c r="AC450" s="2">
        <f>D451*2.1</f>
        <v/>
      </c>
      <c r="AD450" s="12">
        <f>AB451-AC451</f>
        <v/>
      </c>
      <c r="AE450" s="12">
        <f>AD451/AB451*100</f>
        <v/>
      </c>
      <c r="AF450" s="92" t="n">
        <v>114500</v>
      </c>
      <c r="AG450" s="62">
        <f>((AF451-L451)/L451)*100</f>
        <v/>
      </c>
      <c r="AH450" s="106">
        <f>AJ451-AF451</f>
        <v/>
      </c>
      <c r="AI450" s="65">
        <f>AB451</f>
        <v/>
      </c>
      <c r="AJ450" s="65">
        <f>AI451-(AI451*7%)</f>
        <v/>
      </c>
      <c r="AK450" s="66">
        <f>(AJ451-L451)/L451*100</f>
        <v/>
      </c>
      <c r="AL450" s="66" t="n"/>
      <c r="AM450" s="14">
        <f>AH451/AJ451%</f>
        <v/>
      </c>
      <c r="AN450" s="67">
        <f>AK451-AG451</f>
        <v/>
      </c>
      <c r="AO450" s="68">
        <f>AJ451/L451</f>
        <v/>
      </c>
      <c r="AP450" s="69">
        <f>(AJ451-AB451)/100</f>
        <v/>
      </c>
      <c r="AQ450" s="70">
        <f>(AJ451-AC451)/100</f>
        <v/>
      </c>
      <c r="AR450" s="71">
        <f>AI451/94</f>
        <v/>
      </c>
      <c r="AS450" s="71">
        <f>AJ451/94</f>
        <v/>
      </c>
      <c r="AT450" s="72">
        <f>AI451/24</f>
        <v/>
      </c>
      <c r="AU450" s="72">
        <f>AJ451/24</f>
        <v/>
      </c>
      <c r="AV450" s="73">
        <f>AI451/125</f>
        <v/>
      </c>
      <c r="AW450" s="73">
        <f>AJ451/125</f>
        <v/>
      </c>
    </row>
    <row r="451" ht="15.75" customHeight="1" s="258">
      <c r="A451" s="2" t="n"/>
      <c r="B451" s="2" t="inlineStr">
        <is>
          <t>Plain / 18 in</t>
        </is>
      </c>
      <c r="C451" s="2" t="inlineStr">
        <is>
          <t>Mi-SB-MD-P-18</t>
        </is>
      </c>
      <c r="D451" s="118" t="inlineStr">
        <is>
          <t>N/A</t>
        </is>
      </c>
      <c r="E451" s="2" t="n">
        <v>190</v>
      </c>
      <c r="F451" s="2" t="n">
        <v>10</v>
      </c>
      <c r="G451" s="118" t="n">
        <v>83061000</v>
      </c>
      <c r="H451" s="255" t="n">
        <v>0.05</v>
      </c>
      <c r="I451" s="2">
        <f>D452*H452</f>
        <v/>
      </c>
      <c r="K451" s="2">
        <f>D452*4%</f>
        <v/>
      </c>
      <c r="L451" s="4">
        <f>K452+J452+I452+F452+E452+D452</f>
        <v/>
      </c>
      <c r="M451" s="2">
        <f>D452*1%</f>
        <v/>
      </c>
      <c r="N451" s="12">
        <f>L452*8%</f>
        <v/>
      </c>
      <c r="O451" s="12">
        <f>L452*10%</f>
        <v/>
      </c>
      <c r="P451" s="12">
        <f>L452*5%</f>
        <v/>
      </c>
      <c r="Q451" s="12">
        <f>L452*2%</f>
        <v/>
      </c>
      <c r="R451" s="12">
        <f>AC452*0.5%</f>
        <v/>
      </c>
      <c r="S451" s="12">
        <f>L452*1%</f>
        <v/>
      </c>
      <c r="T451" s="4">
        <f>S452+Q452+P452+O452+N452+M452</f>
        <v/>
      </c>
      <c r="U451" s="2">
        <f>AC452*1%</f>
        <v/>
      </c>
      <c r="V451" s="44">
        <f>AC452*5%</f>
        <v/>
      </c>
      <c r="W451" s="2">
        <f>AC452*1%</f>
        <v/>
      </c>
      <c r="X451" s="2">
        <f>AC452*8%</f>
        <v/>
      </c>
      <c r="Y451" s="2">
        <f>U452+V452+W452+X452</f>
        <v/>
      </c>
      <c r="Z451" s="60">
        <f>Y452+T452+L452</f>
        <v/>
      </c>
      <c r="AA451" s="11">
        <f>Z452*20%</f>
        <v/>
      </c>
      <c r="AB451" s="2">
        <f>Z452+AA452</f>
        <v/>
      </c>
      <c r="AC451" s="2">
        <f>D452*2.1</f>
        <v/>
      </c>
      <c r="AD451" s="12">
        <f>AB452-AC452</f>
        <v/>
      </c>
      <c r="AE451" s="12">
        <f>AD452/AB452*100</f>
        <v/>
      </c>
      <c r="AF451" s="92" t="n">
        <v>53500</v>
      </c>
      <c r="AG451" s="62">
        <f>((AF452-L452)/L452)*100</f>
        <v/>
      </c>
      <c r="AH451" s="106">
        <f>AJ452-AF452</f>
        <v/>
      </c>
      <c r="AI451" s="65">
        <f>AB452</f>
        <v/>
      </c>
      <c r="AJ451" s="65">
        <f>AI452-(AI452*7%)</f>
        <v/>
      </c>
      <c r="AK451" s="66">
        <f>(AJ452-L452)/L452*100</f>
        <v/>
      </c>
      <c r="AL451" s="66" t="n"/>
      <c r="AM451" s="14">
        <f>AH452/AJ452%</f>
        <v/>
      </c>
      <c r="AN451" s="67">
        <f>AK452-AG452</f>
        <v/>
      </c>
      <c r="AO451" s="68">
        <f>AJ452/L452</f>
        <v/>
      </c>
      <c r="AP451" s="69">
        <f>(AJ452-AB452)/100</f>
        <v/>
      </c>
      <c r="AQ451" s="70">
        <f>(AJ452-AC452)/100</f>
        <v/>
      </c>
      <c r="AR451" s="71">
        <f>AI452/94</f>
        <v/>
      </c>
      <c r="AS451" s="71">
        <f>AJ452/94</f>
        <v/>
      </c>
      <c r="AT451" s="72">
        <f>AI452/24</f>
        <v/>
      </c>
      <c r="AU451" s="72">
        <f>AJ452/24</f>
        <v/>
      </c>
      <c r="AV451" s="73">
        <f>AI452/125</f>
        <v/>
      </c>
      <c r="AW451" s="73">
        <f>AJ452/125</f>
        <v/>
      </c>
    </row>
    <row r="452" ht="15.75" customHeight="1" s="258">
      <c r="A452" s="2" t="n"/>
      <c r="B452" s="2" t="inlineStr">
        <is>
          <t>Plain / 20 in</t>
        </is>
      </c>
      <c r="C452" s="2" t="inlineStr">
        <is>
          <t>Mi-SB-MD-P-20</t>
        </is>
      </c>
      <c r="D452" s="118" t="n">
        <v>51700</v>
      </c>
      <c r="E452" s="2" t="n">
        <v>1000</v>
      </c>
      <c r="F452" s="2" t="n">
        <v>10</v>
      </c>
      <c r="G452" s="118" t="n">
        <v>83061000</v>
      </c>
      <c r="H452" s="255" t="n">
        <v>0.05</v>
      </c>
      <c r="I452" s="2">
        <f>D453*H453</f>
        <v/>
      </c>
      <c r="K452" s="2">
        <f>D453*4%</f>
        <v/>
      </c>
      <c r="L452" s="4">
        <f>K453+J453+I453+F453+E453+D453</f>
        <v/>
      </c>
      <c r="M452" s="2">
        <f>D453*1%</f>
        <v/>
      </c>
      <c r="N452" s="12">
        <f>L453*8%</f>
        <v/>
      </c>
      <c r="O452" s="12">
        <f>L453*10%</f>
        <v/>
      </c>
      <c r="P452" s="12">
        <f>L453*5%</f>
        <v/>
      </c>
      <c r="Q452" s="12">
        <f>L453*2%</f>
        <v/>
      </c>
      <c r="R452" s="12">
        <f>AC453*0.5%</f>
        <v/>
      </c>
      <c r="S452" s="12">
        <f>L453*1%</f>
        <v/>
      </c>
      <c r="T452" s="60">
        <f>S453+Q453+P453+O453+N453+M453</f>
        <v/>
      </c>
      <c r="U452" s="2">
        <f>AC453*1%</f>
        <v/>
      </c>
      <c r="V452" s="44">
        <f>AC453*5%</f>
        <v/>
      </c>
      <c r="W452" s="2">
        <f>AC453*1%</f>
        <v/>
      </c>
      <c r="X452" s="2">
        <f>AC453*8%</f>
        <v/>
      </c>
      <c r="Y452" s="2">
        <f>U453+V453+W453+X453</f>
        <v/>
      </c>
      <c r="Z452" s="60">
        <f>Y453+T453+L453</f>
        <v/>
      </c>
      <c r="AA452" s="11">
        <f>Z453*20%</f>
        <v/>
      </c>
      <c r="AB452" s="12">
        <f>Z453+AA453</f>
        <v/>
      </c>
      <c r="AC452" s="2">
        <f>D453*2.1</f>
        <v/>
      </c>
      <c r="AD452" s="12">
        <f>AB453-AC453</f>
        <v/>
      </c>
      <c r="AE452" s="12">
        <f>AD453/AB453*100</f>
        <v/>
      </c>
      <c r="AF452" s="92" t="n">
        <v>65500</v>
      </c>
      <c r="AG452" s="62">
        <f>((AF453-L453)/L453)*100</f>
        <v/>
      </c>
      <c r="AH452" s="106">
        <f>AJ453-AF453</f>
        <v/>
      </c>
      <c r="AI452" s="65" t="n">
        <v>79990</v>
      </c>
      <c r="AJ452" s="65" t="n">
        <v>69990</v>
      </c>
      <c r="AK452" s="66">
        <f>(AJ453-L453)/L453*100</f>
        <v/>
      </c>
      <c r="AL452" s="66" t="n"/>
      <c r="AM452" s="14">
        <f>AH453/AJ453%</f>
        <v/>
      </c>
      <c r="AN452" s="67">
        <f>AK453-AG453</f>
        <v/>
      </c>
      <c r="AO452" s="68">
        <f>AJ453/L453</f>
        <v/>
      </c>
      <c r="AP452" s="69">
        <f>(AJ453-AB453)/100</f>
        <v/>
      </c>
      <c r="AQ452" s="70">
        <f>(AJ453-AC453)/100</f>
        <v/>
      </c>
      <c r="AR452" s="71">
        <f>AI453/94</f>
        <v/>
      </c>
      <c r="AS452" s="71">
        <f>AJ453/94</f>
        <v/>
      </c>
      <c r="AT452" s="72">
        <f>AI453/24</f>
        <v/>
      </c>
      <c r="AU452" s="72">
        <f>AJ453/24</f>
        <v/>
      </c>
      <c r="AV452" s="73">
        <f>AI453/125</f>
        <v/>
      </c>
      <c r="AW452" s="73">
        <f>AJ453/125</f>
        <v/>
      </c>
    </row>
    <row r="453" ht="15.75" customHeight="1" s="258">
      <c r="A453" s="2" t="n"/>
      <c r="B453" s="2" t="inlineStr">
        <is>
          <t>Plain / 22 in</t>
        </is>
      </c>
      <c r="C453" s="2" t="inlineStr">
        <is>
          <t>Mi-SB-MD-P-22</t>
        </is>
      </c>
      <c r="D453" s="118" t="n">
        <v>65000</v>
      </c>
      <c r="E453" s="2" t="n">
        <v>1500</v>
      </c>
      <c r="F453" s="2" t="n">
        <v>10</v>
      </c>
      <c r="G453" s="118" t="n">
        <v>83061000</v>
      </c>
      <c r="H453" s="255" t="n">
        <v>0.05</v>
      </c>
      <c r="I453" s="2">
        <f>D454*H454</f>
        <v/>
      </c>
      <c r="K453" s="2">
        <f>D454*4%</f>
        <v/>
      </c>
      <c r="L453" s="4">
        <f>K454+J454+I454+F454+E454+D454</f>
        <v/>
      </c>
      <c r="M453" s="2">
        <f>D454*1%</f>
        <v/>
      </c>
      <c r="N453" s="12">
        <f>L454*8%</f>
        <v/>
      </c>
      <c r="O453" s="12">
        <f>L454*10%</f>
        <v/>
      </c>
      <c r="P453" s="12">
        <f>L454*5%</f>
        <v/>
      </c>
      <c r="Q453" s="12">
        <f>L454*2%</f>
        <v/>
      </c>
      <c r="R453" s="12">
        <f>AC454*0.5%</f>
        <v/>
      </c>
      <c r="S453" s="12">
        <f>L454*1%</f>
        <v/>
      </c>
      <c r="T453" s="60">
        <f>S454+Q454+P454+O454+N454+M454</f>
        <v/>
      </c>
      <c r="U453" s="2">
        <f>AC454*1%</f>
        <v/>
      </c>
      <c r="V453" s="44">
        <f>AC454*5%</f>
        <v/>
      </c>
      <c r="W453" s="2">
        <f>AC454*1%</f>
        <v/>
      </c>
      <c r="X453" s="2">
        <f>AC454*8%</f>
        <v/>
      </c>
      <c r="Y453" s="2">
        <f>U454+V454+W454+X454</f>
        <v/>
      </c>
      <c r="Z453" s="60">
        <f>Y454+T454+L454</f>
        <v/>
      </c>
      <c r="AA453" s="11">
        <f>Z454*20%</f>
        <v/>
      </c>
      <c r="AB453" s="12">
        <f>Z454+AA454</f>
        <v/>
      </c>
      <c r="AC453" s="2">
        <f>D454*2.1</f>
        <v/>
      </c>
      <c r="AD453" s="12">
        <f>AB454-AC454</f>
        <v/>
      </c>
      <c r="AE453" s="12">
        <f>AD454/AB454*100</f>
        <v/>
      </c>
      <c r="AF453" s="92" t="n">
        <v>65500</v>
      </c>
      <c r="AG453" s="62">
        <f>((AF454-L454)/L454)*100</f>
        <v/>
      </c>
      <c r="AH453" s="106">
        <f>AJ454-AF454</f>
        <v/>
      </c>
      <c r="AI453" s="65" t="n">
        <v>81990</v>
      </c>
      <c r="AJ453" s="65" t="n">
        <v>71990</v>
      </c>
      <c r="AK453" s="66">
        <f>(AJ454-L454)/L454*100</f>
        <v/>
      </c>
      <c r="AL453" s="66" t="n"/>
      <c r="AM453" s="14">
        <f>AH454/AJ454%</f>
        <v/>
      </c>
      <c r="AN453" s="67">
        <f>AK454-AG454</f>
        <v/>
      </c>
      <c r="AO453" s="68">
        <f>AJ454/L454</f>
        <v/>
      </c>
      <c r="AP453" s="69">
        <f>(AJ454-AB454)/100</f>
        <v/>
      </c>
      <c r="AQ453" s="70">
        <f>(AJ454-AC454)/100</f>
        <v/>
      </c>
      <c r="AR453" s="71">
        <f>AI454/94</f>
        <v/>
      </c>
      <c r="AS453" s="71">
        <f>AJ454/94</f>
        <v/>
      </c>
      <c r="AT453" s="72">
        <f>AI454/24</f>
        <v/>
      </c>
      <c r="AU453" s="72">
        <f>AJ454/24</f>
        <v/>
      </c>
      <c r="AV453" s="73">
        <f>AI454/125</f>
        <v/>
      </c>
      <c r="AW453" s="73">
        <f>AJ454/125</f>
        <v/>
      </c>
    </row>
    <row r="454" ht="15.75" customHeight="1" s="258">
      <c r="A454" s="2" t="n"/>
      <c r="B454" s="2" t="inlineStr">
        <is>
          <t>Plain / 24 in</t>
        </is>
      </c>
      <c r="C454" s="2" t="inlineStr">
        <is>
          <t>Mi-SB-MD-P-24</t>
        </is>
      </c>
      <c r="D454" s="118" t="inlineStr">
        <is>
          <t>N/A</t>
        </is>
      </c>
      <c r="E454" s="2" t="n">
        <v>190</v>
      </c>
      <c r="F454" s="2" t="n">
        <v>10</v>
      </c>
      <c r="G454" s="118" t="n">
        <v>83061000</v>
      </c>
      <c r="H454" s="255" t="n">
        <v>0.05</v>
      </c>
      <c r="I454" s="2">
        <f>D455*H455</f>
        <v/>
      </c>
      <c r="K454" s="2">
        <f>D455*4%</f>
        <v/>
      </c>
      <c r="L454" s="4">
        <f>K455+J455+I455+F455+E455+D455</f>
        <v/>
      </c>
      <c r="M454" s="2">
        <f>D455*1%</f>
        <v/>
      </c>
      <c r="N454" s="12">
        <f>L455*8%</f>
        <v/>
      </c>
      <c r="O454" s="12">
        <f>L455*10%</f>
        <v/>
      </c>
      <c r="P454" s="12">
        <f>L455*5%</f>
        <v/>
      </c>
      <c r="Q454" s="12">
        <f>L455*2%</f>
        <v/>
      </c>
      <c r="R454" s="12">
        <f>AC455*0.5%</f>
        <v/>
      </c>
      <c r="S454" s="12">
        <f>L455*1%</f>
        <v/>
      </c>
      <c r="T454" s="4">
        <f>S455+Q455+P455+O455+N455+M455</f>
        <v/>
      </c>
      <c r="U454" s="2">
        <f>AC455*1%</f>
        <v/>
      </c>
      <c r="V454" s="44">
        <f>AC455*5%</f>
        <v/>
      </c>
      <c r="W454" s="2">
        <f>AC455*1%</f>
        <v/>
      </c>
      <c r="X454" s="2">
        <f>AC455*8%</f>
        <v/>
      </c>
      <c r="Y454" s="2">
        <f>U455+V455+W455+X455</f>
        <v/>
      </c>
      <c r="Z454" s="60">
        <f>Y455+T455+L455</f>
        <v/>
      </c>
      <c r="AA454" s="11">
        <f>Z455*20%</f>
        <v/>
      </c>
      <c r="AB454" s="2">
        <f>Z455+AA455</f>
        <v/>
      </c>
      <c r="AC454" s="2">
        <f>D455*2.1</f>
        <v/>
      </c>
      <c r="AD454" s="12">
        <f>AB455-AC455</f>
        <v/>
      </c>
      <c r="AE454" s="12">
        <f>AD455/AB455*100</f>
        <v/>
      </c>
      <c r="AF454" s="92" t="n">
        <v>114500</v>
      </c>
      <c r="AG454" s="62">
        <f>((AF455-L455)/L455)*100</f>
        <v/>
      </c>
      <c r="AH454" s="106">
        <f>AJ455-AF455</f>
        <v/>
      </c>
      <c r="AI454" s="65">
        <f>AB455</f>
        <v/>
      </c>
      <c r="AJ454" s="65">
        <f>AI455-(AI455*7%)</f>
        <v/>
      </c>
      <c r="AK454" s="66">
        <f>(AJ455-L455)/L455*100</f>
        <v/>
      </c>
      <c r="AL454" s="66" t="n"/>
      <c r="AM454" s="14">
        <f>AH455/AJ455%</f>
        <v/>
      </c>
      <c r="AN454" s="67">
        <f>AK455-AG455</f>
        <v/>
      </c>
      <c r="AO454" s="68">
        <f>AJ455/L455</f>
        <v/>
      </c>
      <c r="AP454" s="69">
        <f>(AJ455-AB455)/100</f>
        <v/>
      </c>
      <c r="AQ454" s="70">
        <f>(AJ455-AC455)/100</f>
        <v/>
      </c>
      <c r="AR454" s="71">
        <f>AI455/94</f>
        <v/>
      </c>
      <c r="AS454" s="71">
        <f>AJ455/94</f>
        <v/>
      </c>
      <c r="AT454" s="72">
        <f>AI455/24</f>
        <v/>
      </c>
      <c r="AU454" s="72">
        <f>AJ455/24</f>
        <v/>
      </c>
      <c r="AV454" s="73">
        <f>AI455/125</f>
        <v/>
      </c>
      <c r="AW454" s="73">
        <f>AJ455/125</f>
        <v/>
      </c>
    </row>
    <row r="455" ht="15.75" customHeight="1" s="258">
      <c r="A455" s="2" t="n"/>
      <c r="B455" s="2" t="inlineStr">
        <is>
          <t>Plain / 23 In</t>
        </is>
      </c>
      <c r="C455" s="2" t="inlineStr">
        <is>
          <t>Mi-SB-MD-P-26</t>
        </is>
      </c>
      <c r="D455" s="118" t="inlineStr">
        <is>
          <t>N/A</t>
        </is>
      </c>
      <c r="E455" s="2" t="n">
        <v>190</v>
      </c>
      <c r="F455" s="2" t="n">
        <v>10</v>
      </c>
      <c r="G455" s="118" t="n">
        <v>83061000</v>
      </c>
      <c r="H455" s="255" t="n">
        <v>0.0500000000000001</v>
      </c>
      <c r="I455" s="2">
        <f>D456*H456</f>
        <v/>
      </c>
      <c r="K455" s="2">
        <f>D456*4%</f>
        <v/>
      </c>
      <c r="L455" s="4">
        <f>K456+J456+I456+F456+E456+D456</f>
        <v/>
      </c>
      <c r="M455" s="2">
        <f>D456*1%</f>
        <v/>
      </c>
      <c r="N455" s="12">
        <f>L456*8%</f>
        <v/>
      </c>
      <c r="O455" s="12">
        <f>L456*10%</f>
        <v/>
      </c>
      <c r="P455" s="12">
        <f>L456*5%</f>
        <v/>
      </c>
      <c r="Q455" s="12">
        <f>L456*2%</f>
        <v/>
      </c>
      <c r="R455" s="12">
        <f>AC456*0.5%</f>
        <v/>
      </c>
      <c r="S455" s="12">
        <f>L456*1%</f>
        <v/>
      </c>
      <c r="T455" s="4">
        <f>S456+Q456+P456+O456+N456+M456</f>
        <v/>
      </c>
      <c r="U455" s="2">
        <f>AC456*1%</f>
        <v/>
      </c>
      <c r="V455" s="44">
        <f>AC456*5%</f>
        <v/>
      </c>
      <c r="W455" s="2">
        <f>AC456*1%</f>
        <v/>
      </c>
      <c r="X455" s="2">
        <f>AC456*8%</f>
        <v/>
      </c>
      <c r="Y455" s="2">
        <f>U456+V456+W456+X456</f>
        <v/>
      </c>
      <c r="Z455" s="60">
        <f>Y456+T456+L456</f>
        <v/>
      </c>
      <c r="AA455" s="11">
        <f>Z456*20%</f>
        <v/>
      </c>
      <c r="AB455" s="2">
        <f>Z456+AA456</f>
        <v/>
      </c>
      <c r="AC455" s="2">
        <f>D456*2.1</f>
        <v/>
      </c>
      <c r="AD455" s="12">
        <f>AB456-AC456</f>
        <v/>
      </c>
      <c r="AE455" s="12">
        <f>AD456/AB456*100</f>
        <v/>
      </c>
      <c r="AF455" s="92" t="n">
        <v>99500</v>
      </c>
      <c r="AG455" s="62">
        <f>((AF456-L456)/L456)*100</f>
        <v/>
      </c>
      <c r="AH455" s="106">
        <f>AJ456-AF456</f>
        <v/>
      </c>
      <c r="AI455" s="65">
        <f>AB456</f>
        <v/>
      </c>
      <c r="AJ455" s="65">
        <f>AI456-(AI456*7%)</f>
        <v/>
      </c>
      <c r="AK455" s="66">
        <f>(AJ456-L456)/L456*100</f>
        <v/>
      </c>
      <c r="AL455" s="66" t="n"/>
      <c r="AM455" s="14">
        <f>AH456/AJ456%</f>
        <v/>
      </c>
      <c r="AN455" s="67">
        <f>AK456-AG456</f>
        <v/>
      </c>
      <c r="AO455" s="68">
        <f>AJ456/L456</f>
        <v/>
      </c>
      <c r="AP455" s="69">
        <f>(AJ456-AB456)/100</f>
        <v/>
      </c>
      <c r="AQ455" s="70">
        <f>(AJ456-AC456)/100</f>
        <v/>
      </c>
      <c r="AR455" s="71">
        <f>AI456/94</f>
        <v/>
      </c>
      <c r="AS455" s="71">
        <f>AJ456/94</f>
        <v/>
      </c>
      <c r="AT455" s="72">
        <f>AI456/24</f>
        <v/>
      </c>
      <c r="AU455" s="72">
        <f>AJ456/24</f>
        <v/>
      </c>
      <c r="AV455" s="73">
        <f>AI456/125</f>
        <v/>
      </c>
      <c r="AW455" s="73">
        <f>AJ456/125</f>
        <v/>
      </c>
    </row>
    <row r="456" ht="15.75" customHeight="1" s="258">
      <c r="A456" s="2" t="inlineStr">
        <is>
          <t>Flower of Life with Sacred Symbols Singing Bowls</t>
        </is>
      </c>
      <c r="B456" s="2" t="inlineStr">
        <is>
          <t>8 in / Blue</t>
        </is>
      </c>
      <c r="C456" s="2" t="inlineStr">
        <is>
          <t>MI-SB-RFL-B-8</t>
        </is>
      </c>
      <c r="D456" s="118" t="n">
        <v>780</v>
      </c>
      <c r="E456" s="2" t="n">
        <v>65</v>
      </c>
      <c r="F456" s="2" t="n">
        <v>85</v>
      </c>
      <c r="G456" s="118" t="n">
        <v>83061000</v>
      </c>
      <c r="H456" s="255" t="n">
        <v>0.05</v>
      </c>
      <c r="I456" s="2">
        <f>D457*H457</f>
        <v/>
      </c>
      <c r="K456" s="2" t="n">
        <v>40</v>
      </c>
      <c r="L456" s="4">
        <f>K457+J457+I457+F457+E457+D457</f>
        <v/>
      </c>
      <c r="M456" s="2">
        <f>D457*1%</f>
        <v/>
      </c>
      <c r="N456" s="12">
        <f>L457*8%</f>
        <v/>
      </c>
      <c r="O456" s="12">
        <f>L457*10%</f>
        <v/>
      </c>
      <c r="P456" s="12">
        <f>L457*5%</f>
        <v/>
      </c>
      <c r="Q456" s="12">
        <f>L457*2%</f>
        <v/>
      </c>
      <c r="R456" s="12">
        <f>AC457*0.5%</f>
        <v/>
      </c>
      <c r="S456" s="12">
        <f>L457*1%</f>
        <v/>
      </c>
      <c r="T456" s="60">
        <f>S457+Q457+P457+O457+N457+M457</f>
        <v/>
      </c>
      <c r="U456" s="2">
        <f>AC457*1%</f>
        <v/>
      </c>
      <c r="V456" s="44">
        <f>AC457*5%</f>
        <v/>
      </c>
      <c r="W456" s="2">
        <f>AC457*1%</f>
        <v/>
      </c>
      <c r="X456" s="2">
        <f>AC457*8%</f>
        <v/>
      </c>
      <c r="Y456" s="2">
        <f>U457+V457+W457+X457</f>
        <v/>
      </c>
      <c r="Z456" s="60">
        <f>Y457+T457+L457</f>
        <v/>
      </c>
      <c r="AA456" s="11">
        <f>Z457*20%</f>
        <v/>
      </c>
      <c r="AB456" s="12">
        <f>Z457+AA457</f>
        <v/>
      </c>
      <c r="AC456" s="2">
        <f>D457*2.1</f>
        <v/>
      </c>
      <c r="AD456" s="12">
        <f>AB457-AC457</f>
        <v/>
      </c>
      <c r="AE456" s="12">
        <f>AD457/AB457*100</f>
        <v/>
      </c>
      <c r="AF456" s="92" t="n">
        <v>1550</v>
      </c>
      <c r="AG456" s="62">
        <f>((AF457-L457)/L457)*100</f>
        <v/>
      </c>
      <c r="AH456" s="106">
        <f>AJ457-AF457</f>
        <v/>
      </c>
      <c r="AI456" s="65" t="n">
        <v>1990</v>
      </c>
      <c r="AJ456" s="65" t="n">
        <v>1590</v>
      </c>
      <c r="AK456" s="66">
        <f>(AJ457-L457)/L457*100</f>
        <v/>
      </c>
      <c r="AL456" s="66" t="n"/>
      <c r="AM456" s="14">
        <f>AH457/AJ457%</f>
        <v/>
      </c>
      <c r="AN456" s="67">
        <f>AK457-AG457</f>
        <v/>
      </c>
      <c r="AO456" s="68">
        <f>AJ457/L457</f>
        <v/>
      </c>
      <c r="AP456" s="69">
        <f>(AJ457-AB457)/100</f>
        <v/>
      </c>
      <c r="AQ456" s="70">
        <f>(AJ457-AC457)/100</f>
        <v/>
      </c>
      <c r="AR456" s="71">
        <f>AI457/94</f>
        <v/>
      </c>
      <c r="AS456" s="71">
        <f>AJ457/94</f>
        <v/>
      </c>
      <c r="AT456" s="72">
        <f>AI457/24</f>
        <v/>
      </c>
      <c r="AU456" s="72">
        <f>AJ457/24</f>
        <v/>
      </c>
      <c r="AV456" s="73">
        <f>AI457/125</f>
        <v/>
      </c>
      <c r="AW456" s="73">
        <f>AJ457/125</f>
        <v/>
      </c>
    </row>
    <row r="457" ht="15" customHeight="1" s="258">
      <c r="A457" s="2" t="n"/>
      <c r="B457" s="2" t="inlineStr">
        <is>
          <t>10.5 in / Blue</t>
        </is>
      </c>
      <c r="C457" s="2" t="inlineStr">
        <is>
          <t>MI-SB-RFL-B-10.5</t>
        </is>
      </c>
      <c r="D457" s="118" t="n">
        <v>1235</v>
      </c>
      <c r="E457" s="2" t="n">
        <v>65</v>
      </c>
      <c r="F457" s="2" t="n">
        <v>85</v>
      </c>
      <c r="G457" s="118" t="n">
        <v>83061000</v>
      </c>
      <c r="H457" s="255" t="n">
        <v>0.05</v>
      </c>
      <c r="I457" s="2">
        <f>D458*H458</f>
        <v/>
      </c>
      <c r="K457" s="2" t="n">
        <v>40</v>
      </c>
      <c r="L457" s="4">
        <f>K458+J458+I458+F458+E458+D458</f>
        <v/>
      </c>
      <c r="M457" s="2">
        <f>D458*1%</f>
        <v/>
      </c>
      <c r="N457" s="12">
        <f>L458*8%</f>
        <v/>
      </c>
      <c r="O457" s="12">
        <f>L458*10%</f>
        <v/>
      </c>
      <c r="P457" s="12">
        <f>L458*5%</f>
        <v/>
      </c>
      <c r="Q457" s="12">
        <f>L458*2%</f>
        <v/>
      </c>
      <c r="R457" s="12">
        <f>AC458*0.5%</f>
        <v/>
      </c>
      <c r="S457" s="12">
        <f>L458*1%</f>
        <v/>
      </c>
      <c r="T457" s="60">
        <f>S458+Q458+P458+O458+N458+M458</f>
        <v/>
      </c>
      <c r="U457" s="2">
        <f>AC458*1%</f>
        <v/>
      </c>
      <c r="V457" s="44">
        <f>AC458*5%</f>
        <v/>
      </c>
      <c r="W457" s="2">
        <f>AC458*1%</f>
        <v/>
      </c>
      <c r="X457" s="2">
        <f>AC458*8%</f>
        <v/>
      </c>
      <c r="Y457" s="2">
        <f>U458+V458+W458+X458</f>
        <v/>
      </c>
      <c r="Z457" s="60">
        <f>Y458+T458+L458</f>
        <v/>
      </c>
      <c r="AA457" s="11">
        <f>Z458*20%</f>
        <v/>
      </c>
      <c r="AB457" s="12">
        <f>Z458+AA458</f>
        <v/>
      </c>
      <c r="AC457" s="2">
        <f>D458*2.1</f>
        <v/>
      </c>
      <c r="AD457" s="12">
        <f>AB458-AC458</f>
        <v/>
      </c>
      <c r="AE457" s="12">
        <f>AD458/AB458*100</f>
        <v/>
      </c>
      <c r="AF457" s="92" t="n">
        <v>2190</v>
      </c>
      <c r="AG457" s="62">
        <f>((AF458-L458)/L458)*100</f>
        <v/>
      </c>
      <c r="AH457" s="106">
        <f>AJ458-AF458</f>
        <v/>
      </c>
      <c r="AI457" s="65" t="n">
        <v>2490</v>
      </c>
      <c r="AJ457" s="65" t="n">
        <v>2290</v>
      </c>
      <c r="AK457" s="66">
        <f>(AJ458-L458)/L458*100</f>
        <v/>
      </c>
      <c r="AL457" s="66" t="n"/>
      <c r="AM457" s="14">
        <f>AH458/AJ458%</f>
        <v/>
      </c>
      <c r="AN457" s="67">
        <f>AK458-AG458</f>
        <v/>
      </c>
      <c r="AO457" s="68">
        <f>AJ458/L458</f>
        <v/>
      </c>
      <c r="AP457" s="69">
        <f>(AJ458-AB458)/100</f>
        <v/>
      </c>
      <c r="AQ457" s="70">
        <f>(AJ458-AC458)/100</f>
        <v/>
      </c>
      <c r="AR457" s="71">
        <f>AI458/94</f>
        <v/>
      </c>
      <c r="AS457" s="71">
        <f>AJ458/94</f>
        <v/>
      </c>
      <c r="AT457" s="72">
        <f>AI458/24</f>
        <v/>
      </c>
      <c r="AU457" s="72">
        <f>AJ458/24</f>
        <v/>
      </c>
      <c r="AV457" s="73">
        <f>AI458/125</f>
        <v/>
      </c>
      <c r="AW457" s="73">
        <f>AJ458/125</f>
        <v/>
      </c>
    </row>
    <row r="458" ht="15.75" customHeight="1" s="258">
      <c r="A458" s="2" t="n"/>
      <c r="B458" s="2" t="inlineStr">
        <is>
          <t>Blue / 9 in</t>
        </is>
      </c>
      <c r="C458" s="2" t="inlineStr">
        <is>
          <t>MI-SB-RFL-B-9</t>
        </is>
      </c>
      <c r="D458" s="118" t="n">
        <v>910</v>
      </c>
      <c r="E458" s="2" t="n">
        <v>65</v>
      </c>
      <c r="F458" s="2" t="n">
        <v>85</v>
      </c>
      <c r="G458" s="118" t="n">
        <v>83061000</v>
      </c>
      <c r="H458" s="255" t="n">
        <v>0.05</v>
      </c>
      <c r="I458" s="2">
        <f>D459*H459</f>
        <v/>
      </c>
      <c r="K458" s="2" t="n">
        <v>40</v>
      </c>
      <c r="L458" s="4">
        <f>K459+J459+I459+F459+E459+D459</f>
        <v/>
      </c>
      <c r="M458" s="2">
        <f>D459*1%</f>
        <v/>
      </c>
      <c r="N458" s="12">
        <f>L459*8%</f>
        <v/>
      </c>
      <c r="O458" s="12">
        <f>L459*10%</f>
        <v/>
      </c>
      <c r="P458" s="12">
        <f>L459*5%</f>
        <v/>
      </c>
      <c r="Q458" s="12">
        <f>L459*2%</f>
        <v/>
      </c>
      <c r="R458" s="12">
        <f>AC459*0.5%</f>
        <v/>
      </c>
      <c r="S458" s="12">
        <f>L459*1%</f>
        <v/>
      </c>
      <c r="T458" s="60">
        <f>S459+Q459+P459+O459+N459+M459</f>
        <v/>
      </c>
      <c r="U458" s="2">
        <f>AC459*1%</f>
        <v/>
      </c>
      <c r="V458" s="44">
        <f>AC459*5%</f>
        <v/>
      </c>
      <c r="W458" s="2">
        <f>AC459*1%</f>
        <v/>
      </c>
      <c r="X458" s="2">
        <f>AC459*8%</f>
        <v/>
      </c>
      <c r="Y458" s="2">
        <f>U459+V459+W459+X459</f>
        <v/>
      </c>
      <c r="Z458" s="60">
        <f>Y459+T459+L459</f>
        <v/>
      </c>
      <c r="AA458" s="11">
        <f>Z459*20%</f>
        <v/>
      </c>
      <c r="AB458" s="12">
        <f>Z459+AA459</f>
        <v/>
      </c>
      <c r="AC458" s="2">
        <f>D459*2.1</f>
        <v/>
      </c>
      <c r="AD458" s="12">
        <f>AB459-AC459</f>
        <v/>
      </c>
      <c r="AE458" s="12">
        <f>AD459/AB459*100</f>
        <v/>
      </c>
      <c r="AF458" s="92" t="n">
        <v>1750</v>
      </c>
      <c r="AG458" s="62">
        <f>((AF459-L459)/L459)*100</f>
        <v/>
      </c>
      <c r="AH458" s="106">
        <f>AJ459-AF459</f>
        <v/>
      </c>
      <c r="AI458" s="65" t="n">
        <v>2390</v>
      </c>
      <c r="AJ458" s="65" t="n">
        <v>1890</v>
      </c>
      <c r="AK458" s="66">
        <f>(AJ459-L459)/L459*100</f>
        <v/>
      </c>
      <c r="AL458" s="66" t="n"/>
      <c r="AM458" s="14">
        <f>AH459/AJ459%</f>
        <v/>
      </c>
      <c r="AN458" s="67">
        <f>AK459-AG459</f>
        <v/>
      </c>
      <c r="AO458" s="68">
        <f>AJ459/L459</f>
        <v/>
      </c>
      <c r="AP458" s="69">
        <f>(AJ459-AB459)/100</f>
        <v/>
      </c>
      <c r="AQ458" s="70">
        <f>(AJ459-AC459)/100</f>
        <v/>
      </c>
      <c r="AR458" s="71">
        <f>AI459/94</f>
        <v/>
      </c>
      <c r="AS458" s="71">
        <f>AJ459/94</f>
        <v/>
      </c>
      <c r="AT458" s="72">
        <f>AI459/24</f>
        <v/>
      </c>
      <c r="AU458" s="72">
        <f>AJ459/24</f>
        <v/>
      </c>
      <c r="AV458" s="73">
        <f>AI459/125</f>
        <v/>
      </c>
      <c r="AW458" s="73">
        <f>AJ459/125</f>
        <v/>
      </c>
    </row>
    <row r="459" ht="15.75" customHeight="1" s="258">
      <c r="A459" s="2" t="n"/>
      <c r="B459" s="2" t="inlineStr">
        <is>
          <t>10.5 in / Brown</t>
        </is>
      </c>
      <c r="C459" s="2" t="inlineStr">
        <is>
          <t>MI-SB-RFL-BR-10.5</t>
        </is>
      </c>
      <c r="D459" s="118" t="n">
        <v>1235</v>
      </c>
      <c r="E459" s="2" t="n">
        <v>65</v>
      </c>
      <c r="F459" s="2" t="n">
        <v>85</v>
      </c>
      <c r="G459" s="118" t="n">
        <v>83061000</v>
      </c>
      <c r="H459" s="255" t="n">
        <v>0.05</v>
      </c>
      <c r="I459" s="2">
        <f>D460*H460</f>
        <v/>
      </c>
      <c r="K459" s="2" t="n">
        <v>40</v>
      </c>
      <c r="L459" s="4">
        <f>K460+J460+I460+F460+E460+D460</f>
        <v/>
      </c>
      <c r="M459" s="2">
        <f>D460*1%</f>
        <v/>
      </c>
      <c r="N459" s="12">
        <f>L460*8%</f>
        <v/>
      </c>
      <c r="O459" s="12">
        <f>L460*10%</f>
        <v/>
      </c>
      <c r="P459" s="12">
        <f>L460*5%</f>
        <v/>
      </c>
      <c r="Q459" s="12">
        <f>L460*2%</f>
        <v/>
      </c>
      <c r="R459" s="12">
        <f>AC460*0.5%</f>
        <v/>
      </c>
      <c r="S459" s="12">
        <f>L460*1%</f>
        <v/>
      </c>
      <c r="T459" s="60">
        <f>S460+Q460+P460+O460+N460+M460</f>
        <v/>
      </c>
      <c r="U459" s="2">
        <f>AC460*1%</f>
        <v/>
      </c>
      <c r="V459" s="44">
        <f>AC460*5%</f>
        <v/>
      </c>
      <c r="W459" s="2">
        <f>AC460*1%</f>
        <v/>
      </c>
      <c r="X459" s="2">
        <f>AC460*8%</f>
        <v/>
      </c>
      <c r="Y459" s="2">
        <f>U460+V460+W460+X460</f>
        <v/>
      </c>
      <c r="Z459" s="60">
        <f>Y460+T460+L460</f>
        <v/>
      </c>
      <c r="AA459" s="11">
        <f>Z460*20%</f>
        <v/>
      </c>
      <c r="AB459" s="12">
        <f>Z460+AA460</f>
        <v/>
      </c>
      <c r="AC459" s="2">
        <f>D460*2.1</f>
        <v/>
      </c>
      <c r="AD459" s="12">
        <f>AB460-AC460</f>
        <v/>
      </c>
      <c r="AE459" s="12">
        <f>AD460/AB460*100</f>
        <v/>
      </c>
      <c r="AF459" s="92" t="n">
        <v>2190</v>
      </c>
      <c r="AG459" s="62">
        <f>((AF460-L460)/L460)*100</f>
        <v/>
      </c>
      <c r="AH459" s="106">
        <f>AJ460-AF460</f>
        <v/>
      </c>
      <c r="AI459" s="65">
        <f>AB460</f>
        <v/>
      </c>
      <c r="AJ459" s="65" t="n">
        <v>2290</v>
      </c>
      <c r="AK459" s="66">
        <f>(AJ460-L460)/L460*100</f>
        <v/>
      </c>
      <c r="AL459" s="66" t="n"/>
      <c r="AM459" s="14">
        <f>AH460/AJ460%</f>
        <v/>
      </c>
      <c r="AN459" s="67">
        <f>AK460-AG460</f>
        <v/>
      </c>
      <c r="AO459" s="68">
        <f>AJ460/L460</f>
        <v/>
      </c>
      <c r="AP459" s="69">
        <f>(AJ460-AB460)/100</f>
        <v/>
      </c>
      <c r="AQ459" s="70">
        <f>(AJ460-AC460)/100</f>
        <v/>
      </c>
      <c r="AR459" s="71">
        <f>AI460/94</f>
        <v/>
      </c>
      <c r="AS459" s="71">
        <f>AJ460/94</f>
        <v/>
      </c>
      <c r="AT459" s="72">
        <f>AI460/24</f>
        <v/>
      </c>
      <c r="AU459" s="72">
        <f>AJ460/24</f>
        <v/>
      </c>
      <c r="AV459" s="73">
        <f>AI460/125</f>
        <v/>
      </c>
      <c r="AW459" s="73">
        <f>AJ460/125</f>
        <v/>
      </c>
    </row>
    <row r="460" ht="15.75" customHeight="1" s="258">
      <c r="A460" s="2" t="n"/>
      <c r="B460" s="2" t="inlineStr">
        <is>
          <t>8 in / Brown</t>
        </is>
      </c>
      <c r="C460" s="2" t="inlineStr">
        <is>
          <t>MI-SB-RFL-BR-8</t>
        </is>
      </c>
      <c r="D460" s="118" t="n">
        <v>780</v>
      </c>
      <c r="E460" s="2" t="n">
        <v>65</v>
      </c>
      <c r="F460" s="2" t="n">
        <v>85</v>
      </c>
      <c r="G460" s="118" t="n">
        <v>83061000</v>
      </c>
      <c r="H460" s="255" t="n">
        <v>0.05</v>
      </c>
      <c r="I460" s="2">
        <f>D461*H461</f>
        <v/>
      </c>
      <c r="K460" s="2" t="n">
        <v>40</v>
      </c>
      <c r="L460" s="4">
        <f>K461+J461+I461+F461+E461+D461</f>
        <v/>
      </c>
      <c r="M460" s="2">
        <f>D461*1%</f>
        <v/>
      </c>
      <c r="N460" s="12">
        <f>L461*8%</f>
        <v/>
      </c>
      <c r="O460" s="12">
        <f>L461*10%</f>
        <v/>
      </c>
      <c r="P460" s="12">
        <f>L461*5%</f>
        <v/>
      </c>
      <c r="Q460" s="12">
        <f>L461*2%</f>
        <v/>
      </c>
      <c r="R460" s="12">
        <f>AC461*0.5%</f>
        <v/>
      </c>
      <c r="S460" s="12">
        <f>L461*1%</f>
        <v/>
      </c>
      <c r="T460" s="60">
        <f>S461+Q461+P461+O461+N461+M461</f>
        <v/>
      </c>
      <c r="U460" s="2">
        <f>AC461*1%</f>
        <v/>
      </c>
      <c r="V460" s="44">
        <f>AC461*5%</f>
        <v/>
      </c>
      <c r="W460" s="2">
        <f>AC461*1%</f>
        <v/>
      </c>
      <c r="X460" s="2">
        <f>AC461*8%</f>
        <v/>
      </c>
      <c r="Y460" s="2">
        <f>U461+V461+W461+X461</f>
        <v/>
      </c>
      <c r="Z460" s="60">
        <f>Y461+T461+L461</f>
        <v/>
      </c>
      <c r="AA460" s="11">
        <f>Z461*20%</f>
        <v/>
      </c>
      <c r="AB460" s="12">
        <f>Z461+AA461</f>
        <v/>
      </c>
      <c r="AC460" s="2">
        <f>D461*2.1</f>
        <v/>
      </c>
      <c r="AD460" s="12">
        <f>AB461-AC461</f>
        <v/>
      </c>
      <c r="AE460" s="12">
        <f>AD461/AB461*100</f>
        <v/>
      </c>
      <c r="AF460" s="92" t="n">
        <v>1550</v>
      </c>
      <c r="AG460" s="62">
        <f>((AF461-L461)/L461)*100</f>
        <v/>
      </c>
      <c r="AH460" s="106">
        <f>AJ461-AF461</f>
        <v/>
      </c>
      <c r="AI460" s="65" t="n">
        <v>1990</v>
      </c>
      <c r="AJ460" s="65" t="n">
        <v>1590</v>
      </c>
      <c r="AK460" s="66">
        <f>(AJ461-L461)/L461*100</f>
        <v/>
      </c>
      <c r="AL460" s="66" t="n"/>
      <c r="AM460" s="14">
        <f>AH461/AJ461%</f>
        <v/>
      </c>
      <c r="AN460" s="67">
        <f>AK461-AG461</f>
        <v/>
      </c>
      <c r="AO460" s="68">
        <f>AJ461/L461</f>
        <v/>
      </c>
      <c r="AP460" s="69">
        <f>(AJ461-AB461)/100</f>
        <v/>
      </c>
      <c r="AQ460" s="70">
        <f>(AJ461-AC461)/100</f>
        <v/>
      </c>
      <c r="AR460" s="71">
        <f>AI461/94</f>
        <v/>
      </c>
      <c r="AS460" s="71">
        <f>AJ461/94</f>
        <v/>
      </c>
      <c r="AT460" s="72">
        <f>AI461/24</f>
        <v/>
      </c>
      <c r="AU460" s="72">
        <f>AJ461/24</f>
        <v/>
      </c>
      <c r="AV460" s="73">
        <f>AI461/125</f>
        <v/>
      </c>
      <c r="AW460" s="73">
        <f>AJ461/125</f>
        <v/>
      </c>
    </row>
    <row r="461" ht="15.75" customHeight="1" s="258">
      <c r="A461" s="2" t="n"/>
      <c r="B461" s="2" t="inlineStr">
        <is>
          <t>Brown / 9 in</t>
        </is>
      </c>
      <c r="C461" s="2" t="inlineStr">
        <is>
          <t>MI-SB-RFL-BR-9</t>
        </is>
      </c>
      <c r="D461" s="118" t="n">
        <v>910</v>
      </c>
      <c r="E461" s="2" t="n">
        <v>65</v>
      </c>
      <c r="F461" s="2" t="n">
        <v>85</v>
      </c>
      <c r="G461" s="118" t="n">
        <v>83061000</v>
      </c>
      <c r="H461" s="255" t="n">
        <v>0.05</v>
      </c>
      <c r="I461" s="2">
        <f>D462*H462</f>
        <v/>
      </c>
      <c r="K461" s="2" t="n">
        <v>40</v>
      </c>
      <c r="L461" s="4">
        <f>K462+J462+I462+F462+E462+D462</f>
        <v/>
      </c>
      <c r="M461" s="2">
        <f>D462*1%</f>
        <v/>
      </c>
      <c r="N461" s="12">
        <f>L462*8%</f>
        <v/>
      </c>
      <c r="O461" s="12">
        <f>L462*10%</f>
        <v/>
      </c>
      <c r="P461" s="12">
        <f>L462*5%</f>
        <v/>
      </c>
      <c r="Q461" s="12">
        <f>L462*2%</f>
        <v/>
      </c>
      <c r="R461" s="12">
        <f>AC462*0.5%</f>
        <v/>
      </c>
      <c r="S461" s="12">
        <f>L462*1%</f>
        <v/>
      </c>
      <c r="T461" s="60">
        <f>S462+Q462+P462+O462+N462+M462</f>
        <v/>
      </c>
      <c r="U461" s="2">
        <f>AC462*1%</f>
        <v/>
      </c>
      <c r="V461" s="44">
        <f>AC462*5%</f>
        <v/>
      </c>
      <c r="W461" s="2">
        <f>AC462*1%</f>
        <v/>
      </c>
      <c r="X461" s="2">
        <f>AC462*8%</f>
        <v/>
      </c>
      <c r="Y461" s="2">
        <f>U462+V462+W462+X462</f>
        <v/>
      </c>
      <c r="Z461" s="60">
        <f>Y462+T462+L462</f>
        <v/>
      </c>
      <c r="AA461" s="11">
        <f>Z462*20%</f>
        <v/>
      </c>
      <c r="AB461" s="12">
        <f>Z462+AA462</f>
        <v/>
      </c>
      <c r="AC461" s="2">
        <f>D462*2.1</f>
        <v/>
      </c>
      <c r="AD461" s="12">
        <f>AB462-AC462</f>
        <v/>
      </c>
      <c r="AE461" s="12">
        <f>AD462/AB462*100</f>
        <v/>
      </c>
      <c r="AF461" s="92" t="n">
        <v>1750</v>
      </c>
      <c r="AG461" s="62">
        <f>((AF462-L462)/L462)*100</f>
        <v/>
      </c>
      <c r="AH461" s="106">
        <f>AJ462-AF462</f>
        <v/>
      </c>
      <c r="AI461" s="65" t="n">
        <v>1990</v>
      </c>
      <c r="AJ461" s="65" t="n">
        <v>1890</v>
      </c>
      <c r="AK461" s="66">
        <f>(AJ462-L462)/L462*100</f>
        <v/>
      </c>
      <c r="AL461" s="66" t="n"/>
      <c r="AM461" s="14">
        <f>AH462/AJ462%</f>
        <v/>
      </c>
      <c r="AN461" s="67">
        <f>AK462-AG462</f>
        <v/>
      </c>
      <c r="AO461" s="68">
        <f>AJ462/L462</f>
        <v/>
      </c>
      <c r="AP461" s="69">
        <f>(AJ462-AB462)/100</f>
        <v/>
      </c>
      <c r="AQ461" s="70">
        <f>(AJ462-AC462)/100</f>
        <v/>
      </c>
      <c r="AR461" s="71">
        <f>AI462/94</f>
        <v/>
      </c>
      <c r="AS461" s="71">
        <f>AJ462/94</f>
        <v/>
      </c>
      <c r="AT461" s="72">
        <f>AI462/24</f>
        <v/>
      </c>
      <c r="AU461" s="72">
        <f>AJ462/24</f>
        <v/>
      </c>
      <c r="AV461" s="73">
        <f>AI462/125</f>
        <v/>
      </c>
      <c r="AW461" s="73">
        <f>AJ462/125</f>
        <v/>
      </c>
    </row>
    <row r="462" ht="15.75" customHeight="1" s="258">
      <c r="A462" s="2" t="n"/>
      <c r="B462" s="2" t="inlineStr">
        <is>
          <t>10.5 in / Green</t>
        </is>
      </c>
      <c r="C462" s="2" t="inlineStr">
        <is>
          <t>MI-SB-RFL-G-10.5</t>
        </is>
      </c>
      <c r="D462" s="118" t="n">
        <v>1235</v>
      </c>
      <c r="E462" s="2" t="n">
        <v>65</v>
      </c>
      <c r="F462" s="2" t="n">
        <v>85</v>
      </c>
      <c r="G462" s="118" t="n">
        <v>83061000</v>
      </c>
      <c r="H462" s="255" t="n">
        <v>0.05</v>
      </c>
      <c r="I462" s="2">
        <f>D463*H463</f>
        <v/>
      </c>
      <c r="K462" s="2" t="n">
        <v>40</v>
      </c>
      <c r="L462" s="4">
        <f>K463+J463+I463+F463+E463+D463</f>
        <v/>
      </c>
      <c r="M462" s="2">
        <f>D463*1%</f>
        <v/>
      </c>
      <c r="N462" s="12">
        <f>L463*8%</f>
        <v/>
      </c>
      <c r="O462" s="12">
        <f>L463*10%</f>
        <v/>
      </c>
      <c r="P462" s="12">
        <f>L463*5%</f>
        <v/>
      </c>
      <c r="Q462" s="12">
        <f>L463*2%</f>
        <v/>
      </c>
      <c r="R462" s="12">
        <f>AC463*0.5%</f>
        <v/>
      </c>
      <c r="S462" s="12">
        <f>L463*1%</f>
        <v/>
      </c>
      <c r="T462" s="60">
        <f>S463+Q463+P463+O463+N463+M463</f>
        <v/>
      </c>
      <c r="U462" s="2">
        <f>AC463*1%</f>
        <v/>
      </c>
      <c r="V462" s="44">
        <f>AC463*5%</f>
        <v/>
      </c>
      <c r="W462" s="2">
        <f>AC463*1%</f>
        <v/>
      </c>
      <c r="X462" s="2">
        <f>AC463*8%</f>
        <v/>
      </c>
      <c r="Y462" s="2">
        <f>U463+V463+W463+X463</f>
        <v/>
      </c>
      <c r="Z462" s="60">
        <f>Y463+T463+L463</f>
        <v/>
      </c>
      <c r="AA462" s="11">
        <f>Z463*20%</f>
        <v/>
      </c>
      <c r="AB462" s="12">
        <f>Z463+AA463</f>
        <v/>
      </c>
      <c r="AC462" s="2">
        <f>D463*2.1</f>
        <v/>
      </c>
      <c r="AD462" s="12">
        <f>AB463-AC463</f>
        <v/>
      </c>
      <c r="AE462" s="12">
        <f>AD463/AB463*100</f>
        <v/>
      </c>
      <c r="AF462" s="92" t="n">
        <v>2190</v>
      </c>
      <c r="AG462" s="62">
        <f>((AF463-L463)/L463)*100</f>
        <v/>
      </c>
      <c r="AH462" s="106">
        <f>AJ463-AF463</f>
        <v/>
      </c>
      <c r="AI462" s="65" t="n">
        <v>2890</v>
      </c>
      <c r="AJ462" s="65" t="n">
        <v>2490</v>
      </c>
      <c r="AK462" s="66">
        <f>(AJ463-L463)/L463*100</f>
        <v/>
      </c>
      <c r="AL462" s="66" t="n"/>
      <c r="AM462" s="14">
        <f>AH463/AJ463%</f>
        <v/>
      </c>
      <c r="AN462" s="67">
        <f>AK463-AG463</f>
        <v/>
      </c>
      <c r="AO462" s="68">
        <f>AJ463/L463</f>
        <v/>
      </c>
      <c r="AP462" s="69">
        <f>(AJ463-AB463)/100</f>
        <v/>
      </c>
      <c r="AQ462" s="70">
        <f>(AJ463-AC463)/100</f>
        <v/>
      </c>
      <c r="AR462" s="71">
        <f>AI463/94</f>
        <v/>
      </c>
      <c r="AS462" s="71">
        <f>AJ463/94</f>
        <v/>
      </c>
      <c r="AT462" s="72">
        <f>AI463/24</f>
        <v/>
      </c>
      <c r="AU462" s="72">
        <f>AJ463/24</f>
        <v/>
      </c>
      <c r="AV462" s="73">
        <f>AI463/125</f>
        <v/>
      </c>
      <c r="AW462" s="73">
        <f>AJ463/125</f>
        <v/>
      </c>
    </row>
    <row r="463" ht="15.75" customHeight="1" s="258">
      <c r="A463" s="2" t="n"/>
      <c r="B463" s="2" t="inlineStr">
        <is>
          <t>8 in / Green</t>
        </is>
      </c>
      <c r="C463" s="2" t="inlineStr">
        <is>
          <t>MI-SB-RFL-G-8</t>
        </is>
      </c>
      <c r="D463" s="118" t="n">
        <v>780</v>
      </c>
      <c r="E463" s="2" t="n">
        <v>65</v>
      </c>
      <c r="F463" s="2" t="n">
        <v>85</v>
      </c>
      <c r="G463" s="118" t="n">
        <v>83061000</v>
      </c>
      <c r="H463" s="255" t="n">
        <v>0.05</v>
      </c>
      <c r="I463" s="2">
        <f>D464*H464</f>
        <v/>
      </c>
      <c r="K463" s="2" t="n">
        <v>40</v>
      </c>
      <c r="L463" s="4">
        <f>K464+J464+I464+F464+E464+D464</f>
        <v/>
      </c>
      <c r="M463" s="2">
        <f>D464*1%</f>
        <v/>
      </c>
      <c r="N463" s="12">
        <f>L464*8%</f>
        <v/>
      </c>
      <c r="O463" s="12">
        <f>L464*10%</f>
        <v/>
      </c>
      <c r="P463" s="12">
        <f>L464*5%</f>
        <v/>
      </c>
      <c r="Q463" s="12">
        <f>L464*2%</f>
        <v/>
      </c>
      <c r="R463" s="12">
        <f>AC464*0.5%</f>
        <v/>
      </c>
      <c r="S463" s="12">
        <f>L464*1%</f>
        <v/>
      </c>
      <c r="T463" s="60">
        <f>S464+Q464+P464+O464+N464+M464</f>
        <v/>
      </c>
      <c r="U463" s="2">
        <f>AC464*1%</f>
        <v/>
      </c>
      <c r="V463" s="44">
        <f>AC464*5%</f>
        <v/>
      </c>
      <c r="W463" s="2">
        <f>AC464*1%</f>
        <v/>
      </c>
      <c r="X463" s="2">
        <f>AC464*8%</f>
        <v/>
      </c>
      <c r="Y463" s="2">
        <f>U464+V464+W464+X464</f>
        <v/>
      </c>
      <c r="Z463" s="60">
        <f>Y464+T464+L464</f>
        <v/>
      </c>
      <c r="AA463" s="11">
        <f>Z464*20%</f>
        <v/>
      </c>
      <c r="AB463" s="12">
        <f>Z464+AA464</f>
        <v/>
      </c>
      <c r="AC463" s="2">
        <f>D464*2.1</f>
        <v/>
      </c>
      <c r="AD463" s="12">
        <f>AB464-AC464</f>
        <v/>
      </c>
      <c r="AE463" s="12">
        <f>AD464/AB464*100</f>
        <v/>
      </c>
      <c r="AF463" s="92" t="n">
        <v>1550</v>
      </c>
      <c r="AG463" s="62">
        <f>((AF464-L464)/L464)*100</f>
        <v/>
      </c>
      <c r="AH463" s="106">
        <f>AJ464-AF464</f>
        <v/>
      </c>
      <c r="AI463" s="65" t="n">
        <v>1990</v>
      </c>
      <c r="AJ463" s="65" t="n">
        <v>1849</v>
      </c>
      <c r="AK463" s="66">
        <f>(AJ464-L464)/L464*100</f>
        <v/>
      </c>
      <c r="AL463" s="66" t="n"/>
      <c r="AM463" s="14">
        <f>AH464/AJ464%</f>
        <v/>
      </c>
      <c r="AN463" s="67">
        <f>AK464-AG464</f>
        <v/>
      </c>
      <c r="AO463" s="68">
        <f>AJ464/L464</f>
        <v/>
      </c>
      <c r="AP463" s="69">
        <f>(AJ464-AB464)/100</f>
        <v/>
      </c>
      <c r="AQ463" s="70">
        <f>(AJ464-AC464)/100</f>
        <v/>
      </c>
      <c r="AR463" s="71">
        <f>AI464/94</f>
        <v/>
      </c>
      <c r="AS463" s="71">
        <f>AJ464/94</f>
        <v/>
      </c>
      <c r="AT463" s="72">
        <f>AI464/24</f>
        <v/>
      </c>
      <c r="AU463" s="72">
        <f>AJ464/24</f>
        <v/>
      </c>
      <c r="AV463" s="73">
        <f>AI464/125</f>
        <v/>
      </c>
      <c r="AW463" s="73">
        <f>AJ464/125</f>
        <v/>
      </c>
    </row>
    <row r="464" ht="15.75" customHeight="1" s="258">
      <c r="A464" s="2" t="n"/>
      <c r="B464" s="2" t="inlineStr">
        <is>
          <t>9 in / Green</t>
        </is>
      </c>
      <c r="C464" s="2" t="inlineStr">
        <is>
          <t>MI-SB-RFL-G-9</t>
        </is>
      </c>
      <c r="D464" s="118" t="n">
        <v>910</v>
      </c>
      <c r="E464" s="2" t="n">
        <v>65</v>
      </c>
      <c r="F464" s="2" t="n">
        <v>85</v>
      </c>
      <c r="G464" s="118" t="n">
        <v>83061000</v>
      </c>
      <c r="H464" s="255" t="n">
        <v>0.05</v>
      </c>
      <c r="I464" s="2">
        <f>D465*H465</f>
        <v/>
      </c>
      <c r="K464" s="2" t="n">
        <v>40</v>
      </c>
      <c r="L464" s="4">
        <f>K465+J465+I465+F465+E465+D465</f>
        <v/>
      </c>
      <c r="M464" s="2">
        <f>D465*1%</f>
        <v/>
      </c>
      <c r="N464" s="12">
        <f>L465*8%</f>
        <v/>
      </c>
      <c r="O464" s="12">
        <f>L465*10%</f>
        <v/>
      </c>
      <c r="P464" s="12">
        <f>L465*5%</f>
        <v/>
      </c>
      <c r="Q464" s="12">
        <f>L465*2%</f>
        <v/>
      </c>
      <c r="R464" s="12">
        <f>AC465*0.5%</f>
        <v/>
      </c>
      <c r="S464" s="12">
        <f>L465*1%</f>
        <v/>
      </c>
      <c r="T464" s="60">
        <f>S465+Q465+P465+O465+N465+M465</f>
        <v/>
      </c>
      <c r="U464" s="2">
        <f>AC465*1%</f>
        <v/>
      </c>
      <c r="V464" s="44">
        <f>AC465*5%</f>
        <v/>
      </c>
      <c r="W464" s="2">
        <f>AC465*1%</f>
        <v/>
      </c>
      <c r="X464" s="2">
        <f>AC465*8%</f>
        <v/>
      </c>
      <c r="Y464" s="2">
        <f>U465+V465+W465+X465</f>
        <v/>
      </c>
      <c r="Z464" s="60">
        <f>Y465+T465+L465</f>
        <v/>
      </c>
      <c r="AA464" s="11">
        <f>Z465*20%</f>
        <v/>
      </c>
      <c r="AB464" s="12">
        <f>Z465+AA465</f>
        <v/>
      </c>
      <c r="AC464" s="2">
        <f>D465*2.1</f>
        <v/>
      </c>
      <c r="AD464" s="12">
        <f>AB465-AC465</f>
        <v/>
      </c>
      <c r="AE464" s="12">
        <f>AD465/AB465*100</f>
        <v/>
      </c>
      <c r="AF464" s="92" t="n">
        <v>1750</v>
      </c>
      <c r="AG464" s="62">
        <f>((AF465-L465)/L465)*100</f>
        <v/>
      </c>
      <c r="AH464" s="106">
        <f>AJ465-AF465</f>
        <v/>
      </c>
      <c r="AI464" s="65" t="n">
        <v>2190</v>
      </c>
      <c r="AJ464" s="65" t="n">
        <v>1990</v>
      </c>
      <c r="AK464" s="66">
        <f>(AJ465-L465)/L465*100</f>
        <v/>
      </c>
      <c r="AL464" s="66" t="n"/>
      <c r="AM464" s="14">
        <f>AH465/AJ465%</f>
        <v/>
      </c>
      <c r="AN464" s="67">
        <f>AK465-AG465</f>
        <v/>
      </c>
      <c r="AO464" s="68">
        <f>AJ465/L465</f>
        <v/>
      </c>
      <c r="AP464" s="69">
        <f>(AJ465-AB465)/100</f>
        <v/>
      </c>
      <c r="AQ464" s="70">
        <f>(AJ465-AC465)/100</f>
        <v/>
      </c>
      <c r="AR464" s="71">
        <f>AI465/94</f>
        <v/>
      </c>
      <c r="AS464" s="71">
        <f>AJ465/94</f>
        <v/>
      </c>
      <c r="AT464" s="72">
        <f>AI465/24</f>
        <v/>
      </c>
      <c r="AU464" s="72">
        <f>AJ465/24</f>
        <v/>
      </c>
      <c r="AV464" s="73">
        <f>AI465/125</f>
        <v/>
      </c>
      <c r="AW464" s="73">
        <f>AJ465/125</f>
        <v/>
      </c>
    </row>
    <row r="465" ht="15.75" customHeight="1" s="258">
      <c r="A465" s="2" t="n"/>
      <c r="B465" s="2" t="inlineStr">
        <is>
          <t>10.5 in / Olive green</t>
        </is>
      </c>
      <c r="C465" s="2" t="inlineStr">
        <is>
          <t>MI-SB-RFL-O-10.5</t>
        </is>
      </c>
      <c r="D465" s="118" t="n">
        <v>1235</v>
      </c>
      <c r="E465" s="2" t="n">
        <v>65</v>
      </c>
      <c r="F465" s="2" t="n">
        <v>85</v>
      </c>
      <c r="G465" s="118" t="n">
        <v>83061000</v>
      </c>
      <c r="H465" s="255" t="n">
        <v>0.05</v>
      </c>
      <c r="I465" s="2">
        <f>D466*H466</f>
        <v/>
      </c>
      <c r="K465" s="2" t="n">
        <v>40</v>
      </c>
      <c r="L465" s="4">
        <f>K466+J466+I466+F466+E466+D466</f>
        <v/>
      </c>
      <c r="M465" s="2">
        <f>D466*1%</f>
        <v/>
      </c>
      <c r="N465" s="12">
        <f>L466*8%</f>
        <v/>
      </c>
      <c r="O465" s="12">
        <f>L466*10%</f>
        <v/>
      </c>
      <c r="P465" s="12">
        <f>L466*5%</f>
        <v/>
      </c>
      <c r="Q465" s="12">
        <f>L466*2%</f>
        <v/>
      </c>
      <c r="R465" s="12">
        <f>AC466*0.5%</f>
        <v/>
      </c>
      <c r="S465" s="12">
        <f>L466*1%</f>
        <v/>
      </c>
      <c r="T465" s="60">
        <f>S466+Q466+P466+O466+N466+M466</f>
        <v/>
      </c>
      <c r="U465" s="2">
        <f>AC466*1%</f>
        <v/>
      </c>
      <c r="V465" s="44">
        <f>AC466*5%</f>
        <v/>
      </c>
      <c r="W465" s="2">
        <f>AC466*1%</f>
        <v/>
      </c>
      <c r="X465" s="2">
        <f>AC466*8%</f>
        <v/>
      </c>
      <c r="Y465" s="2">
        <f>U466+V466+W466+X466</f>
        <v/>
      </c>
      <c r="Z465" s="60">
        <f>Y466+T466+L466</f>
        <v/>
      </c>
      <c r="AA465" s="11">
        <f>Z466*20%</f>
        <v/>
      </c>
      <c r="AB465" s="12">
        <f>Z466+AA466</f>
        <v/>
      </c>
      <c r="AC465" s="2">
        <f>D466*2.1</f>
        <v/>
      </c>
      <c r="AD465" s="12">
        <f>AB466-AC466</f>
        <v/>
      </c>
      <c r="AE465" s="12">
        <f>AD466/AB466*100</f>
        <v/>
      </c>
      <c r="AF465" s="92" t="n">
        <v>2190</v>
      </c>
      <c r="AG465" s="62">
        <f>((AF466-L466)/L466)*100</f>
        <v/>
      </c>
      <c r="AH465" s="106">
        <f>AJ466-AF466</f>
        <v/>
      </c>
      <c r="AI465" s="65">
        <f>AB466</f>
        <v/>
      </c>
      <c r="AJ465" s="65">
        <f>AI466-(AI466*7%)</f>
        <v/>
      </c>
      <c r="AK465" s="66">
        <f>(AJ466-L466)/L466*100</f>
        <v/>
      </c>
      <c r="AL465" s="66" t="n"/>
      <c r="AM465" s="14">
        <f>AH466/AJ466%</f>
        <v/>
      </c>
      <c r="AN465" s="67">
        <f>AK466-AG466</f>
        <v/>
      </c>
      <c r="AO465" s="68">
        <f>AJ466/L466</f>
        <v/>
      </c>
      <c r="AP465" s="69">
        <f>(AJ466-AB466)/100</f>
        <v/>
      </c>
      <c r="AQ465" s="70">
        <f>(AJ466-AC466)/100</f>
        <v/>
      </c>
      <c r="AR465" s="71">
        <f>AI466/94</f>
        <v/>
      </c>
      <c r="AS465" s="71">
        <f>AJ466/94</f>
        <v/>
      </c>
      <c r="AT465" s="72">
        <f>AI466/24</f>
        <v/>
      </c>
      <c r="AU465" s="72">
        <f>AJ466/24</f>
        <v/>
      </c>
      <c r="AV465" s="73">
        <f>AI466/125</f>
        <v/>
      </c>
      <c r="AW465" s="73">
        <f>AJ466/125</f>
        <v/>
      </c>
    </row>
    <row r="466" ht="15.75" customHeight="1" s="258">
      <c r="A466" s="2" t="n"/>
      <c r="B466" s="2" t="inlineStr">
        <is>
          <t>8 in / Olive green</t>
        </is>
      </c>
      <c r="C466" s="2" t="inlineStr">
        <is>
          <t>MI-SB-RFL-O-8</t>
        </is>
      </c>
      <c r="D466" s="118" t="n">
        <v>780</v>
      </c>
      <c r="E466" s="2" t="n">
        <v>65</v>
      </c>
      <c r="F466" s="2" t="n">
        <v>85</v>
      </c>
      <c r="G466" s="118" t="n">
        <v>83061000</v>
      </c>
      <c r="H466" s="255" t="n">
        <v>0.05</v>
      </c>
      <c r="I466" s="2">
        <f>D467*H467</f>
        <v/>
      </c>
      <c r="K466" s="2" t="n">
        <v>40</v>
      </c>
      <c r="L466" s="4">
        <f>K467+J467+I467+F467+E467+D467</f>
        <v/>
      </c>
      <c r="M466" s="2">
        <f>D467*1%</f>
        <v/>
      </c>
      <c r="N466" s="12">
        <f>L467*8%</f>
        <v/>
      </c>
      <c r="O466" s="12">
        <f>L467*10%</f>
        <v/>
      </c>
      <c r="P466" s="12">
        <f>L467*5%</f>
        <v/>
      </c>
      <c r="Q466" s="12">
        <f>L467*2%</f>
        <v/>
      </c>
      <c r="R466" s="12">
        <f>AC467*0.5%</f>
        <v/>
      </c>
      <c r="S466" s="12">
        <f>L467*1%</f>
        <v/>
      </c>
      <c r="T466" s="60">
        <f>S467+Q467+P467+O467+N467+M467</f>
        <v/>
      </c>
      <c r="U466" s="2">
        <f>AC467*1%</f>
        <v/>
      </c>
      <c r="V466" s="44">
        <f>AC467*5%</f>
        <v/>
      </c>
      <c r="W466" s="2">
        <f>AC467*1%</f>
        <v/>
      </c>
      <c r="X466" s="2">
        <f>AC467*8%</f>
        <v/>
      </c>
      <c r="Y466" s="2">
        <f>U467+V467+W467+X467</f>
        <v/>
      </c>
      <c r="Z466" s="60">
        <f>Y467+T467+L467</f>
        <v/>
      </c>
      <c r="AA466" s="11">
        <f>Z467*20%</f>
        <v/>
      </c>
      <c r="AB466" s="12">
        <f>Z467+AA467</f>
        <v/>
      </c>
      <c r="AC466" s="2">
        <f>D467*2.1</f>
        <v/>
      </c>
      <c r="AD466" s="12">
        <f>AB467-AC467</f>
        <v/>
      </c>
      <c r="AE466" s="12">
        <f>AD467/AB467*100</f>
        <v/>
      </c>
      <c r="AF466" s="92" t="n">
        <v>1550</v>
      </c>
      <c r="AG466" s="62">
        <f>((AF467-L467)/L467)*100</f>
        <v/>
      </c>
      <c r="AH466" s="106">
        <f>AJ467-AF467</f>
        <v/>
      </c>
      <c r="AI466" s="65" t="n">
        <v>1890</v>
      </c>
      <c r="AJ466" s="65" t="n">
        <v>1790</v>
      </c>
      <c r="AK466" s="66">
        <f>(AJ467-L467)/L467*100</f>
        <v/>
      </c>
      <c r="AL466" s="66" t="n"/>
      <c r="AM466" s="14">
        <f>AH467/AJ467%</f>
        <v/>
      </c>
      <c r="AN466" s="67">
        <f>AK467-AG467</f>
        <v/>
      </c>
      <c r="AO466" s="68">
        <f>AJ467/L467</f>
        <v/>
      </c>
      <c r="AP466" s="69">
        <f>(AJ467-AB467)/100</f>
        <v/>
      </c>
      <c r="AQ466" s="70">
        <f>(AJ467-AC467)/100</f>
        <v/>
      </c>
      <c r="AR466" s="71">
        <f>AI467/94</f>
        <v/>
      </c>
      <c r="AS466" s="71">
        <f>AJ467/94</f>
        <v/>
      </c>
      <c r="AT466" s="72">
        <f>AI467/24</f>
        <v/>
      </c>
      <c r="AU466" s="72">
        <f>AJ467/24</f>
        <v/>
      </c>
      <c r="AV466" s="73">
        <f>AI467/125</f>
        <v/>
      </c>
      <c r="AW466" s="73">
        <f>AJ467/125</f>
        <v/>
      </c>
    </row>
    <row r="467" ht="15.75" customHeight="1" s="258">
      <c r="A467" s="2" t="n"/>
      <c r="B467" s="2" t="inlineStr">
        <is>
          <t>Olive green / 9 in</t>
        </is>
      </c>
      <c r="C467" s="2" t="inlineStr">
        <is>
          <t>MI-SB-RFL-O-9</t>
        </is>
      </c>
      <c r="D467" s="118" t="n">
        <v>910</v>
      </c>
      <c r="E467" s="2" t="n">
        <v>65</v>
      </c>
      <c r="F467" s="2" t="n">
        <v>85</v>
      </c>
      <c r="G467" s="118" t="n">
        <v>83061000</v>
      </c>
      <c r="H467" s="255" t="n">
        <v>0.05</v>
      </c>
      <c r="I467" s="2">
        <f>D468*H468</f>
        <v/>
      </c>
      <c r="K467" s="2" t="n">
        <v>40</v>
      </c>
      <c r="L467" s="4">
        <f>K468+J468+I468+F468+E468+D468</f>
        <v/>
      </c>
      <c r="M467" s="2">
        <f>D468*1%</f>
        <v/>
      </c>
      <c r="N467" s="12">
        <f>L468*8%</f>
        <v/>
      </c>
      <c r="O467" s="12">
        <f>L468*10%</f>
        <v/>
      </c>
      <c r="P467" s="12">
        <f>L468*5%</f>
        <v/>
      </c>
      <c r="Q467" s="12">
        <f>L468*2%</f>
        <v/>
      </c>
      <c r="R467" s="12">
        <f>AC468*0.5%</f>
        <v/>
      </c>
      <c r="S467" s="12">
        <f>L468*1%</f>
        <v/>
      </c>
      <c r="T467" s="60">
        <f>S468+Q468+P468+O468+N468+M468</f>
        <v/>
      </c>
      <c r="U467" s="2">
        <f>AC468*1%</f>
        <v/>
      </c>
      <c r="V467" s="44">
        <f>AC468*5%</f>
        <v/>
      </c>
      <c r="W467" s="2">
        <f>AC468*1%</f>
        <v/>
      </c>
      <c r="X467" s="2">
        <f>AC468*8%</f>
        <v/>
      </c>
      <c r="Y467" s="2">
        <f>U468+V468+W468+X468</f>
        <v/>
      </c>
      <c r="Z467" s="60">
        <f>Y468+T468+L468</f>
        <v/>
      </c>
      <c r="AA467" s="11">
        <f>Z468*20%</f>
        <v/>
      </c>
      <c r="AB467" s="12">
        <f>Z468+AA468</f>
        <v/>
      </c>
      <c r="AC467" s="2">
        <f>D468*2.1</f>
        <v/>
      </c>
      <c r="AD467" s="12">
        <f>AB468-AC468</f>
        <v/>
      </c>
      <c r="AE467" s="12">
        <f>AD468/AB468*100</f>
        <v/>
      </c>
      <c r="AF467" s="92" t="n">
        <v>1750</v>
      </c>
      <c r="AG467" s="62">
        <f>((AF468-L468)/L468)*100</f>
        <v/>
      </c>
      <c r="AH467" s="106">
        <f>AJ468-AF468</f>
        <v/>
      </c>
      <c r="AI467" s="65" t="n">
        <v>1990</v>
      </c>
      <c r="AJ467" s="65" t="n">
        <v>1890</v>
      </c>
      <c r="AK467" s="66">
        <f>(AJ468-L468)/L468*100</f>
        <v/>
      </c>
      <c r="AL467" s="66" t="n"/>
      <c r="AM467" s="14">
        <f>AH468/AJ468%</f>
        <v/>
      </c>
      <c r="AN467" s="67">
        <f>AK468-AG468</f>
        <v/>
      </c>
      <c r="AO467" s="68">
        <f>AJ468/L468</f>
        <v/>
      </c>
      <c r="AP467" s="69">
        <f>(AJ468-AB468)/100</f>
        <v/>
      </c>
      <c r="AQ467" s="70">
        <f>(AJ468-AC468)/100</f>
        <v/>
      </c>
      <c r="AR467" s="71">
        <f>AI468/94</f>
        <v/>
      </c>
      <c r="AS467" s="71">
        <f>AJ468/94</f>
        <v/>
      </c>
      <c r="AT467" s="72">
        <f>AI468/24</f>
        <v/>
      </c>
      <c r="AU467" s="72">
        <f>AJ468/24</f>
        <v/>
      </c>
      <c r="AV467" s="73">
        <f>AI468/125</f>
        <v/>
      </c>
      <c r="AW467" s="73">
        <f>AJ468/125</f>
        <v/>
      </c>
    </row>
    <row r="468" ht="15.75" customHeight="1" s="258">
      <c r="A468" s="2" t="inlineStr">
        <is>
          <t>Full Moon Singing Bowls - All Sizes</t>
        </is>
      </c>
      <c r="B468" s="2" t="inlineStr">
        <is>
          <t>5 Inches</t>
        </is>
      </c>
      <c r="C468" s="2" t="inlineStr">
        <is>
          <t>MI-SB-H-FM-5</t>
        </is>
      </c>
      <c r="D468" s="189">
        <f>0.55*3600</f>
        <v/>
      </c>
      <c r="E468" s="2" t="n">
        <v>55</v>
      </c>
      <c r="F468" s="2" t="n">
        <v>85</v>
      </c>
      <c r="G468" s="118" t="n">
        <v>83061000</v>
      </c>
      <c r="H468" s="255" t="n">
        <v>0.05</v>
      </c>
      <c r="I468" s="2">
        <f>D469*H469</f>
        <v/>
      </c>
      <c r="K468" s="2" t="n">
        <v>100</v>
      </c>
      <c r="L468" s="135">
        <f>K469+J469+I469+F469+E469+D469</f>
        <v/>
      </c>
      <c r="M468" s="2">
        <f>D469*1%</f>
        <v/>
      </c>
      <c r="N468" s="12">
        <f>L469*8%</f>
        <v/>
      </c>
      <c r="O468" s="12">
        <f>L469*10%</f>
        <v/>
      </c>
      <c r="P468" s="12">
        <f>L469*5%</f>
        <v/>
      </c>
      <c r="Q468" s="12">
        <f>L469*2%</f>
        <v/>
      </c>
      <c r="R468" s="12">
        <f>AC469*0.5%</f>
        <v/>
      </c>
      <c r="S468" s="12">
        <f>L469*1%</f>
        <v/>
      </c>
      <c r="T468" s="60">
        <f>S469+Q469+P469+O469+N469+M469</f>
        <v/>
      </c>
      <c r="U468" s="2">
        <f>AC469*1%</f>
        <v/>
      </c>
      <c r="V468" s="44">
        <f>AC469*5%</f>
        <v/>
      </c>
      <c r="W468" s="2">
        <f>AC469*1%</f>
        <v/>
      </c>
      <c r="X468" s="2">
        <f>AC469*8%</f>
        <v/>
      </c>
      <c r="Y468" s="2">
        <f>U469+V469+W469+X469</f>
        <v/>
      </c>
      <c r="Z468" s="60">
        <f>Y469+T469+L469</f>
        <v/>
      </c>
      <c r="AA468" s="11">
        <f>Z469*20%</f>
        <v/>
      </c>
      <c r="AB468" s="12">
        <f>Z469+AA469</f>
        <v/>
      </c>
      <c r="AC468" s="2">
        <f>D469*2.1</f>
        <v/>
      </c>
      <c r="AD468" s="12">
        <f>AB469-AC469</f>
        <v/>
      </c>
      <c r="AE468" s="12">
        <f>AD469/AB469*100</f>
        <v/>
      </c>
      <c r="AF468" s="92" t="n">
        <v>6950</v>
      </c>
      <c r="AG468" s="62">
        <f>((AF469-L469)/L469)*100</f>
        <v/>
      </c>
      <c r="AH468" s="106">
        <f>AJ469-AF469</f>
        <v/>
      </c>
      <c r="AI468" s="65" t="n">
        <v>8990</v>
      </c>
      <c r="AJ468" s="65" t="n">
        <v>7490</v>
      </c>
      <c r="AK468" s="66">
        <f>(AJ469-L469)/L469*100</f>
        <v/>
      </c>
      <c r="AL468" s="66" t="n"/>
      <c r="AM468" s="14">
        <f>AH469/AJ469%</f>
        <v/>
      </c>
      <c r="AN468" s="67">
        <f>AK469-AG469</f>
        <v/>
      </c>
      <c r="AO468" s="68">
        <f>AJ469/L469</f>
        <v/>
      </c>
      <c r="AP468" s="69">
        <f>(AJ469-AB469)/100</f>
        <v/>
      </c>
      <c r="AQ468" s="70">
        <f>(AJ469-AC469)/100</f>
        <v/>
      </c>
      <c r="AR468" s="71">
        <f>AI469/94</f>
        <v/>
      </c>
      <c r="AS468" s="71">
        <f>AJ469/94</f>
        <v/>
      </c>
      <c r="AT468" s="72">
        <f>AI469/24</f>
        <v/>
      </c>
      <c r="AU468" s="72">
        <f>AJ469/24</f>
        <v/>
      </c>
      <c r="AV468" s="73">
        <f>AI469/125</f>
        <v/>
      </c>
      <c r="AW468" s="73">
        <f>AJ469/125</f>
        <v/>
      </c>
    </row>
    <row r="469" ht="15" customHeight="1" s="258">
      <c r="A469" s="2" t="n"/>
      <c r="B469" s="2" t="inlineStr">
        <is>
          <t>10 inches</t>
        </is>
      </c>
      <c r="C469" s="2" t="inlineStr">
        <is>
          <t>MI-SB-H-FM-10</t>
        </is>
      </c>
      <c r="D469" s="212" t="n">
        <v>7920</v>
      </c>
      <c r="E469" s="2" t="n">
        <v>145</v>
      </c>
      <c r="F469" s="2" t="n">
        <v>100</v>
      </c>
      <c r="G469" s="118" t="n">
        <v>83061000</v>
      </c>
      <c r="H469" s="255" t="n">
        <v>0.05</v>
      </c>
      <c r="I469" s="2">
        <f>D470*H470</f>
        <v/>
      </c>
      <c r="K469" s="2" t="n">
        <v>100</v>
      </c>
      <c r="L469" s="135">
        <f>K470+J470+I470+F470+E470+D470</f>
        <v/>
      </c>
      <c r="M469" s="2">
        <f>D470*1%</f>
        <v/>
      </c>
      <c r="N469" s="12">
        <f>L470*8%</f>
        <v/>
      </c>
      <c r="O469" s="12">
        <f>L470*10%</f>
        <v/>
      </c>
      <c r="P469" s="12">
        <f>L470*5%</f>
        <v/>
      </c>
      <c r="Q469" s="12">
        <f>L470*2%</f>
        <v/>
      </c>
      <c r="R469" s="12">
        <f>AC470*0.5%</f>
        <v/>
      </c>
      <c r="S469" s="12">
        <f>L470*1%</f>
        <v/>
      </c>
      <c r="T469" s="60">
        <f>S470+Q470+P470+O470+N470+M470</f>
        <v/>
      </c>
      <c r="U469" s="2">
        <f>AC470*1%</f>
        <v/>
      </c>
      <c r="V469" s="44">
        <f>AC470*5%</f>
        <v/>
      </c>
      <c r="W469" s="2">
        <f>AC470*1%</f>
        <v/>
      </c>
      <c r="X469" s="2">
        <f>AC470*8%</f>
        <v/>
      </c>
      <c r="Y469" s="2">
        <f>U470+V470+W470+X470</f>
        <v/>
      </c>
      <c r="Z469" s="60">
        <f>Y470+T470+L470</f>
        <v/>
      </c>
      <c r="AA469" s="11">
        <f>Z470*20%</f>
        <v/>
      </c>
      <c r="AB469" s="12">
        <f>Z470+AA470</f>
        <v/>
      </c>
      <c r="AC469" s="2">
        <f>D470*2.1</f>
        <v/>
      </c>
      <c r="AD469" s="12">
        <f>AB470-AC470</f>
        <v/>
      </c>
      <c r="AE469" s="12">
        <f>AD470/AB470*100</f>
        <v/>
      </c>
      <c r="AF469" s="92" t="n">
        <v>12450</v>
      </c>
      <c r="AG469" s="62">
        <f>((AF470-L470)/L470)*100</f>
        <v/>
      </c>
      <c r="AH469" s="106">
        <f>AJ470-AF470</f>
        <v/>
      </c>
      <c r="AI469" s="65" t="n">
        <v>16990</v>
      </c>
      <c r="AJ469" s="65" t="n">
        <v>14990</v>
      </c>
      <c r="AK469" s="66">
        <f>(AJ470-L470)/L470*100</f>
        <v/>
      </c>
      <c r="AL469" s="66" t="n"/>
      <c r="AM469" s="14">
        <f>AH470/AJ470%</f>
        <v/>
      </c>
      <c r="AN469" s="67">
        <f>AK470-AG470</f>
        <v/>
      </c>
      <c r="AO469" s="68">
        <f>AJ470/L470</f>
        <v/>
      </c>
      <c r="AP469" s="69">
        <f>(AJ470-AB470)/100</f>
        <v/>
      </c>
      <c r="AQ469" s="70">
        <f>(AJ470-AC470)/100</f>
        <v/>
      </c>
      <c r="AR469" s="71">
        <f>AI470/94</f>
        <v/>
      </c>
      <c r="AS469" s="71">
        <f>AJ470/94</f>
        <v/>
      </c>
      <c r="AT469" s="72">
        <f>AI470/24</f>
        <v/>
      </c>
      <c r="AU469" s="72">
        <f>AJ470/24</f>
        <v/>
      </c>
      <c r="AV469" s="73">
        <f>AI470/125</f>
        <v/>
      </c>
      <c r="AW469" s="73">
        <f>AJ470/125</f>
        <v/>
      </c>
    </row>
    <row r="470" ht="15.75" customHeight="1" s="258">
      <c r="A470" s="2" t="n"/>
      <c r="B470" s="2" t="inlineStr">
        <is>
          <t>11 Inches</t>
        </is>
      </c>
      <c r="C470" s="2" t="inlineStr">
        <is>
          <t>MI-SB-H-FM-11</t>
        </is>
      </c>
      <c r="D470" s="189" t="n">
        <v>8900</v>
      </c>
      <c r="E470" s="2" t="n">
        <v>145</v>
      </c>
      <c r="F470" s="2" t="n">
        <v>100</v>
      </c>
      <c r="G470" s="118" t="n">
        <v>83061000</v>
      </c>
      <c r="H470" s="255" t="n">
        <v>0.05</v>
      </c>
      <c r="I470" s="2">
        <f>D471*H471</f>
        <v/>
      </c>
      <c r="K470" s="2" t="n">
        <v>100</v>
      </c>
      <c r="L470" s="135">
        <f>K471+J471+I471+F471+E471+D471</f>
        <v/>
      </c>
      <c r="M470" s="2">
        <f>D471*1%</f>
        <v/>
      </c>
      <c r="N470" s="12">
        <f>L471*8%</f>
        <v/>
      </c>
      <c r="O470" s="12">
        <f>L471*10%</f>
        <v/>
      </c>
      <c r="P470" s="12">
        <f>L471*5%</f>
        <v/>
      </c>
      <c r="Q470" s="12">
        <f>L471*2%</f>
        <v/>
      </c>
      <c r="R470" s="12">
        <f>AC471*0.5%</f>
        <v/>
      </c>
      <c r="S470" s="12">
        <f>L471*1%</f>
        <v/>
      </c>
      <c r="T470" s="60">
        <f>S471+Q471+P471+O471+N471+M471</f>
        <v/>
      </c>
      <c r="U470" s="2">
        <f>AC471*1%</f>
        <v/>
      </c>
      <c r="V470" s="44">
        <f>AC471*5%</f>
        <v/>
      </c>
      <c r="W470" s="2">
        <f>AC471*1%</f>
        <v/>
      </c>
      <c r="X470" s="2">
        <f>AC471*8%</f>
        <v/>
      </c>
      <c r="Y470" s="2">
        <f>U471+V471+W471+X471</f>
        <v/>
      </c>
      <c r="Z470" s="60">
        <f>Y471+T471+L471</f>
        <v/>
      </c>
      <c r="AA470" s="11">
        <f>Z471*20%</f>
        <v/>
      </c>
      <c r="AB470" s="12">
        <f>Z471+AA471</f>
        <v/>
      </c>
      <c r="AC470" s="2">
        <f>D471*2.1</f>
        <v/>
      </c>
      <c r="AD470" s="12">
        <f>AB471-AC471</f>
        <v/>
      </c>
      <c r="AE470" s="12">
        <f>AD471/AB471*100</f>
        <v/>
      </c>
      <c r="AF470" s="92" t="n">
        <v>13750</v>
      </c>
      <c r="AG470" s="62">
        <f>((AF471-L471)/L471)*100</f>
        <v/>
      </c>
      <c r="AH470" s="106">
        <f>AJ471-AF471</f>
        <v/>
      </c>
      <c r="AI470" s="65" t="n">
        <v>18990</v>
      </c>
      <c r="AJ470" s="65" t="n">
        <v>16990</v>
      </c>
      <c r="AK470" s="66">
        <f>(AJ471-L471)/L471*100</f>
        <v/>
      </c>
      <c r="AL470" s="66" t="n"/>
      <c r="AM470" s="14">
        <f>AH471/AJ471%</f>
        <v/>
      </c>
      <c r="AN470" s="67">
        <f>AK471-AG471</f>
        <v/>
      </c>
      <c r="AO470" s="68">
        <f>AJ471/L471</f>
        <v/>
      </c>
      <c r="AP470" s="69">
        <f>(AJ471-AB471)/100</f>
        <v/>
      </c>
      <c r="AQ470" s="70">
        <f>(AJ471-AC471)/100</f>
        <v/>
      </c>
      <c r="AR470" s="71">
        <f>AI471/94</f>
        <v/>
      </c>
      <c r="AS470" s="71">
        <f>AJ471/94</f>
        <v/>
      </c>
      <c r="AT470" s="72">
        <f>AI471/24</f>
        <v/>
      </c>
      <c r="AU470" s="72">
        <f>AJ471/24</f>
        <v/>
      </c>
      <c r="AV470" s="73">
        <f>AI471/125</f>
        <v/>
      </c>
      <c r="AW470" s="73">
        <f>AJ471/125</f>
        <v/>
      </c>
    </row>
    <row r="471" ht="15.75" customHeight="1" s="258">
      <c r="A471" s="2" t="n"/>
      <c r="B471" s="2" t="inlineStr">
        <is>
          <t>12 inches</t>
        </is>
      </c>
      <c r="C471" s="2" t="inlineStr">
        <is>
          <t>MI-SB-H-FM-12</t>
        </is>
      </c>
      <c r="D471" s="189" t="n">
        <v>10000</v>
      </c>
      <c r="E471" s="2" t="n">
        <v>145</v>
      </c>
      <c r="F471" s="2" t="n">
        <v>100</v>
      </c>
      <c r="G471" s="118" t="n">
        <v>83061000</v>
      </c>
      <c r="H471" s="255" t="n">
        <v>0.05</v>
      </c>
      <c r="I471" s="2">
        <f>D472*H472</f>
        <v/>
      </c>
      <c r="K471" s="2" t="n">
        <v>100</v>
      </c>
      <c r="L471" s="135">
        <f>K472+J472+I472+F472+E472+D472</f>
        <v/>
      </c>
      <c r="M471" s="2">
        <f>D472*1%</f>
        <v/>
      </c>
      <c r="N471" s="12">
        <f>L472*8%</f>
        <v/>
      </c>
      <c r="O471" s="12">
        <f>L472*10%</f>
        <v/>
      </c>
      <c r="P471" s="12">
        <f>L472*5%</f>
        <v/>
      </c>
      <c r="Q471" s="12">
        <f>L472*2%</f>
        <v/>
      </c>
      <c r="R471" s="12">
        <f>AC472*0.5%</f>
        <v/>
      </c>
      <c r="S471" s="12">
        <f>L472*1%</f>
        <v/>
      </c>
      <c r="T471" s="60">
        <f>S472+Q472+P472+O472+N472+M472</f>
        <v/>
      </c>
      <c r="U471" s="2">
        <f>AC472*1%</f>
        <v/>
      </c>
      <c r="V471" s="44">
        <f>AC472*5%</f>
        <v/>
      </c>
      <c r="W471" s="2">
        <f>AC472*1%</f>
        <v/>
      </c>
      <c r="X471" s="2">
        <f>AC472*8%</f>
        <v/>
      </c>
      <c r="Y471" s="2">
        <f>U472+V472+W472+X472</f>
        <v/>
      </c>
      <c r="Z471" s="60">
        <f>Y472+T472+L472</f>
        <v/>
      </c>
      <c r="AA471" s="11">
        <f>Z472*20%</f>
        <v/>
      </c>
      <c r="AB471" s="12">
        <f>Z472+AA472</f>
        <v/>
      </c>
      <c r="AC471" s="2">
        <f>D472*2.1</f>
        <v/>
      </c>
      <c r="AD471" s="12">
        <f>AB472-AC472</f>
        <v/>
      </c>
      <c r="AE471" s="12">
        <f>AD472/AB472*100</f>
        <v/>
      </c>
      <c r="AF471" s="92" t="n">
        <v>14850</v>
      </c>
      <c r="AG471" s="62">
        <f>((AF472-L472)/L472)*100</f>
        <v/>
      </c>
      <c r="AH471" s="106">
        <f>AJ472-AF472</f>
        <v/>
      </c>
      <c r="AI471" s="65" t="n">
        <v>20990</v>
      </c>
      <c r="AJ471" s="65" t="n">
        <v>18990</v>
      </c>
      <c r="AK471" s="66">
        <f>(AJ472-L472)/L472*100</f>
        <v/>
      </c>
      <c r="AL471" s="66" t="n"/>
      <c r="AM471" s="14">
        <f>AH472/AJ472%</f>
        <v/>
      </c>
      <c r="AN471" s="67">
        <f>AK472-AG472</f>
        <v/>
      </c>
      <c r="AO471" s="68">
        <f>AJ472/L472</f>
        <v/>
      </c>
      <c r="AP471" s="69">
        <f>(AJ472-AB472)/100</f>
        <v/>
      </c>
      <c r="AQ471" s="70">
        <f>(AJ472-AC472)/100</f>
        <v/>
      </c>
      <c r="AR471" s="71">
        <f>AI472/94</f>
        <v/>
      </c>
      <c r="AS471" s="71">
        <f>AJ472/94</f>
        <v/>
      </c>
      <c r="AT471" s="72">
        <f>AI472/24</f>
        <v/>
      </c>
      <c r="AU471" s="72">
        <f>AJ472/24</f>
        <v/>
      </c>
      <c r="AV471" s="73">
        <f>AI472/125</f>
        <v/>
      </c>
      <c r="AW471" s="73">
        <f>AJ472/125</f>
        <v/>
      </c>
    </row>
    <row r="472" ht="15.75" customHeight="1" s="258">
      <c r="A472" s="2" t="n"/>
      <c r="B472" s="2" t="inlineStr">
        <is>
          <t>13 Inches</t>
        </is>
      </c>
      <c r="C472" s="2" t="inlineStr">
        <is>
          <t>MI-SB-H-FM-13</t>
        </is>
      </c>
      <c r="D472" s="189" t="n">
        <v>11000</v>
      </c>
      <c r="E472" s="2" t="n">
        <v>145</v>
      </c>
      <c r="F472" s="2" t="n">
        <v>100</v>
      </c>
      <c r="G472" s="118" t="n">
        <v>83061000</v>
      </c>
      <c r="H472" s="255" t="n">
        <v>0.05</v>
      </c>
      <c r="I472" s="2">
        <f>D473*H473</f>
        <v/>
      </c>
      <c r="K472" s="2" t="n">
        <v>100</v>
      </c>
      <c r="L472" s="135">
        <f>K473+J473+I473+F473+E473+D473</f>
        <v/>
      </c>
      <c r="M472" s="2">
        <f>D473*1%</f>
        <v/>
      </c>
      <c r="N472" s="12">
        <f>L473*8%</f>
        <v/>
      </c>
      <c r="O472" s="12">
        <f>L473*10%</f>
        <v/>
      </c>
      <c r="P472" s="12">
        <f>L473*5%</f>
        <v/>
      </c>
      <c r="Q472" s="12">
        <f>L473*2%</f>
        <v/>
      </c>
      <c r="R472" s="12">
        <f>AC473*0.5%</f>
        <v/>
      </c>
      <c r="S472" s="12">
        <f>L473*1%</f>
        <v/>
      </c>
      <c r="T472" s="60">
        <f>S473+Q473+P473+O473+N473+M473</f>
        <v/>
      </c>
      <c r="U472" s="2">
        <f>AC473*1%</f>
        <v/>
      </c>
      <c r="V472" s="44">
        <f>AC473*5%</f>
        <v/>
      </c>
      <c r="W472" s="2">
        <f>AC473*1%</f>
        <v/>
      </c>
      <c r="X472" s="2">
        <f>AC473*8%</f>
        <v/>
      </c>
      <c r="Y472" s="2">
        <f>U473+V473+W473+X473</f>
        <v/>
      </c>
      <c r="Z472" s="60">
        <f>Y473+T473+L473</f>
        <v/>
      </c>
      <c r="AA472" s="11">
        <f>Z473*20%</f>
        <v/>
      </c>
      <c r="AB472" s="12">
        <f>Z473+AA473</f>
        <v/>
      </c>
      <c r="AC472" s="2">
        <f>D473*2.1</f>
        <v/>
      </c>
      <c r="AD472" s="12">
        <f>AB473-AC473</f>
        <v/>
      </c>
      <c r="AE472" s="12">
        <f>AD473/AB473*100</f>
        <v/>
      </c>
      <c r="AF472" s="92" t="n">
        <v>15950</v>
      </c>
      <c r="AG472" s="62">
        <f>((AF473-L473)/L473)*100</f>
        <v/>
      </c>
      <c r="AH472" s="106">
        <f>AJ473-AF473</f>
        <v/>
      </c>
      <c r="AI472" s="65" t="n">
        <v>21990</v>
      </c>
      <c r="AJ472" s="65" t="n">
        <v>19990</v>
      </c>
      <c r="AK472" s="66">
        <f>(AJ473-L473)/L473*100</f>
        <v/>
      </c>
      <c r="AL472" s="66" t="n"/>
      <c r="AM472" s="14">
        <f>AH473/AJ473%</f>
        <v/>
      </c>
      <c r="AN472" s="67">
        <f>AK473-AG473</f>
        <v/>
      </c>
      <c r="AO472" s="68">
        <f>AJ473/L473</f>
        <v/>
      </c>
      <c r="AP472" s="69">
        <f>(AJ473-AB473)/100</f>
        <v/>
      </c>
      <c r="AQ472" s="70">
        <f>(AJ473-AC473)/100</f>
        <v/>
      </c>
      <c r="AR472" s="71">
        <f>AI473/94</f>
        <v/>
      </c>
      <c r="AS472" s="71">
        <f>AJ473/94</f>
        <v/>
      </c>
      <c r="AT472" s="72">
        <f>AI473/24</f>
        <v/>
      </c>
      <c r="AU472" s="72">
        <f>AJ473/24</f>
        <v/>
      </c>
      <c r="AV472" s="73">
        <f>AI473/125</f>
        <v/>
      </c>
      <c r="AW472" s="73">
        <f>AJ473/125</f>
        <v/>
      </c>
    </row>
    <row r="473" ht="15.75" customHeight="1" s="258">
      <c r="A473" s="2" t="n"/>
      <c r="B473" s="2" t="inlineStr">
        <is>
          <t>6 inches</t>
        </is>
      </c>
      <c r="C473" s="2" t="inlineStr">
        <is>
          <t>MI-SB-H-FM-6</t>
        </is>
      </c>
      <c r="D473" s="189">
        <f>0.65*3600</f>
        <v/>
      </c>
      <c r="E473" s="2" t="n">
        <v>125</v>
      </c>
      <c r="F473" s="2" t="n">
        <v>85</v>
      </c>
      <c r="G473" s="118" t="n">
        <v>83061000</v>
      </c>
      <c r="H473" s="255" t="n">
        <v>0.05</v>
      </c>
      <c r="I473" s="2">
        <f>D474*H474</f>
        <v/>
      </c>
      <c r="K473" s="2" t="n">
        <v>100</v>
      </c>
      <c r="L473" s="135">
        <f>K474+J474+I474+F474+E474+D474</f>
        <v/>
      </c>
      <c r="M473" s="2">
        <f>D474*1%</f>
        <v/>
      </c>
      <c r="N473" s="12">
        <f>L474*8%</f>
        <v/>
      </c>
      <c r="O473" s="12">
        <f>L474*10%</f>
        <v/>
      </c>
      <c r="P473" s="12">
        <f>L474*5%</f>
        <v/>
      </c>
      <c r="Q473" s="12">
        <f>L474*2%</f>
        <v/>
      </c>
      <c r="R473" s="12">
        <f>AC474*0.5%</f>
        <v/>
      </c>
      <c r="S473" s="12">
        <f>L474*1%</f>
        <v/>
      </c>
      <c r="T473" s="60">
        <f>S474+Q474+P474+O474+N474+M474</f>
        <v/>
      </c>
      <c r="U473" s="2">
        <f>AC474*1%</f>
        <v/>
      </c>
      <c r="V473" s="44">
        <f>AC474*5%</f>
        <v/>
      </c>
      <c r="W473" s="2">
        <f>AC474*1%</f>
        <v/>
      </c>
      <c r="X473" s="2">
        <f>AC474*8%</f>
        <v/>
      </c>
      <c r="Y473" s="2">
        <f>U474+V474+W474+X474</f>
        <v/>
      </c>
      <c r="Z473" s="60">
        <f>Y474+T474+L474</f>
        <v/>
      </c>
      <c r="AA473" s="11">
        <f>Z474*20%</f>
        <v/>
      </c>
      <c r="AB473" s="12">
        <f>Z474+AA474</f>
        <v/>
      </c>
      <c r="AC473" s="2">
        <f>D474*2.1</f>
        <v/>
      </c>
      <c r="AD473" s="12">
        <f>AB474-AC474</f>
        <v/>
      </c>
      <c r="AE473" s="12">
        <f>AD474/AB474*100</f>
        <v/>
      </c>
      <c r="AF473" s="92" t="n">
        <v>7950</v>
      </c>
      <c r="AG473" s="62">
        <f>((AF474-L474)/L474)*100</f>
        <v/>
      </c>
      <c r="AH473" s="106">
        <f>AJ474-AF474</f>
        <v/>
      </c>
      <c r="AI473" s="65" t="n">
        <v>9990</v>
      </c>
      <c r="AJ473" s="65" t="n">
        <v>8990</v>
      </c>
      <c r="AK473" s="66">
        <f>(AJ474-L474)/L474*100</f>
        <v/>
      </c>
      <c r="AL473" s="66" t="n"/>
      <c r="AM473" s="14">
        <f>AH474/AJ474%</f>
        <v/>
      </c>
      <c r="AN473" s="67">
        <f>AK474-AG474</f>
        <v/>
      </c>
      <c r="AO473" s="68">
        <f>AJ474/L474</f>
        <v/>
      </c>
      <c r="AP473" s="69">
        <f>(AJ474-AB474)/100</f>
        <v/>
      </c>
      <c r="AQ473" s="70">
        <f>(AJ474-AC474)/100</f>
        <v/>
      </c>
      <c r="AR473" s="71">
        <f>AI474/94</f>
        <v/>
      </c>
      <c r="AS473" s="71">
        <f>AJ474/94</f>
        <v/>
      </c>
      <c r="AT473" s="72">
        <f>AI474/24</f>
        <v/>
      </c>
      <c r="AU473" s="72">
        <f>AJ474/24</f>
        <v/>
      </c>
      <c r="AV473" s="73">
        <f>AI474/125</f>
        <v/>
      </c>
      <c r="AW473" s="73">
        <f>AJ474/125</f>
        <v/>
      </c>
    </row>
    <row r="474" ht="15.75" customHeight="1" s="258">
      <c r="A474" s="2" t="n"/>
      <c r="B474" s="2" t="inlineStr">
        <is>
          <t>7 Inches</t>
        </is>
      </c>
      <c r="C474" s="2" t="inlineStr">
        <is>
          <t>MI-SB-H-FM-7</t>
        </is>
      </c>
      <c r="D474" s="189">
        <f>0.95*3600</f>
        <v/>
      </c>
      <c r="E474" s="2" t="n">
        <v>125</v>
      </c>
      <c r="F474" s="2" t="n">
        <v>85</v>
      </c>
      <c r="G474" s="118" t="n">
        <v>83061000</v>
      </c>
      <c r="H474" s="255" t="n">
        <v>0.05</v>
      </c>
      <c r="I474" s="2">
        <f>D475*H475</f>
        <v/>
      </c>
      <c r="K474" s="2" t="n">
        <v>100</v>
      </c>
      <c r="L474" s="135">
        <f>K475+J475+I475+F475+E475+D475</f>
        <v/>
      </c>
      <c r="M474" s="2">
        <f>D475*1%</f>
        <v/>
      </c>
      <c r="N474" s="12">
        <f>L475*8%</f>
        <v/>
      </c>
      <c r="O474" s="12">
        <f>L475*10%</f>
        <v/>
      </c>
      <c r="P474" s="12">
        <f>L475*5%</f>
        <v/>
      </c>
      <c r="Q474" s="12">
        <f>L475*2%</f>
        <v/>
      </c>
      <c r="R474" s="12">
        <f>AC475*0.5%</f>
        <v/>
      </c>
      <c r="S474" s="12">
        <f>L475*1%</f>
        <v/>
      </c>
      <c r="T474" s="60">
        <f>S475+Q475+P475+O475+N475+M475</f>
        <v/>
      </c>
      <c r="U474" s="2">
        <f>AC475*1%</f>
        <v/>
      </c>
      <c r="V474" s="44">
        <f>AC475*5%</f>
        <v/>
      </c>
      <c r="W474" s="2">
        <f>AC475*1%</f>
        <v/>
      </c>
      <c r="X474" s="2">
        <f>AC475*8%</f>
        <v/>
      </c>
      <c r="Y474" s="2">
        <f>U475+V475+W475+X475</f>
        <v/>
      </c>
      <c r="Z474" s="60">
        <f>Y475+T475+L475</f>
        <v/>
      </c>
      <c r="AA474" s="11">
        <f>Z475*20%</f>
        <v/>
      </c>
      <c r="AB474" s="12">
        <f>Z475+AA475</f>
        <v/>
      </c>
      <c r="AC474" s="2">
        <f>D475*2.1</f>
        <v/>
      </c>
      <c r="AD474" s="12">
        <f>AB475-AC475</f>
        <v/>
      </c>
      <c r="AE474" s="12">
        <f>AD475/AB475*100</f>
        <v/>
      </c>
      <c r="AF474" s="92" t="n">
        <v>8950</v>
      </c>
      <c r="AG474" s="62">
        <f>((AF475-L475)/L475)*100</f>
        <v/>
      </c>
      <c r="AH474" s="106">
        <f>AJ475-AF475</f>
        <v/>
      </c>
      <c r="AI474" s="65" t="n">
        <v>10990</v>
      </c>
      <c r="AJ474" s="65" t="n">
        <v>9990</v>
      </c>
      <c r="AK474" s="66">
        <f>(AJ475-L475)/L475*100</f>
        <v/>
      </c>
      <c r="AL474" s="66" t="n"/>
      <c r="AM474" s="14">
        <f>AH475/AJ475%</f>
        <v/>
      </c>
      <c r="AN474" s="67">
        <f>AK475-AG475</f>
        <v/>
      </c>
      <c r="AO474" s="68">
        <f>AJ475/L475</f>
        <v/>
      </c>
      <c r="AP474" s="69">
        <f>(AJ475-AB475)/100</f>
        <v/>
      </c>
      <c r="AQ474" s="70">
        <f>(AJ475-AC475)/100</f>
        <v/>
      </c>
      <c r="AR474" s="71">
        <f>AI475/94</f>
        <v/>
      </c>
      <c r="AS474" s="71">
        <f>AJ475/94</f>
        <v/>
      </c>
      <c r="AT474" s="72">
        <f>AI475/24</f>
        <v/>
      </c>
      <c r="AU474" s="72">
        <f>AJ475/24</f>
        <v/>
      </c>
      <c r="AV474" s="73">
        <f>AI475/125</f>
        <v/>
      </c>
      <c r="AW474" s="73">
        <f>AJ475/125</f>
        <v/>
      </c>
    </row>
    <row r="475" ht="15.75" customHeight="1" s="258">
      <c r="A475" s="2" t="n"/>
      <c r="B475" s="2" t="inlineStr">
        <is>
          <t>8 inches</t>
        </is>
      </c>
      <c r="C475" s="2" t="inlineStr">
        <is>
          <t>MI-SB-H-FM-8</t>
        </is>
      </c>
      <c r="D475" s="189">
        <f>1.05*3600</f>
        <v/>
      </c>
      <c r="E475" s="2" t="n">
        <v>125</v>
      </c>
      <c r="F475" s="2" t="n">
        <v>100</v>
      </c>
      <c r="G475" s="118" t="n">
        <v>83061000</v>
      </c>
      <c r="H475" s="255" t="n">
        <v>0.05</v>
      </c>
      <c r="I475" s="2">
        <f>D476*H476</f>
        <v/>
      </c>
      <c r="K475" s="2" t="n">
        <v>100</v>
      </c>
      <c r="L475" s="135">
        <f>K476+J476+I476+F476+E476+D476</f>
        <v/>
      </c>
      <c r="M475" s="2">
        <f>D476*1%</f>
        <v/>
      </c>
      <c r="N475" s="12">
        <f>L476*8%</f>
        <v/>
      </c>
      <c r="O475" s="12">
        <f>L476*10%</f>
        <v/>
      </c>
      <c r="P475" s="12">
        <f>L476*5%</f>
        <v/>
      </c>
      <c r="Q475" s="12">
        <f>L476*2%</f>
        <v/>
      </c>
      <c r="R475" s="12">
        <f>AC476*0.5%</f>
        <v/>
      </c>
      <c r="S475" s="12">
        <f>L476*1%</f>
        <v/>
      </c>
      <c r="T475" s="60">
        <f>S476+Q476+P476+O476+N476+M476</f>
        <v/>
      </c>
      <c r="U475" s="2">
        <f>AC476*1%</f>
        <v/>
      </c>
      <c r="V475" s="44">
        <f>AC476*5%</f>
        <v/>
      </c>
      <c r="W475" s="2">
        <f>AC476*1%</f>
        <v/>
      </c>
      <c r="X475" s="2">
        <f>AC476*8%</f>
        <v/>
      </c>
      <c r="Y475" s="2">
        <f>U476+V476+W476+X476</f>
        <v/>
      </c>
      <c r="Z475" s="60">
        <f>Y476+T476+L476</f>
        <v/>
      </c>
      <c r="AA475" s="11">
        <f>Z476*20%</f>
        <v/>
      </c>
      <c r="AB475" s="12">
        <f>Z476+AA476</f>
        <v/>
      </c>
      <c r="AC475" s="2">
        <f>D476*2.1</f>
        <v/>
      </c>
      <c r="AD475" s="12">
        <f>AB476-AC476</f>
        <v/>
      </c>
      <c r="AE475" s="12">
        <f>AD476/AB476*100</f>
        <v/>
      </c>
      <c r="AF475" s="92" t="n">
        <v>10250</v>
      </c>
      <c r="AG475" s="62">
        <f>((AF476-L476)/L476)*100</f>
        <v/>
      </c>
      <c r="AH475" s="106">
        <f>AJ476-AF476</f>
        <v/>
      </c>
      <c r="AI475" s="65" t="n">
        <v>12990</v>
      </c>
      <c r="AJ475" s="65" t="n">
        <v>11990</v>
      </c>
      <c r="AK475" s="66">
        <f>(AJ476-L476)/L476*100</f>
        <v/>
      </c>
      <c r="AL475" s="66" t="n"/>
      <c r="AM475" s="14">
        <f>AH476/AJ476%</f>
        <v/>
      </c>
      <c r="AN475" s="67">
        <f>AK476-AG476</f>
        <v/>
      </c>
      <c r="AO475" s="68">
        <f>AJ476/L476</f>
        <v/>
      </c>
      <c r="AP475" s="69">
        <f>(AJ476-AB476)/100</f>
        <v/>
      </c>
      <c r="AQ475" s="70">
        <f>(AJ476-AC476)/100</f>
        <v/>
      </c>
      <c r="AR475" s="71">
        <f>AI476/94</f>
        <v/>
      </c>
      <c r="AS475" s="71">
        <f>AJ476/94</f>
        <v/>
      </c>
      <c r="AT475" s="72">
        <f>AI476/24</f>
        <v/>
      </c>
      <c r="AU475" s="72">
        <f>AJ476/24</f>
        <v/>
      </c>
      <c r="AV475" s="73">
        <f>AI476/125</f>
        <v/>
      </c>
      <c r="AW475" s="73">
        <f>AJ476/125</f>
        <v/>
      </c>
    </row>
    <row r="476" ht="15.75" customHeight="1" s="258">
      <c r="A476" s="2" t="n"/>
      <c r="B476" s="2" t="inlineStr">
        <is>
          <t>9 Inches</t>
        </is>
      </c>
      <c r="C476" s="2" t="inlineStr">
        <is>
          <t>MI-SB-H-FM-9</t>
        </is>
      </c>
      <c r="D476" s="189">
        <f>1.5*3600</f>
        <v/>
      </c>
      <c r="E476" s="2" t="n">
        <v>125</v>
      </c>
      <c r="F476" s="2" t="n">
        <v>100</v>
      </c>
      <c r="G476" s="118" t="n">
        <v>83061000</v>
      </c>
      <c r="H476" s="255" t="n">
        <v>0.05</v>
      </c>
      <c r="I476" s="2">
        <f>D477*H477</f>
        <v/>
      </c>
      <c r="K476" s="2" t="n">
        <v>100</v>
      </c>
      <c r="L476" s="135">
        <f>K477+J477+I477+F477+E477+D477</f>
        <v/>
      </c>
      <c r="M476" s="2">
        <f>D477*1%</f>
        <v/>
      </c>
      <c r="N476" s="12">
        <f>L477*8%</f>
        <v/>
      </c>
      <c r="O476" s="12">
        <f>L477*10%</f>
        <v/>
      </c>
      <c r="P476" s="12">
        <f>L477*5%</f>
        <v/>
      </c>
      <c r="Q476" s="12">
        <f>L477*2%</f>
        <v/>
      </c>
      <c r="R476" s="12">
        <f>AC477*0.5%</f>
        <v/>
      </c>
      <c r="S476" s="12">
        <f>L477*1%</f>
        <v/>
      </c>
      <c r="T476" s="60">
        <f>S477+Q477+P477+O477+N477+M477</f>
        <v/>
      </c>
      <c r="U476" s="2">
        <f>AC477*1%</f>
        <v/>
      </c>
      <c r="V476" s="44">
        <f>AC477*5%</f>
        <v/>
      </c>
      <c r="W476" s="2">
        <f>AC477*1%</f>
        <v/>
      </c>
      <c r="X476" s="2">
        <f>AC477*8%</f>
        <v/>
      </c>
      <c r="Y476" s="2">
        <f>U477+V477+W477+X477</f>
        <v/>
      </c>
      <c r="Z476" s="60">
        <f>Y477+T477+L477</f>
        <v/>
      </c>
      <c r="AA476" s="11">
        <f>Z477*20%</f>
        <v/>
      </c>
      <c r="AB476" s="12">
        <f>Z477+AA477</f>
        <v/>
      </c>
      <c r="AC476" s="2">
        <f>D477*2.1</f>
        <v/>
      </c>
      <c r="AD476" s="12">
        <f>AB477-AC477</f>
        <v/>
      </c>
      <c r="AE476" s="12">
        <f>AD477/AB477*100</f>
        <v/>
      </c>
      <c r="AF476" s="92" t="n">
        <v>11250</v>
      </c>
      <c r="AG476" s="62">
        <f>((AF477-L477)/L477)*100</f>
        <v/>
      </c>
      <c r="AH476" s="106">
        <f>AJ477-AF477</f>
        <v/>
      </c>
      <c r="AI476" s="65" t="n">
        <v>12990</v>
      </c>
      <c r="AJ476" s="65" t="n">
        <v>11990</v>
      </c>
      <c r="AK476" s="66">
        <f>(AJ477-L477)/L477*100</f>
        <v/>
      </c>
      <c r="AL476" s="66" t="n"/>
      <c r="AM476" s="14">
        <f>AH477/AJ477%</f>
        <v/>
      </c>
      <c r="AN476" s="67">
        <f>AK477-AG477</f>
        <v/>
      </c>
      <c r="AO476" s="68">
        <f>AJ477/L477</f>
        <v/>
      </c>
      <c r="AP476" s="69">
        <f>(AJ477-AB477)/100</f>
        <v/>
      </c>
      <c r="AQ476" s="70">
        <f>(AJ477-AC477)/100</f>
        <v/>
      </c>
      <c r="AR476" s="71">
        <f>AI477/94</f>
        <v/>
      </c>
      <c r="AS476" s="71">
        <f>AJ477/94</f>
        <v/>
      </c>
      <c r="AT476" s="72">
        <f>AI477/24</f>
        <v/>
      </c>
      <c r="AU476" s="72">
        <f>AJ477/24</f>
        <v/>
      </c>
      <c r="AV476" s="73">
        <f>AI477/125</f>
        <v/>
      </c>
      <c r="AW476" s="73">
        <f>AJ477/125</f>
        <v/>
      </c>
    </row>
    <row r="477" ht="15.75" customHeight="1" s="258">
      <c r="A477" s="44" t="inlineStr">
        <is>
          <t>Gong Bags</t>
        </is>
      </c>
      <c r="B477" s="44" t="inlineStr">
        <is>
          <t>Standard</t>
        </is>
      </c>
      <c r="C477" s="44" t="inlineStr">
        <is>
          <t>MI-Gg-Bag-S</t>
        </is>
      </c>
      <c r="D477" s="45" t="n">
        <v>700</v>
      </c>
      <c r="E477" s="113" t="n"/>
      <c r="F477" s="44" t="n">
        <v>125</v>
      </c>
      <c r="G477" s="45" t="n">
        <v>442100</v>
      </c>
      <c r="H477" s="115" t="n">
        <v>0.12</v>
      </c>
      <c r="I477" s="44">
        <f>D478*H478</f>
        <v/>
      </c>
      <c r="J477" s="113" t="n"/>
      <c r="K477" s="44" t="n">
        <v>50</v>
      </c>
      <c r="L477" s="48">
        <f>K478+J478+I478+F478+E478+D478</f>
        <v/>
      </c>
      <c r="M477" s="44">
        <f>D478*1%</f>
        <v/>
      </c>
      <c r="N477" s="49">
        <f>L478*8%</f>
        <v/>
      </c>
      <c r="O477" s="49">
        <f>L478*10%</f>
        <v/>
      </c>
      <c r="P477" s="49">
        <f>L478*5%</f>
        <v/>
      </c>
      <c r="Q477" s="49">
        <f>L478*2%</f>
        <v/>
      </c>
      <c r="R477" s="49">
        <f>AC478*0.5%</f>
        <v/>
      </c>
      <c r="S477" s="49">
        <f>L478*1%</f>
        <v/>
      </c>
      <c r="T477" s="50">
        <f>S478+Q478+P478+O478+N478+M478</f>
        <v/>
      </c>
      <c r="U477" s="44">
        <f>AC478*1%</f>
        <v/>
      </c>
      <c r="V477" s="44">
        <f>AC478*5%</f>
        <v/>
      </c>
      <c r="W477" s="44">
        <f>AC478*1%</f>
        <v/>
      </c>
      <c r="X477" s="44">
        <f>AC478*8%</f>
        <v/>
      </c>
      <c r="Y477" s="44">
        <f>U478+V478+W478+X478</f>
        <v/>
      </c>
      <c r="Z477" s="50">
        <f>Y478+T478+L478</f>
        <v/>
      </c>
      <c r="AA477" s="51">
        <f>Z478*20%</f>
        <v/>
      </c>
      <c r="AB477" s="49">
        <f>Z478+AA478</f>
        <v/>
      </c>
      <c r="AC477" s="44">
        <f>D478*2.1</f>
        <v/>
      </c>
      <c r="AD477" s="49">
        <f>AB478-AC478</f>
        <v/>
      </c>
      <c r="AE477" s="49">
        <f>AD478/AB478*100</f>
        <v/>
      </c>
      <c r="AF477" s="113" t="n">
        <v>1950</v>
      </c>
      <c r="AG477" s="116">
        <f>((AF478-L478)/L478)*100</f>
        <v/>
      </c>
      <c r="AH477" s="54">
        <f>AJ478-AF478</f>
        <v/>
      </c>
      <c r="AI477" s="54" t="n">
        <v>2090</v>
      </c>
      <c r="AJ477" s="113" t="n">
        <v>1950</v>
      </c>
      <c r="AK477" s="55">
        <f>(AJ478-L478)/L478*100</f>
        <v/>
      </c>
      <c r="AL477" s="55" t="n"/>
      <c r="AM477" s="55">
        <f>AH478/AJ478%</f>
        <v/>
      </c>
      <c r="AN477" s="55">
        <f>AK478-AG478</f>
        <v/>
      </c>
      <c r="AO477" s="56">
        <f>AJ478/L478</f>
        <v/>
      </c>
      <c r="AP477" s="55">
        <f>(AJ478-AB478)/100</f>
        <v/>
      </c>
      <c r="AQ477" s="55">
        <f>(AJ478-AC478)/100</f>
        <v/>
      </c>
      <c r="AR477" s="57">
        <f>AI478/94</f>
        <v/>
      </c>
      <c r="AS477" s="57">
        <f>AJ478/94</f>
        <v/>
      </c>
      <c r="AT477" s="58">
        <f>AI478/24</f>
        <v/>
      </c>
      <c r="AU477" s="58">
        <f>AJ478/24</f>
        <v/>
      </c>
      <c r="AV477" s="58">
        <f>AI478/125</f>
        <v/>
      </c>
      <c r="AW477" s="58">
        <f>AJ478/125</f>
        <v/>
      </c>
      <c r="AX477" s="113" t="n"/>
      <c r="AY477" s="113" t="n"/>
    </row>
    <row r="478" ht="15" customHeight="1" s="258">
      <c r="A478" s="44" t="n"/>
      <c r="B478" s="44" t="inlineStr">
        <is>
          <t>Large</t>
        </is>
      </c>
      <c r="C478" s="44" t="inlineStr">
        <is>
          <t>MI-Gg-Bag-L</t>
        </is>
      </c>
      <c r="D478" s="45" t="n">
        <v>900</v>
      </c>
      <c r="E478" s="113" t="n"/>
      <c r="F478" s="44" t="n">
        <v>125</v>
      </c>
      <c r="G478" s="45" t="n">
        <v>442100</v>
      </c>
      <c r="H478" s="115" t="n">
        <v>0.12</v>
      </c>
      <c r="I478" s="44">
        <f>D479*H479</f>
        <v/>
      </c>
      <c r="J478" s="113" t="n"/>
      <c r="K478" s="44" t="n">
        <v>50</v>
      </c>
      <c r="L478" s="48">
        <f>K479+J479+I479+F479+E479+D479</f>
        <v/>
      </c>
      <c r="M478" s="44">
        <f>D479*1%</f>
        <v/>
      </c>
      <c r="N478" s="49">
        <f>L479*8%</f>
        <v/>
      </c>
      <c r="O478" s="49">
        <f>L479*10%</f>
        <v/>
      </c>
      <c r="P478" s="49">
        <f>L479*5%</f>
        <v/>
      </c>
      <c r="Q478" s="49">
        <f>L479*2%</f>
        <v/>
      </c>
      <c r="R478" s="49">
        <f>AC479*0.5%</f>
        <v/>
      </c>
      <c r="S478" s="49">
        <f>L479*1%</f>
        <v/>
      </c>
      <c r="T478" s="50">
        <f>S479+Q479+P479+O479+N479+M479</f>
        <v/>
      </c>
      <c r="U478" s="44">
        <f>AC479*1%</f>
        <v/>
      </c>
      <c r="V478" s="44">
        <f>AC479*5%</f>
        <v/>
      </c>
      <c r="W478" s="44">
        <f>AC479*1%</f>
        <v/>
      </c>
      <c r="X478" s="44">
        <f>AC479*8%</f>
        <v/>
      </c>
      <c r="Y478" s="44">
        <f>U479+V479+W479+X479</f>
        <v/>
      </c>
      <c r="Z478" s="50">
        <f>Y479+T479+L479</f>
        <v/>
      </c>
      <c r="AA478" s="51">
        <f>Z479*20%</f>
        <v/>
      </c>
      <c r="AB478" s="49">
        <f>Z479+AA479</f>
        <v/>
      </c>
      <c r="AC478" s="44">
        <f>D479*2.1</f>
        <v/>
      </c>
      <c r="AD478" s="49">
        <f>AB479-AC479</f>
        <v/>
      </c>
      <c r="AE478" s="49">
        <f>AD479/AB479*100</f>
        <v/>
      </c>
      <c r="AF478" s="113" t="n">
        <v>2350</v>
      </c>
      <c r="AG478" s="116">
        <f>((AF479-L479)/L479)*100</f>
        <v/>
      </c>
      <c r="AH478" s="54">
        <f>AJ479-AF479</f>
        <v/>
      </c>
      <c r="AI478" s="54" t="n">
        <v>2990</v>
      </c>
      <c r="AJ478" s="113" t="n">
        <v>2350</v>
      </c>
      <c r="AK478" s="55">
        <f>(AJ479-L479)/L479*100</f>
        <v/>
      </c>
      <c r="AL478" s="55" t="n"/>
      <c r="AM478" s="55">
        <f>AH479/AJ479%</f>
        <v/>
      </c>
      <c r="AN478" s="55">
        <f>AK479-AG479</f>
        <v/>
      </c>
      <c r="AO478" s="56">
        <f>AJ479/L479</f>
        <v/>
      </c>
      <c r="AP478" s="55">
        <f>(AJ479-AB479)/100</f>
        <v/>
      </c>
      <c r="AQ478" s="55">
        <f>(AJ479-AC479)/100</f>
        <v/>
      </c>
      <c r="AR478" s="57">
        <f>AI479/94</f>
        <v/>
      </c>
      <c r="AS478" s="57">
        <f>AJ479/94</f>
        <v/>
      </c>
      <c r="AT478" s="58">
        <f>AI479/24</f>
        <v/>
      </c>
      <c r="AU478" s="58">
        <f>AJ479/24</f>
        <v/>
      </c>
      <c r="AV478" s="58">
        <f>AI479/125</f>
        <v/>
      </c>
      <c r="AW478" s="58">
        <f>AJ479/125</f>
        <v/>
      </c>
      <c r="AX478" s="113" t="n"/>
      <c r="AY478" s="113" t="n"/>
    </row>
    <row r="479" ht="15.75" customHeight="1" s="258">
      <c r="A479" s="44" t="inlineStr">
        <is>
          <t>Gong Stand</t>
        </is>
      </c>
      <c r="B479" s="44" t="inlineStr">
        <is>
          <t>Light / Small</t>
        </is>
      </c>
      <c r="C479" s="44" t="inlineStr">
        <is>
          <t>Mi-Gg-ST-L-S</t>
        </is>
      </c>
      <c r="D479" s="45" t="n">
        <v>2500</v>
      </c>
      <c r="E479" s="44" t="n">
        <v>385</v>
      </c>
      <c r="F479" s="44" t="n">
        <v>150</v>
      </c>
      <c r="G479" s="45" t="n">
        <v>442100</v>
      </c>
      <c r="H479" s="115" t="n">
        <v>0.12</v>
      </c>
      <c r="I479" s="44">
        <f>D480*H480</f>
        <v/>
      </c>
      <c r="J479" s="113" t="n"/>
      <c r="K479" s="44" t="n">
        <v>50</v>
      </c>
      <c r="L479" s="48">
        <f>K480+J480+I480+F480+E480+D480</f>
        <v/>
      </c>
      <c r="M479" s="44">
        <f>D480*1%</f>
        <v/>
      </c>
      <c r="N479" s="49">
        <f>L480*8%</f>
        <v/>
      </c>
      <c r="O479" s="49">
        <f>L480*10%</f>
        <v/>
      </c>
      <c r="P479" s="49">
        <f>L480*5%</f>
        <v/>
      </c>
      <c r="Q479" s="49">
        <f>L480*2%</f>
        <v/>
      </c>
      <c r="R479" s="49">
        <f>AC480*0.5%</f>
        <v/>
      </c>
      <c r="S479" s="49">
        <f>L480*1%</f>
        <v/>
      </c>
      <c r="T479" s="50">
        <f>S480+Q480+P480+O480+N480+M480</f>
        <v/>
      </c>
      <c r="U479" s="44">
        <f>AC480*1%</f>
        <v/>
      </c>
      <c r="V479" s="44">
        <f>AC480*5%</f>
        <v/>
      </c>
      <c r="W479" s="44">
        <f>AC480*1%</f>
        <v/>
      </c>
      <c r="X479" s="44">
        <f>AC480*8%</f>
        <v/>
      </c>
      <c r="Y479" s="44">
        <f>U480+V480+W480+X480</f>
        <v/>
      </c>
      <c r="Z479" s="50">
        <f>Y480+T480+L480</f>
        <v/>
      </c>
      <c r="AA479" s="51">
        <f>Z480*20%</f>
        <v/>
      </c>
      <c r="AB479" s="49">
        <f>Z480+AA480</f>
        <v/>
      </c>
      <c r="AC479" s="44">
        <f>D480*2.1</f>
        <v/>
      </c>
      <c r="AD479" s="49">
        <f>AB480-AC480</f>
        <v/>
      </c>
      <c r="AE479" s="49">
        <f>AD480/AB480*100</f>
        <v/>
      </c>
      <c r="AF479" s="113" t="n"/>
      <c r="AG479" s="116">
        <f>((AF480-L480)/L480)*100</f>
        <v/>
      </c>
      <c r="AH479" s="54">
        <f>AJ480-AF480</f>
        <v/>
      </c>
      <c r="AI479" s="54" t="n">
        <v>5990</v>
      </c>
      <c r="AJ479" s="54" t="n">
        <v>5390</v>
      </c>
      <c r="AK479" s="55">
        <f>(AJ480-L480)/L480*100</f>
        <v/>
      </c>
      <c r="AL479" s="55" t="n"/>
      <c r="AM479" s="55">
        <f>AH480/AJ480%</f>
        <v/>
      </c>
      <c r="AN479" s="55">
        <f>AK480-AG480</f>
        <v/>
      </c>
      <c r="AO479" s="56">
        <f>AJ480/L480</f>
        <v/>
      </c>
      <c r="AP479" s="55">
        <f>(AJ480-AB480)/100</f>
        <v/>
      </c>
      <c r="AQ479" s="55">
        <f>(AJ480-AC480)/100</f>
        <v/>
      </c>
      <c r="AR479" s="57">
        <f>AI480/94</f>
        <v/>
      </c>
      <c r="AS479" s="57">
        <f>AJ480/94</f>
        <v/>
      </c>
      <c r="AT479" s="58">
        <f>AI480/24</f>
        <v/>
      </c>
      <c r="AU479" s="58">
        <f>AJ480/24</f>
        <v/>
      </c>
      <c r="AV479" s="58">
        <f>AI480/125</f>
        <v/>
      </c>
      <c r="AW479" s="58">
        <f>AJ480/125</f>
        <v/>
      </c>
      <c r="AX479" s="113" t="n"/>
      <c r="AY479" s="113" t="n"/>
    </row>
    <row r="480" ht="15" customHeight="1" s="258">
      <c r="A480" s="44" t="n"/>
      <c r="B480" s="44" t="inlineStr">
        <is>
          <t>Small / Dark</t>
        </is>
      </c>
      <c r="C480" s="44" t="inlineStr">
        <is>
          <t>Mi-Gg-ST-S-D</t>
        </is>
      </c>
      <c r="D480" s="45" t="n">
        <v>2500</v>
      </c>
      <c r="E480" s="44" t="n">
        <v>385</v>
      </c>
      <c r="F480" s="44" t="n">
        <v>150</v>
      </c>
      <c r="G480" s="45" t="n">
        <v>442100</v>
      </c>
      <c r="H480" s="115" t="n">
        <v>0.12</v>
      </c>
      <c r="I480" s="44">
        <f>D481*H481</f>
        <v/>
      </c>
      <c r="J480" s="113" t="n"/>
      <c r="K480" s="44" t="n">
        <v>50</v>
      </c>
      <c r="L480" s="48">
        <f>K481+J481+I481+F481+E481+D481</f>
        <v/>
      </c>
      <c r="M480" s="44">
        <f>D481*1%</f>
        <v/>
      </c>
      <c r="N480" s="49">
        <f>L481*8%</f>
        <v/>
      </c>
      <c r="O480" s="49">
        <f>L481*10%</f>
        <v/>
      </c>
      <c r="P480" s="49">
        <f>L481*5%</f>
        <v/>
      </c>
      <c r="Q480" s="49">
        <f>L481*2%</f>
        <v/>
      </c>
      <c r="R480" s="49">
        <f>AC481*0.5%</f>
        <v/>
      </c>
      <c r="S480" s="49">
        <f>L481*1%</f>
        <v/>
      </c>
      <c r="T480" s="50">
        <f>S481+Q481+P481+O481+N481+M481</f>
        <v/>
      </c>
      <c r="U480" s="44">
        <f>AC481*1%</f>
        <v/>
      </c>
      <c r="V480" s="44">
        <f>AC481*5%</f>
        <v/>
      </c>
      <c r="W480" s="44">
        <f>AC481*1%</f>
        <v/>
      </c>
      <c r="X480" s="44">
        <f>AC481*8%</f>
        <v/>
      </c>
      <c r="Y480" s="44">
        <f>U481+V481+W481+X481</f>
        <v/>
      </c>
      <c r="Z480" s="50">
        <f>Y481+T481+L481</f>
        <v/>
      </c>
      <c r="AA480" s="51">
        <f>Z481*20%</f>
        <v/>
      </c>
      <c r="AB480" s="49">
        <f>Z481+AA481</f>
        <v/>
      </c>
      <c r="AC480" s="44">
        <f>D481*2.1</f>
        <v/>
      </c>
      <c r="AD480" s="49">
        <f>AB481-AC481</f>
        <v/>
      </c>
      <c r="AE480" s="49">
        <f>AD481/AB481*100</f>
        <v/>
      </c>
      <c r="AF480" s="113" t="n"/>
      <c r="AG480" s="116">
        <f>((AF481-L481)/L481)*100</f>
        <v/>
      </c>
      <c r="AH480" s="54">
        <f>AJ481-AF481</f>
        <v/>
      </c>
      <c r="AI480" s="54" t="n">
        <v>5990</v>
      </c>
      <c r="AJ480" s="54" t="n">
        <v>5390</v>
      </c>
      <c r="AK480" s="55">
        <f>(AJ481-L481)/L481*100</f>
        <v/>
      </c>
      <c r="AL480" s="55" t="n"/>
      <c r="AM480" s="55">
        <f>AH481/AJ481%</f>
        <v/>
      </c>
      <c r="AN480" s="55">
        <f>AK481-AG481</f>
        <v/>
      </c>
      <c r="AO480" s="56">
        <f>AJ481/L481</f>
        <v/>
      </c>
      <c r="AP480" s="55">
        <f>(AJ481-AB481)/100</f>
        <v/>
      </c>
      <c r="AQ480" s="55">
        <f>(AJ481-AC481)/100</f>
        <v/>
      </c>
      <c r="AR480" s="57">
        <f>AI481/94</f>
        <v/>
      </c>
      <c r="AS480" s="57">
        <f>AJ481/94</f>
        <v/>
      </c>
      <c r="AT480" s="58">
        <f>AI481/24</f>
        <v/>
      </c>
      <c r="AU480" s="58">
        <f>AJ481/24</f>
        <v/>
      </c>
      <c r="AV480" s="58">
        <f>AI481/125</f>
        <v/>
      </c>
      <c r="AW480" s="58">
        <f>AJ481/125</f>
        <v/>
      </c>
      <c r="AX480" s="113" t="n"/>
      <c r="AY480" s="113" t="n"/>
    </row>
    <row r="481" ht="15.75" customHeight="1" s="258">
      <c r="A481" s="44" t="n"/>
      <c r="B481" s="44" t="inlineStr">
        <is>
          <t>Light / Medium</t>
        </is>
      </c>
      <c r="C481" s="44" t="inlineStr">
        <is>
          <t>Mi-Gg-ST-M-L</t>
        </is>
      </c>
      <c r="D481" s="45" t="n">
        <v>2750</v>
      </c>
      <c r="E481" s="44" t="n">
        <v>425</v>
      </c>
      <c r="F481" s="44" t="n">
        <v>150</v>
      </c>
      <c r="G481" s="45" t="n">
        <v>442100</v>
      </c>
      <c r="H481" s="115" t="n">
        <v>0.12</v>
      </c>
      <c r="I481" s="44">
        <f>D482*H482</f>
        <v/>
      </c>
      <c r="J481" s="113" t="n"/>
      <c r="K481" s="44" t="n">
        <v>50</v>
      </c>
      <c r="L481" s="48">
        <f>K482+J482+I482+F482+E482+D482</f>
        <v/>
      </c>
      <c r="M481" s="44">
        <f>D482*1%</f>
        <v/>
      </c>
      <c r="N481" s="49">
        <f>L482*8%</f>
        <v/>
      </c>
      <c r="O481" s="49">
        <f>L482*10%</f>
        <v/>
      </c>
      <c r="P481" s="49">
        <f>L482*5%</f>
        <v/>
      </c>
      <c r="Q481" s="49">
        <f>L482*2%</f>
        <v/>
      </c>
      <c r="R481" s="49">
        <f>AC482*0.5%</f>
        <v/>
      </c>
      <c r="S481" s="49">
        <f>L482*1%</f>
        <v/>
      </c>
      <c r="T481" s="50">
        <f>S482+Q482+P482+O482+N482+M482</f>
        <v/>
      </c>
      <c r="U481" s="44">
        <f>AC482*1%</f>
        <v/>
      </c>
      <c r="V481" s="44">
        <f>AC482*5%</f>
        <v/>
      </c>
      <c r="W481" s="44">
        <f>AC482*1%</f>
        <v/>
      </c>
      <c r="X481" s="44">
        <f>AC482*8%</f>
        <v/>
      </c>
      <c r="Y481" s="44">
        <f>U482+V482+W482+X482</f>
        <v/>
      </c>
      <c r="Z481" s="50">
        <f>Y482+T482+L482</f>
        <v/>
      </c>
      <c r="AA481" s="51">
        <f>Z482*20%</f>
        <v/>
      </c>
      <c r="AB481" s="49">
        <f>Z482+AA482</f>
        <v/>
      </c>
      <c r="AC481" s="44">
        <f>D482*2.1</f>
        <v/>
      </c>
      <c r="AD481" s="49">
        <f>AB482-AC482</f>
        <v/>
      </c>
      <c r="AE481" s="49">
        <f>AD482/AB482*100</f>
        <v/>
      </c>
      <c r="AF481" s="113" t="n"/>
      <c r="AG481" s="116">
        <f>((AF482-L482)/L482)*100</f>
        <v/>
      </c>
      <c r="AH481" s="54">
        <f>AJ482-AF482</f>
        <v/>
      </c>
      <c r="AI481" s="54" t="n">
        <v>6490</v>
      </c>
      <c r="AJ481" s="54" t="n">
        <v>5990</v>
      </c>
      <c r="AK481" s="55">
        <f>(AJ482-L482)/L482*100</f>
        <v/>
      </c>
      <c r="AL481" s="55" t="n"/>
      <c r="AM481" s="55">
        <f>AH482/AJ482%</f>
        <v/>
      </c>
      <c r="AN481" s="55">
        <f>AK482-AG482</f>
        <v/>
      </c>
      <c r="AO481" s="56">
        <f>AJ482/L482</f>
        <v/>
      </c>
      <c r="AP481" s="55">
        <f>(AJ482-AB482)/100</f>
        <v/>
      </c>
      <c r="AQ481" s="55">
        <f>(AJ482-AC482)/100</f>
        <v/>
      </c>
      <c r="AR481" s="57">
        <f>AI482/94</f>
        <v/>
      </c>
      <c r="AS481" s="57">
        <f>AJ482/94</f>
        <v/>
      </c>
      <c r="AT481" s="58">
        <f>AI482/24</f>
        <v/>
      </c>
      <c r="AU481" s="58">
        <f>AJ482/24</f>
        <v/>
      </c>
      <c r="AV481" s="58">
        <f>AI482/125</f>
        <v/>
      </c>
      <c r="AW481" s="58">
        <f>AJ482/125</f>
        <v/>
      </c>
      <c r="AX481" s="113" t="n"/>
      <c r="AY481" s="113" t="n"/>
    </row>
    <row r="482" ht="15.75" customHeight="1" s="258">
      <c r="A482" s="44" t="n"/>
      <c r="B482" s="44" t="inlineStr">
        <is>
          <t>Medium / Dark</t>
        </is>
      </c>
      <c r="C482" s="44" t="inlineStr">
        <is>
          <t>Mi-Gg-ST-M-D</t>
        </is>
      </c>
      <c r="D482" s="45" t="n">
        <v>2750</v>
      </c>
      <c r="E482" s="44" t="n">
        <v>425</v>
      </c>
      <c r="F482" s="44" t="n">
        <v>150</v>
      </c>
      <c r="G482" s="45" t="n">
        <v>442100</v>
      </c>
      <c r="H482" s="115" t="n">
        <v>0.12</v>
      </c>
      <c r="I482" s="44">
        <f>D483*H483</f>
        <v/>
      </c>
      <c r="J482" s="113" t="n"/>
      <c r="K482" s="44" t="n">
        <v>50</v>
      </c>
      <c r="L482" s="48">
        <f>K483+J483+I483+F483+E483+D483</f>
        <v/>
      </c>
      <c r="M482" s="44">
        <f>D483*1%</f>
        <v/>
      </c>
      <c r="N482" s="49">
        <f>L483*8%</f>
        <v/>
      </c>
      <c r="O482" s="49">
        <f>L483*10%</f>
        <v/>
      </c>
      <c r="P482" s="49">
        <f>L483*5%</f>
        <v/>
      </c>
      <c r="Q482" s="49">
        <f>L483*2%</f>
        <v/>
      </c>
      <c r="R482" s="49">
        <f>AC483*0.5%</f>
        <v/>
      </c>
      <c r="S482" s="49">
        <f>L483*1%</f>
        <v/>
      </c>
      <c r="T482" s="50">
        <f>S483+Q483+P483+O483+N483+M483</f>
        <v/>
      </c>
      <c r="U482" s="44">
        <f>AC483*1%</f>
        <v/>
      </c>
      <c r="V482" s="44">
        <f>AC483*5%</f>
        <v/>
      </c>
      <c r="W482" s="44">
        <f>AC483*1%</f>
        <v/>
      </c>
      <c r="X482" s="44">
        <f>AC483*8%</f>
        <v/>
      </c>
      <c r="Y482" s="44">
        <f>U483+V483+W483+X483</f>
        <v/>
      </c>
      <c r="Z482" s="50">
        <f>Y483+T483+L483</f>
        <v/>
      </c>
      <c r="AA482" s="51">
        <f>Z483*20%</f>
        <v/>
      </c>
      <c r="AB482" s="49">
        <f>Z483+AA483</f>
        <v/>
      </c>
      <c r="AC482" s="44">
        <f>D483*2.1</f>
        <v/>
      </c>
      <c r="AD482" s="49">
        <f>AB483-AC483</f>
        <v/>
      </c>
      <c r="AE482" s="49">
        <f>AD483/AB483*100</f>
        <v/>
      </c>
      <c r="AF482" s="113" t="n"/>
      <c r="AG482" s="116">
        <f>((AF483-L483)/L483)*100</f>
        <v/>
      </c>
      <c r="AH482" s="54">
        <f>AJ483-AF483</f>
        <v/>
      </c>
      <c r="AI482" s="54" t="n">
        <v>6490</v>
      </c>
      <c r="AJ482" s="54" t="n">
        <v>5990</v>
      </c>
      <c r="AK482" s="55">
        <f>(AJ483-L483)/L483*100</f>
        <v/>
      </c>
      <c r="AL482" s="55" t="n"/>
      <c r="AM482" s="55">
        <f>AH483/AJ483%</f>
        <v/>
      </c>
      <c r="AN482" s="55">
        <f>AK483-AG483</f>
        <v/>
      </c>
      <c r="AO482" s="56">
        <f>AJ483/L483</f>
        <v/>
      </c>
      <c r="AP482" s="55">
        <f>(AJ483-AB483)/100</f>
        <v/>
      </c>
      <c r="AQ482" s="55">
        <f>(AJ483-AC483)/100</f>
        <v/>
      </c>
      <c r="AR482" s="57">
        <f>AI483/94</f>
        <v/>
      </c>
      <c r="AS482" s="57">
        <f>AJ483/94</f>
        <v/>
      </c>
      <c r="AT482" s="58">
        <f>AI483/24</f>
        <v/>
      </c>
      <c r="AU482" s="58">
        <f>AJ483/24</f>
        <v/>
      </c>
      <c r="AV482" s="58">
        <f>AI483/125</f>
        <v/>
      </c>
      <c r="AW482" s="58">
        <f>AJ483/125</f>
        <v/>
      </c>
      <c r="AX482" s="113" t="n"/>
      <c r="AY482" s="113" t="n"/>
    </row>
    <row r="483" ht="15.75" customHeight="1" s="258">
      <c r="A483" s="44" t="n"/>
      <c r="B483" s="44" t="inlineStr">
        <is>
          <t>Large / Light</t>
        </is>
      </c>
      <c r="C483" s="44" t="inlineStr">
        <is>
          <t>Mi-Gg-ST-L-L</t>
        </is>
      </c>
      <c r="D483" s="45" t="n">
        <v>3000</v>
      </c>
      <c r="E483" s="44" t="n">
        <v>425</v>
      </c>
      <c r="F483" s="44" t="n">
        <v>150</v>
      </c>
      <c r="G483" s="45" t="n">
        <v>442100</v>
      </c>
      <c r="H483" s="115" t="n">
        <v>0.12</v>
      </c>
      <c r="I483" s="44">
        <f>D484*H484</f>
        <v/>
      </c>
      <c r="J483" s="113" t="n"/>
      <c r="K483" s="44" t="n">
        <v>50</v>
      </c>
      <c r="L483" s="48">
        <f>K484+J484+I484+F484+E484+D484</f>
        <v/>
      </c>
      <c r="M483" s="44">
        <f>D484*1%</f>
        <v/>
      </c>
      <c r="N483" s="49">
        <f>L484*8%</f>
        <v/>
      </c>
      <c r="O483" s="49">
        <f>L484*10%</f>
        <v/>
      </c>
      <c r="P483" s="49">
        <f>L484*5%</f>
        <v/>
      </c>
      <c r="Q483" s="49">
        <f>L484*2%</f>
        <v/>
      </c>
      <c r="R483" s="49">
        <f>AC484*0.5%</f>
        <v/>
      </c>
      <c r="S483" s="49">
        <f>L484*1%</f>
        <v/>
      </c>
      <c r="T483" s="50">
        <f>S484+Q484+P484+O484+N484+M484</f>
        <v/>
      </c>
      <c r="U483" s="44">
        <f>AC484*1%</f>
        <v/>
      </c>
      <c r="V483" s="44">
        <f>AC484*5%</f>
        <v/>
      </c>
      <c r="W483" s="44">
        <f>AC484*1%</f>
        <v/>
      </c>
      <c r="X483" s="44">
        <f>AC484*8%</f>
        <v/>
      </c>
      <c r="Y483" s="44">
        <f>U484+V484+W484+X484</f>
        <v/>
      </c>
      <c r="Z483" s="50">
        <f>Y484+T484+L484</f>
        <v/>
      </c>
      <c r="AA483" s="51">
        <f>Z484*20%</f>
        <v/>
      </c>
      <c r="AB483" s="49">
        <f>Z484+AA484</f>
        <v/>
      </c>
      <c r="AC483" s="44">
        <f>D484*2.1</f>
        <v/>
      </c>
      <c r="AD483" s="49">
        <f>AB484-AC484</f>
        <v/>
      </c>
      <c r="AE483" s="49">
        <f>AD484/AB484*100</f>
        <v/>
      </c>
      <c r="AF483" s="113" t="n"/>
      <c r="AG483" s="116">
        <f>((AF484-L484)/L484)*100</f>
        <v/>
      </c>
      <c r="AH483" s="54">
        <f>AJ484-AF484</f>
        <v/>
      </c>
      <c r="AI483" s="54" t="n">
        <v>7690</v>
      </c>
      <c r="AJ483" s="54" t="n">
        <v>6990</v>
      </c>
      <c r="AK483" s="55">
        <f>(AJ484-L484)/L484*100</f>
        <v/>
      </c>
      <c r="AL483" s="55" t="n"/>
      <c r="AM483" s="55">
        <f>AH484/AJ484%</f>
        <v/>
      </c>
      <c r="AN483" s="55">
        <f>AK484-AG484</f>
        <v/>
      </c>
      <c r="AO483" s="56">
        <f>AJ484/L484</f>
        <v/>
      </c>
      <c r="AP483" s="55">
        <f>(AJ484-AB484)/100</f>
        <v/>
      </c>
      <c r="AQ483" s="55">
        <f>(AJ484-AC484)/100</f>
        <v/>
      </c>
      <c r="AR483" s="57">
        <f>AI484/94</f>
        <v/>
      </c>
      <c r="AS483" s="57">
        <f>AJ484/94</f>
        <v/>
      </c>
      <c r="AT483" s="58">
        <f>AI484/24</f>
        <v/>
      </c>
      <c r="AU483" s="58">
        <f>AJ484/24</f>
        <v/>
      </c>
      <c r="AV483" s="58">
        <f>AI484/125</f>
        <v/>
      </c>
      <c r="AW483" s="58">
        <f>AJ484/125</f>
        <v/>
      </c>
      <c r="AX483" s="113" t="n"/>
      <c r="AY483" s="113" t="n"/>
    </row>
    <row r="484" ht="15.75" customHeight="1" s="258">
      <c r="A484" s="44" t="n"/>
      <c r="B484" s="44" t="inlineStr">
        <is>
          <t>Large / Dark</t>
        </is>
      </c>
      <c r="C484" s="44" t="inlineStr">
        <is>
          <t>Mi-Gg-ST-D-L</t>
        </is>
      </c>
      <c r="D484" s="45" t="n">
        <v>3000</v>
      </c>
      <c r="E484" s="44" t="n">
        <v>425</v>
      </c>
      <c r="F484" s="44" t="n">
        <v>150</v>
      </c>
      <c r="G484" s="45" t="n">
        <v>442100</v>
      </c>
      <c r="H484" s="115" t="n">
        <v>0.12</v>
      </c>
      <c r="I484" s="44">
        <f>D485*H485</f>
        <v/>
      </c>
      <c r="J484" s="113" t="n"/>
      <c r="K484" s="44" t="n">
        <v>50</v>
      </c>
      <c r="L484" s="48">
        <f>K485+J485+I485+F485+E485+D485</f>
        <v/>
      </c>
      <c r="M484" s="44">
        <f>D485*1%</f>
        <v/>
      </c>
      <c r="N484" s="49">
        <f>L485*8%</f>
        <v/>
      </c>
      <c r="O484" s="49">
        <f>L485*10%</f>
        <v/>
      </c>
      <c r="P484" s="49">
        <f>L485*5%</f>
        <v/>
      </c>
      <c r="Q484" s="49">
        <f>L485*2%</f>
        <v/>
      </c>
      <c r="R484" s="49">
        <f>AC485*0.5%</f>
        <v/>
      </c>
      <c r="S484" s="49">
        <f>L485*1%</f>
        <v/>
      </c>
      <c r="T484" s="50">
        <f>S485+Q485+P485+O485+N485+M485</f>
        <v/>
      </c>
      <c r="U484" s="44">
        <f>AC485*1%</f>
        <v/>
      </c>
      <c r="V484" s="44">
        <f>AC485*5%</f>
        <v/>
      </c>
      <c r="W484" s="44">
        <f>AC485*1%</f>
        <v/>
      </c>
      <c r="X484" s="44">
        <f>AC485*8%</f>
        <v/>
      </c>
      <c r="Y484" s="44">
        <f>U485+V485+W485+X485</f>
        <v/>
      </c>
      <c r="Z484" s="50">
        <f>Y485+T485+L485</f>
        <v/>
      </c>
      <c r="AA484" s="51">
        <f>Z485*20%</f>
        <v/>
      </c>
      <c r="AB484" s="49">
        <f>Z485+AA485</f>
        <v/>
      </c>
      <c r="AC484" s="44">
        <f>D485*2.1</f>
        <v/>
      </c>
      <c r="AD484" s="49">
        <f>AB485-AC485</f>
        <v/>
      </c>
      <c r="AE484" s="49">
        <f>AD485/AB485*100</f>
        <v/>
      </c>
      <c r="AF484" s="113" t="n"/>
      <c r="AG484" s="116">
        <f>((AF485-L485)/L485)*100</f>
        <v/>
      </c>
      <c r="AH484" s="54">
        <f>AJ485-AF485</f>
        <v/>
      </c>
      <c r="AI484" s="54" t="n">
        <v>7690</v>
      </c>
      <c r="AJ484" s="54" t="n">
        <v>6990</v>
      </c>
      <c r="AK484" s="55">
        <f>(AJ485-L485)/L485*100</f>
        <v/>
      </c>
      <c r="AL484" s="55" t="n"/>
      <c r="AM484" s="55">
        <f>AH485/AJ485%</f>
        <v/>
      </c>
      <c r="AN484" s="55">
        <f>AK485-AG485</f>
        <v/>
      </c>
      <c r="AO484" s="56">
        <f>AJ485/L485</f>
        <v/>
      </c>
      <c r="AP484" s="55">
        <f>(AJ485-AB485)/100</f>
        <v/>
      </c>
      <c r="AQ484" s="55">
        <f>(AJ485-AC485)/100</f>
        <v/>
      </c>
      <c r="AR484" s="57">
        <f>AI485/94</f>
        <v/>
      </c>
      <c r="AS484" s="57">
        <f>AJ485/94</f>
        <v/>
      </c>
      <c r="AT484" s="58">
        <f>AI485/24</f>
        <v/>
      </c>
      <c r="AU484" s="58">
        <f>AJ485/24</f>
        <v/>
      </c>
      <c r="AV484" s="58">
        <f>AI485/125</f>
        <v/>
      </c>
      <c r="AW484" s="58">
        <f>AJ485/125</f>
        <v/>
      </c>
      <c r="AX484" s="113" t="n"/>
      <c r="AY484" s="113" t="n"/>
    </row>
    <row r="485" ht="15.75" customHeight="1" s="258">
      <c r="A485" s="44" t="n"/>
      <c r="B485" s="44" t="inlineStr">
        <is>
          <t>Extra Large / Light</t>
        </is>
      </c>
      <c r="C485" s="44" t="inlineStr">
        <is>
          <t>Mi-Gg-ST-L-EL</t>
        </is>
      </c>
      <c r="D485" s="45" t="n">
        <v>3500</v>
      </c>
      <c r="E485" s="44" t="n">
        <v>495</v>
      </c>
      <c r="F485" s="44" t="n">
        <v>150</v>
      </c>
      <c r="G485" s="45" t="n">
        <v>442100</v>
      </c>
      <c r="H485" s="115" t="n">
        <v>0.12</v>
      </c>
      <c r="I485" s="44">
        <f>D486*H486</f>
        <v/>
      </c>
      <c r="J485" s="113" t="n"/>
      <c r="K485" s="44" t="n">
        <v>50</v>
      </c>
      <c r="L485" s="48">
        <f>K486+J486+I486+F486+E486+D486</f>
        <v/>
      </c>
      <c r="M485" s="44">
        <f>D486*1%</f>
        <v/>
      </c>
      <c r="N485" s="49">
        <f>L486*8%</f>
        <v/>
      </c>
      <c r="O485" s="49">
        <f>L486*10%</f>
        <v/>
      </c>
      <c r="P485" s="49">
        <f>L486*5%</f>
        <v/>
      </c>
      <c r="Q485" s="49">
        <f>L486*2%</f>
        <v/>
      </c>
      <c r="R485" s="49">
        <f>AC486*0.5%</f>
        <v/>
      </c>
      <c r="S485" s="49">
        <f>L486*1%</f>
        <v/>
      </c>
      <c r="T485" s="50">
        <f>S486+Q486+P486+O486+N486+M486</f>
        <v/>
      </c>
      <c r="U485" s="44">
        <f>AC486*1%</f>
        <v/>
      </c>
      <c r="V485" s="44">
        <f>AC486*5%</f>
        <v/>
      </c>
      <c r="W485" s="44">
        <f>AC486*1%</f>
        <v/>
      </c>
      <c r="X485" s="44">
        <f>AC486*8%</f>
        <v/>
      </c>
      <c r="Y485" s="44">
        <f>U486+V486+W486+X486</f>
        <v/>
      </c>
      <c r="Z485" s="50">
        <f>Y486+T486+L486</f>
        <v/>
      </c>
      <c r="AA485" s="51">
        <f>Z486*20%</f>
        <v/>
      </c>
      <c r="AB485" s="49">
        <f>Z486+AA486</f>
        <v/>
      </c>
      <c r="AC485" s="44">
        <f>D486*2.1</f>
        <v/>
      </c>
      <c r="AD485" s="49">
        <f>AB486-AC486</f>
        <v/>
      </c>
      <c r="AE485" s="49">
        <f>AD486/AB486*100</f>
        <v/>
      </c>
      <c r="AF485" s="113" t="n"/>
      <c r="AG485" s="116">
        <f>((AF486-L486)/L486)*100</f>
        <v/>
      </c>
      <c r="AH485" s="54">
        <f>AJ486-AF486</f>
        <v/>
      </c>
      <c r="AI485" s="54" t="n">
        <v>9990</v>
      </c>
      <c r="AJ485" s="54" t="n">
        <v>8990</v>
      </c>
      <c r="AK485" s="55">
        <f>(AJ486-L486)/L486*100</f>
        <v/>
      </c>
      <c r="AL485" s="55" t="n"/>
      <c r="AM485" s="55">
        <f>AH486/AJ486%</f>
        <v/>
      </c>
      <c r="AN485" s="55">
        <f>AK486-AG486</f>
        <v/>
      </c>
      <c r="AO485" s="56">
        <f>AJ486/L486</f>
        <v/>
      </c>
      <c r="AP485" s="55">
        <f>(AJ486-AB486)/100</f>
        <v/>
      </c>
      <c r="AQ485" s="55">
        <f>(AJ486-AC486)/100</f>
        <v/>
      </c>
      <c r="AR485" s="57">
        <f>AI486/94</f>
        <v/>
      </c>
      <c r="AS485" s="57">
        <f>AJ486/94</f>
        <v/>
      </c>
      <c r="AT485" s="58">
        <f>AI486/24</f>
        <v/>
      </c>
      <c r="AU485" s="58">
        <f>AJ486/24</f>
        <v/>
      </c>
      <c r="AV485" s="58">
        <f>AI486/125</f>
        <v/>
      </c>
      <c r="AW485" s="58">
        <f>AJ486/125</f>
        <v/>
      </c>
      <c r="AX485" s="113" t="n"/>
      <c r="AY485" s="113" t="n"/>
    </row>
    <row r="486" ht="15.75" customHeight="1" s="258">
      <c r="A486" s="44" t="n"/>
      <c r="B486" s="44" t="inlineStr">
        <is>
          <t>Extra Large / Dark</t>
        </is>
      </c>
      <c r="C486" s="44" t="inlineStr">
        <is>
          <t>Mi-Gg-ST-D-EL</t>
        </is>
      </c>
      <c r="D486" s="45" t="n">
        <v>3500</v>
      </c>
      <c r="E486" s="44" t="n">
        <v>495</v>
      </c>
      <c r="F486" s="44" t="n">
        <v>150</v>
      </c>
      <c r="G486" s="45" t="n">
        <v>442100</v>
      </c>
      <c r="H486" s="115" t="n">
        <v>0.12</v>
      </c>
      <c r="I486" s="44">
        <f>D487*H487</f>
        <v/>
      </c>
      <c r="J486" s="113" t="n"/>
      <c r="K486" s="44" t="n">
        <v>50</v>
      </c>
      <c r="L486" s="48">
        <f>K487+J487+I487+F487+E487+D487</f>
        <v/>
      </c>
      <c r="M486" s="44">
        <f>D487*1%</f>
        <v/>
      </c>
      <c r="N486" s="49">
        <f>L487*8%</f>
        <v/>
      </c>
      <c r="O486" s="49">
        <f>L487*10%</f>
        <v/>
      </c>
      <c r="P486" s="49">
        <f>L487*5%</f>
        <v/>
      </c>
      <c r="Q486" s="49">
        <f>L487*2%</f>
        <v/>
      </c>
      <c r="R486" s="49">
        <f>AC487*0.5%</f>
        <v/>
      </c>
      <c r="S486" s="49">
        <f>L487*1%</f>
        <v/>
      </c>
      <c r="T486" s="50">
        <f>S487+Q487+P487+O487+N487+M487</f>
        <v/>
      </c>
      <c r="U486" s="44">
        <f>AC487*1%</f>
        <v/>
      </c>
      <c r="V486" s="44">
        <f>AC487*5%</f>
        <v/>
      </c>
      <c r="W486" s="44">
        <f>AC487*1%</f>
        <v/>
      </c>
      <c r="X486" s="44">
        <f>AC487*8%</f>
        <v/>
      </c>
      <c r="Y486" s="44">
        <f>U487+V487+W487+X487</f>
        <v/>
      </c>
      <c r="Z486" s="50">
        <f>Y487+T487+L487</f>
        <v/>
      </c>
      <c r="AA486" s="51">
        <f>Z487*20%</f>
        <v/>
      </c>
      <c r="AB486" s="49">
        <f>Z487+AA487</f>
        <v/>
      </c>
      <c r="AC486" s="44">
        <f>D487*2.1</f>
        <v/>
      </c>
      <c r="AD486" s="49">
        <f>AB487-AC487</f>
        <v/>
      </c>
      <c r="AE486" s="49">
        <f>AD487/AB487*100</f>
        <v/>
      </c>
      <c r="AF486" s="113" t="n"/>
      <c r="AG486" s="116">
        <f>((AF487-L487)/L487)*100</f>
        <v/>
      </c>
      <c r="AH486" s="54">
        <f>AJ487-AF487</f>
        <v/>
      </c>
      <c r="AI486" s="54" t="n">
        <v>9990</v>
      </c>
      <c r="AJ486" s="54" t="n">
        <v>8990</v>
      </c>
      <c r="AK486" s="55">
        <f>(AJ487-L487)/L487*100</f>
        <v/>
      </c>
      <c r="AL486" s="55" t="n"/>
      <c r="AM486" s="55">
        <f>AH487/AJ487%</f>
        <v/>
      </c>
      <c r="AN486" s="55">
        <f>AK487-AG487</f>
        <v/>
      </c>
      <c r="AO486" s="56">
        <f>AJ487/L487</f>
        <v/>
      </c>
      <c r="AP486" s="55">
        <f>(AJ487-AB487)/100</f>
        <v/>
      </c>
      <c r="AQ486" s="55">
        <f>(AJ487-AC487)/100</f>
        <v/>
      </c>
      <c r="AR486" s="57">
        <f>AI487/94</f>
        <v/>
      </c>
      <c r="AS486" s="57">
        <f>AJ487/94</f>
        <v/>
      </c>
      <c r="AT486" s="58">
        <f>AI487/24</f>
        <v/>
      </c>
      <c r="AU486" s="58">
        <f>AJ487/24</f>
        <v/>
      </c>
      <c r="AV486" s="58">
        <f>AI487/125</f>
        <v/>
      </c>
      <c r="AW486" s="58">
        <f>AJ487/125</f>
        <v/>
      </c>
      <c r="AX486" s="113" t="n"/>
      <c r="AY486" s="113" t="n"/>
    </row>
    <row r="487" ht="15.75" customHeight="1" s="258">
      <c r="A487" s="2" t="inlineStr">
        <is>
          <t>Handcrafted Set of 7 Bowls for Sound Therapy</t>
        </is>
      </c>
      <c r="B487" s="2" t="inlineStr">
        <is>
          <t>Full Moon / Large-Octave 2</t>
        </is>
      </c>
      <c r="C487" s="2" t="inlineStr">
        <is>
          <t>MI-SB-7C Set-L-FM</t>
        </is>
      </c>
      <c r="D487" s="118" t="n">
        <v>69000</v>
      </c>
      <c r="E487" s="2" t="n">
        <v>1150</v>
      </c>
      <c r="F487" s="2" t="n">
        <v>200</v>
      </c>
      <c r="G487" s="118" t="n">
        <v>83061000</v>
      </c>
      <c r="H487" s="255" t="n">
        <v>0.05</v>
      </c>
      <c r="I487" s="2">
        <f>D488*H488</f>
        <v/>
      </c>
      <c r="K487" s="2" t="n">
        <v>750</v>
      </c>
      <c r="L487" s="4">
        <f>K488+J488+I488+F488+E488+D488</f>
        <v/>
      </c>
      <c r="M487" s="2">
        <f>D488*1%</f>
        <v/>
      </c>
      <c r="N487" s="12">
        <f>L488*8%</f>
        <v/>
      </c>
      <c r="O487" s="12">
        <f>L488*10%</f>
        <v/>
      </c>
      <c r="P487" s="12">
        <f>L488*5%</f>
        <v/>
      </c>
      <c r="Q487" s="12">
        <f>L488*2%</f>
        <v/>
      </c>
      <c r="R487" s="12">
        <f>AC488*0.5%</f>
        <v/>
      </c>
      <c r="S487" s="12">
        <f>L488*1%</f>
        <v/>
      </c>
      <c r="T487" s="60">
        <f>S488+Q488+P488+O488+N488+M488</f>
        <v/>
      </c>
      <c r="U487" s="2">
        <f>AC488*1%</f>
        <v/>
      </c>
      <c r="V487" s="44">
        <f>AC488*5%</f>
        <v/>
      </c>
      <c r="W487" s="2">
        <f>AC488*1%</f>
        <v/>
      </c>
      <c r="X487" s="2">
        <f>AC488*8%</f>
        <v/>
      </c>
      <c r="Y487" s="2">
        <f>U488+V488+W488+X488</f>
        <v/>
      </c>
      <c r="Z487" s="60">
        <f>Y488+T488+L488</f>
        <v/>
      </c>
      <c r="AA487" s="11">
        <f>Z488*20%</f>
        <v/>
      </c>
      <c r="AB487" s="12">
        <f>Z488+AA488</f>
        <v/>
      </c>
      <c r="AC487" s="2">
        <f>D488*2.1</f>
        <v/>
      </c>
      <c r="AD487" s="12">
        <f>AB488-AC488</f>
        <v/>
      </c>
      <c r="AE487" s="12">
        <f>AD488/AB488*100</f>
        <v/>
      </c>
      <c r="AF487" s="92" t="n">
        <v>92500</v>
      </c>
      <c r="AG487" s="62">
        <f>((AF488-L488)/L488)*100</f>
        <v/>
      </c>
      <c r="AH487" s="106">
        <f>AJ488-AF488</f>
        <v/>
      </c>
      <c r="AI487" s="65" t="n">
        <v>119990</v>
      </c>
      <c r="AJ487" s="65" t="n">
        <v>97990</v>
      </c>
      <c r="AK487" s="66">
        <f>(AJ488-L488)/L488*100</f>
        <v/>
      </c>
      <c r="AL487" s="66" t="n"/>
      <c r="AM487" s="14">
        <f>AH488/AJ488%</f>
        <v/>
      </c>
      <c r="AN487" s="67">
        <f>AK488-AG488</f>
        <v/>
      </c>
      <c r="AO487" s="68">
        <f>AJ488/L488</f>
        <v/>
      </c>
      <c r="AP487" s="69">
        <f>(AJ488-AB488)/100</f>
        <v/>
      </c>
      <c r="AQ487" s="70">
        <f>(AJ488-AC488)/100</f>
        <v/>
      </c>
      <c r="AR487" s="71">
        <f>AI488/94</f>
        <v/>
      </c>
      <c r="AS487" s="71">
        <f>AJ488/94</f>
        <v/>
      </c>
      <c r="AT487" s="72">
        <f>AI488/24</f>
        <v/>
      </c>
      <c r="AU487" s="72">
        <f>AJ488/24</f>
        <v/>
      </c>
      <c r="AV487" s="73">
        <f>AI488/125</f>
        <v/>
      </c>
      <c r="AW487" s="73">
        <f>AJ488/125</f>
        <v/>
      </c>
    </row>
    <row r="488" ht="15" customHeight="1" s="258">
      <c r="A488" s="2" t="n"/>
      <c r="B488" s="2" t="inlineStr">
        <is>
          <t>Chakra Etching / Large-Octave 2</t>
        </is>
      </c>
      <c r="C488" s="2" t="inlineStr">
        <is>
          <t>MI-SB-7C Set-L-EC</t>
        </is>
      </c>
      <c r="D488" s="118" t="n">
        <v>72000</v>
      </c>
      <c r="E488" s="2" t="n">
        <v>1150</v>
      </c>
      <c r="F488" s="2" t="n">
        <v>200</v>
      </c>
      <c r="G488" s="118" t="n">
        <v>83061000</v>
      </c>
      <c r="H488" s="255" t="n">
        <v>0.05</v>
      </c>
      <c r="I488" s="2">
        <f>D489*H489</f>
        <v/>
      </c>
      <c r="K488" s="2" t="n">
        <v>750</v>
      </c>
      <c r="L488" s="4">
        <f>K489+J489+I489+F489+E489+D489</f>
        <v/>
      </c>
      <c r="M488" s="2">
        <f>D489*1%</f>
        <v/>
      </c>
      <c r="N488" s="12">
        <f>L489*8%</f>
        <v/>
      </c>
      <c r="O488" s="12">
        <f>L489*10%</f>
        <v/>
      </c>
      <c r="P488" s="12">
        <f>L489*5%</f>
        <v/>
      </c>
      <c r="Q488" s="12">
        <f>L489*2%</f>
        <v/>
      </c>
      <c r="R488" s="12">
        <f>AC489*0.5%</f>
        <v/>
      </c>
      <c r="S488" s="12">
        <f>L489*1%</f>
        <v/>
      </c>
      <c r="T488" s="60">
        <f>S489+Q489+P489+O489+N489+M489</f>
        <v/>
      </c>
      <c r="U488" s="2">
        <f>AC489*1%</f>
        <v/>
      </c>
      <c r="V488" s="44">
        <f>AC489*5%</f>
        <v/>
      </c>
      <c r="W488" s="2">
        <f>AC489*1%</f>
        <v/>
      </c>
      <c r="X488" s="2">
        <f>AC489*8%</f>
        <v/>
      </c>
      <c r="Y488" s="2">
        <f>U489+V489+W489+X489</f>
        <v/>
      </c>
      <c r="Z488" s="60">
        <f>Y489+T489+L489</f>
        <v/>
      </c>
      <c r="AA488" s="11">
        <f>Z489*20%</f>
        <v/>
      </c>
      <c r="AB488" s="12">
        <f>Z489+AA489</f>
        <v/>
      </c>
      <c r="AC488" s="2">
        <f>D489*2.1</f>
        <v/>
      </c>
      <c r="AD488" s="12">
        <f>AB489-AC489</f>
        <v/>
      </c>
      <c r="AE488" s="12">
        <f>AD489/AB489*100</f>
        <v/>
      </c>
      <c r="AF488" s="92" t="n">
        <v>96500</v>
      </c>
      <c r="AG488" s="62">
        <f>((AF489-L489)/L489)*100</f>
        <v/>
      </c>
      <c r="AH488" s="106">
        <f>AJ489-AF489</f>
        <v/>
      </c>
      <c r="AI488" s="65" t="n">
        <v>129990</v>
      </c>
      <c r="AJ488" s="65" t="n">
        <v>99990</v>
      </c>
      <c r="AK488" s="66">
        <f>(AJ489-L489)/L489*100</f>
        <v/>
      </c>
      <c r="AL488" s="66" t="n"/>
      <c r="AM488" s="14">
        <f>AH489/AJ489%</f>
        <v/>
      </c>
      <c r="AN488" s="67">
        <f>AK489-AG489</f>
        <v/>
      </c>
      <c r="AO488" s="68">
        <f>AJ489/L489</f>
        <v/>
      </c>
      <c r="AP488" s="69">
        <f>(AJ489-AB489)/100</f>
        <v/>
      </c>
      <c r="AQ488" s="70">
        <f>(AJ489-AC489)/100</f>
        <v/>
      </c>
      <c r="AR488" s="71">
        <f>AI489/94</f>
        <v/>
      </c>
      <c r="AS488" s="71">
        <f>AJ489/94</f>
        <v/>
      </c>
      <c r="AT488" s="72">
        <f>AI489/24</f>
        <v/>
      </c>
      <c r="AU488" s="72">
        <f>AJ489/24</f>
        <v/>
      </c>
      <c r="AV488" s="73">
        <f>AI489/125</f>
        <v/>
      </c>
      <c r="AW488" s="73">
        <f>AJ489/125</f>
        <v/>
      </c>
    </row>
    <row r="489" ht="15.75" customHeight="1" s="258">
      <c r="A489" s="2" t="n"/>
      <c r="B489" s="2" t="inlineStr">
        <is>
          <t>Large-Octave 2 / Matte</t>
        </is>
      </c>
      <c r="C489" s="2" t="inlineStr">
        <is>
          <t>MI-SB-7C Set-L-M</t>
        </is>
      </c>
      <c r="D489" s="118" t="n">
        <v>65000</v>
      </c>
      <c r="E489" s="2" t="n">
        <v>1150</v>
      </c>
      <c r="F489" s="2" t="n">
        <v>200</v>
      </c>
      <c r="G489" s="118" t="n">
        <v>83061000</v>
      </c>
      <c r="H489" s="255" t="n">
        <v>0.05</v>
      </c>
      <c r="I489" s="2">
        <f>D490*H490</f>
        <v/>
      </c>
      <c r="K489" s="2" t="n">
        <v>750</v>
      </c>
      <c r="L489" s="4">
        <f>K490+J490+I490+F490+E490+D490</f>
        <v/>
      </c>
      <c r="M489" s="2">
        <f>D490*1%</f>
        <v/>
      </c>
      <c r="N489" s="12">
        <f>L490*8%</f>
        <v/>
      </c>
      <c r="O489" s="12">
        <f>L490*10%</f>
        <v/>
      </c>
      <c r="P489" s="12">
        <f>L490*5%</f>
        <v/>
      </c>
      <c r="Q489" s="12">
        <f>L490*2%</f>
        <v/>
      </c>
      <c r="R489" s="12">
        <f>AC490*0.5%</f>
        <v/>
      </c>
      <c r="S489" s="12">
        <f>L490*1%</f>
        <v/>
      </c>
      <c r="T489" s="60">
        <f>S490+Q490+P490+O490+N490+M490</f>
        <v/>
      </c>
      <c r="U489" s="2">
        <f>AC490*1%</f>
        <v/>
      </c>
      <c r="V489" s="44">
        <f>AC490*5%</f>
        <v/>
      </c>
      <c r="W489" s="2">
        <f>AC490*1%</f>
        <v/>
      </c>
      <c r="X489" s="2">
        <f>AC490*8%</f>
        <v/>
      </c>
      <c r="Y489" s="2">
        <f>U490+V490+W490+X490</f>
        <v/>
      </c>
      <c r="Z489" s="60">
        <f>Y490+T490+L490</f>
        <v/>
      </c>
      <c r="AA489" s="11">
        <f>Z490*20%</f>
        <v/>
      </c>
      <c r="AB489" s="12">
        <f>Z490+AA490</f>
        <v/>
      </c>
      <c r="AC489" s="2">
        <f>D490*2.1</f>
        <v/>
      </c>
      <c r="AD489" s="12">
        <f>AB490-AC490</f>
        <v/>
      </c>
      <c r="AE489" s="12">
        <f>AD490/AB490*100</f>
        <v/>
      </c>
      <c r="AF489" s="92" t="n">
        <v>82500</v>
      </c>
      <c r="AG489" s="62">
        <f>((AF490-L490)/L490)*100</f>
        <v/>
      </c>
      <c r="AH489" s="106">
        <f>AJ490-AF490</f>
        <v/>
      </c>
      <c r="AI489" s="65" t="n">
        <v>109990</v>
      </c>
      <c r="AJ489" s="65" t="n">
        <v>89990</v>
      </c>
      <c r="AK489" s="66">
        <f>(AJ490-L490)/L490*100</f>
        <v/>
      </c>
      <c r="AL489" s="66" t="n"/>
      <c r="AM489" s="14">
        <f>AH490/AJ490%</f>
        <v/>
      </c>
      <c r="AN489" s="67">
        <f>AK490-AG490</f>
        <v/>
      </c>
      <c r="AO489" s="68">
        <f>AJ490/L490</f>
        <v/>
      </c>
      <c r="AP489" s="69">
        <f>(AJ490-AB490)/100</f>
        <v/>
      </c>
      <c r="AQ489" s="70">
        <f>(AJ490-AC490)/100</f>
        <v/>
      </c>
      <c r="AR489" s="71">
        <f>AI490/94</f>
        <v/>
      </c>
      <c r="AS489" s="71">
        <f>AJ490/94</f>
        <v/>
      </c>
      <c r="AT489" s="72">
        <f>AI490/24</f>
        <v/>
      </c>
      <c r="AU489" s="72">
        <f>AJ490/24</f>
        <v/>
      </c>
      <c r="AV489" s="73">
        <f>AI490/125</f>
        <v/>
      </c>
      <c r="AW489" s="73">
        <f>AJ490/125</f>
        <v/>
      </c>
    </row>
    <row r="490" ht="15.75" customHeight="1" s="258">
      <c r="A490" s="2" t="n"/>
      <c r="B490" s="2" t="inlineStr">
        <is>
          <t>Chakra Etching / Standard-Octave 3</t>
        </is>
      </c>
      <c r="C490" s="2" t="inlineStr">
        <is>
          <t>MI-SB-7C Set-S-EC</t>
        </is>
      </c>
      <c r="D490" s="118" t="n">
        <v>49000</v>
      </c>
      <c r="E490" s="2" t="n">
        <v>960</v>
      </c>
      <c r="F490" s="2" t="n">
        <v>160</v>
      </c>
      <c r="G490" s="118" t="n">
        <v>83061000</v>
      </c>
      <c r="H490" s="255" t="n">
        <v>0.05</v>
      </c>
      <c r="I490" s="2">
        <f>D491*H491</f>
        <v/>
      </c>
      <c r="K490" s="2" t="n">
        <v>600</v>
      </c>
      <c r="L490" s="4">
        <f>K491+J491+I491+F491+E491+D491</f>
        <v/>
      </c>
      <c r="M490" s="2">
        <f>D491*1%</f>
        <v/>
      </c>
      <c r="N490" s="12">
        <f>L491*8%</f>
        <v/>
      </c>
      <c r="O490" s="12">
        <f>L491*10%</f>
        <v/>
      </c>
      <c r="P490" s="12">
        <f>L491*5%</f>
        <v/>
      </c>
      <c r="Q490" s="12">
        <f>L491*2%</f>
        <v/>
      </c>
      <c r="R490" s="12">
        <f>AC491*0.5%</f>
        <v/>
      </c>
      <c r="S490" s="12">
        <f>L491*1%</f>
        <v/>
      </c>
      <c r="T490" s="60">
        <f>S491+Q491+P491+O491+N491+M491</f>
        <v/>
      </c>
      <c r="U490" s="2">
        <f>AC491*1%</f>
        <v/>
      </c>
      <c r="V490" s="44">
        <f>AC491*5%</f>
        <v/>
      </c>
      <c r="W490" s="2">
        <f>AC491*1%</f>
        <v/>
      </c>
      <c r="X490" s="2">
        <f>AC491*8%</f>
        <v/>
      </c>
      <c r="Y490" s="2">
        <f>U491+V491+W491+X491</f>
        <v/>
      </c>
      <c r="Z490" s="60">
        <f>Y491+T491+L491</f>
        <v/>
      </c>
      <c r="AA490" s="11">
        <f>Z491*20%</f>
        <v/>
      </c>
      <c r="AB490" s="12">
        <f>Z491+AA491</f>
        <v/>
      </c>
      <c r="AC490" s="2">
        <f>D491*2.1</f>
        <v/>
      </c>
      <c r="AD490" s="12">
        <f>AB491-AC491</f>
        <v/>
      </c>
      <c r="AE490" s="12">
        <f>AD491/AB491*100</f>
        <v/>
      </c>
      <c r="AF490" s="92" t="n">
        <v>69500</v>
      </c>
      <c r="AG490" s="62">
        <f>((AF491-L491)/L491)*100</f>
        <v/>
      </c>
      <c r="AH490" s="106">
        <f>AJ491-AF491</f>
        <v/>
      </c>
      <c r="AI490" s="65" t="n">
        <v>89990</v>
      </c>
      <c r="AJ490" s="65" t="n">
        <v>72990</v>
      </c>
      <c r="AK490" s="66">
        <f>(AJ491-L491)/L491*100</f>
        <v/>
      </c>
      <c r="AL490" s="66" t="n"/>
      <c r="AM490" s="14">
        <f>AH491/AJ491%</f>
        <v/>
      </c>
      <c r="AN490" s="67">
        <f>AK491-AG491</f>
        <v/>
      </c>
      <c r="AO490" s="68">
        <f>AJ491/L491</f>
        <v/>
      </c>
      <c r="AP490" s="69">
        <f>(AJ491-AB491)/100</f>
        <v/>
      </c>
      <c r="AQ490" s="70">
        <f>(AJ491-AC491)/100</f>
        <v/>
      </c>
      <c r="AR490" s="71">
        <f>AI491/94</f>
        <v/>
      </c>
      <c r="AS490" s="71">
        <f>AJ491/94</f>
        <v/>
      </c>
      <c r="AT490" s="72">
        <f>AI491/24</f>
        <v/>
      </c>
      <c r="AU490" s="72">
        <f>AJ491/24</f>
        <v/>
      </c>
      <c r="AV490" s="73">
        <f>AI491/125</f>
        <v/>
      </c>
      <c r="AW490" s="73">
        <f>AJ491/125</f>
        <v/>
      </c>
    </row>
    <row r="491" ht="15.75" customHeight="1" s="258">
      <c r="A491" s="2" t="n"/>
      <c r="B491" s="2" t="inlineStr">
        <is>
          <t>Full Moon / Standard-Octave 3</t>
        </is>
      </c>
      <c r="C491" s="2" t="inlineStr">
        <is>
          <t>MI-SB-7C Set-S-FM</t>
        </is>
      </c>
      <c r="D491" s="118" t="n">
        <v>47000</v>
      </c>
      <c r="E491" s="2" t="n">
        <v>960</v>
      </c>
      <c r="F491" s="2" t="n">
        <v>160</v>
      </c>
      <c r="G491" s="118" t="n">
        <v>83061000</v>
      </c>
      <c r="H491" s="255" t="n">
        <v>0.05</v>
      </c>
      <c r="I491" s="2">
        <f>D492*H492</f>
        <v/>
      </c>
      <c r="K491" s="2" t="n">
        <v>600</v>
      </c>
      <c r="L491" s="4">
        <f>K492+J492+I492+F492+E492+D492</f>
        <v/>
      </c>
      <c r="M491" s="2">
        <f>D492*1%</f>
        <v/>
      </c>
      <c r="N491" s="12">
        <f>L492*8%</f>
        <v/>
      </c>
      <c r="O491" s="12">
        <f>L492*10%</f>
        <v/>
      </c>
      <c r="P491" s="12">
        <f>L492*5%</f>
        <v/>
      </c>
      <c r="Q491" s="12">
        <f>L492*2%</f>
        <v/>
      </c>
      <c r="R491" s="12">
        <f>AC492*0.5%</f>
        <v/>
      </c>
      <c r="S491" s="12">
        <f>L492*1%</f>
        <v/>
      </c>
      <c r="T491" s="60">
        <f>S492+Q492+P492+O492+N492+M492</f>
        <v/>
      </c>
      <c r="U491" s="2">
        <f>AC492*1%</f>
        <v/>
      </c>
      <c r="V491" s="44">
        <f>AC492*5%</f>
        <v/>
      </c>
      <c r="W491" s="2">
        <f>AC492*1%</f>
        <v/>
      </c>
      <c r="X491" s="2">
        <f>AC492*8%</f>
        <v/>
      </c>
      <c r="Y491" s="2">
        <f>U492+V492+W492+X492</f>
        <v/>
      </c>
      <c r="Z491" s="60">
        <f>Y492+T492+L492</f>
        <v/>
      </c>
      <c r="AA491" s="11">
        <f>Z492*20%</f>
        <v/>
      </c>
      <c r="AB491" s="12">
        <f>Z492+AA492</f>
        <v/>
      </c>
      <c r="AC491" s="2">
        <f>D492*2.1</f>
        <v/>
      </c>
      <c r="AD491" s="12">
        <f>AB492-AC492</f>
        <v/>
      </c>
      <c r="AE491" s="12">
        <f>AD492/AB492*100</f>
        <v/>
      </c>
      <c r="AF491" s="92" t="n">
        <v>65500</v>
      </c>
      <c r="AG491" s="62">
        <f>((AF492-L492)/L492)*100</f>
        <v/>
      </c>
      <c r="AH491" s="106">
        <f>AJ492-AF492</f>
        <v/>
      </c>
      <c r="AI491" s="65" t="n">
        <v>79990</v>
      </c>
      <c r="AJ491" s="65" t="n">
        <v>67990</v>
      </c>
      <c r="AK491" s="66">
        <f>(AJ492-L492)/L492*100</f>
        <v/>
      </c>
      <c r="AL491" s="66" t="n"/>
      <c r="AM491" s="14">
        <f>AH492/AJ492%</f>
        <v/>
      </c>
      <c r="AN491" s="67">
        <f>AK492-AG492</f>
        <v/>
      </c>
      <c r="AO491" s="68">
        <f>AJ492/L492</f>
        <v/>
      </c>
      <c r="AP491" s="69">
        <f>(AJ492-AB492)/100</f>
        <v/>
      </c>
      <c r="AQ491" s="70">
        <f>(AJ492-AC492)/100</f>
        <v/>
      </c>
      <c r="AR491" s="71">
        <f>AI492/94</f>
        <v/>
      </c>
      <c r="AS491" s="71">
        <f>AJ492/94</f>
        <v/>
      </c>
      <c r="AT491" s="72">
        <f>AI492/24</f>
        <v/>
      </c>
      <c r="AU491" s="72">
        <f>AJ492/24</f>
        <v/>
      </c>
      <c r="AV491" s="73">
        <f>AI492/125</f>
        <v/>
      </c>
      <c r="AW491" s="73">
        <f>AJ492/125</f>
        <v/>
      </c>
    </row>
    <row r="492" ht="15.75" customHeight="1" s="258">
      <c r="A492" s="2" t="n"/>
      <c r="B492" s="2" t="inlineStr">
        <is>
          <t>Standard-Octave 3 / Matte</t>
        </is>
      </c>
      <c r="C492" s="2" t="inlineStr">
        <is>
          <t>MI-SB-7C Set-S-M</t>
        </is>
      </c>
      <c r="D492" s="118" t="n">
        <v>43000</v>
      </c>
      <c r="E492" s="2" t="n">
        <v>960</v>
      </c>
      <c r="F492" s="2" t="n">
        <v>160</v>
      </c>
      <c r="G492" s="118" t="n">
        <v>83061000</v>
      </c>
      <c r="H492" s="255" t="n">
        <v>0.05</v>
      </c>
      <c r="I492" s="2">
        <f>D493*H493</f>
        <v/>
      </c>
      <c r="K492" s="2" t="n">
        <v>600</v>
      </c>
      <c r="L492" s="4">
        <f>K493+J493+I493+F493+E493+D493</f>
        <v/>
      </c>
      <c r="M492" s="2">
        <f>D493*1%</f>
        <v/>
      </c>
      <c r="N492" s="12">
        <f>L493*8%</f>
        <v/>
      </c>
      <c r="O492" s="12">
        <f>L493*10%</f>
        <v/>
      </c>
      <c r="P492" s="12">
        <f>L493*5%</f>
        <v/>
      </c>
      <c r="Q492" s="12">
        <f>L493*2%</f>
        <v/>
      </c>
      <c r="R492" s="12">
        <f>AC493*0.5%</f>
        <v/>
      </c>
      <c r="S492" s="12">
        <f>L493*1%</f>
        <v/>
      </c>
      <c r="T492" s="60">
        <f>S493+Q493+P493+O493+N493+M493</f>
        <v/>
      </c>
      <c r="U492" s="2">
        <f>AC493*1%</f>
        <v/>
      </c>
      <c r="V492" s="44">
        <f>AC493*5%</f>
        <v/>
      </c>
      <c r="W492" s="2">
        <f>AC493*1%</f>
        <v/>
      </c>
      <c r="X492" s="2">
        <f>AC493*8%</f>
        <v/>
      </c>
      <c r="Y492" s="2">
        <f>U493+V493+W493+X493</f>
        <v/>
      </c>
      <c r="Z492" s="60">
        <f>Y493+T493+L493</f>
        <v/>
      </c>
      <c r="AA492" s="11">
        <f>Z493*20%</f>
        <v/>
      </c>
      <c r="AB492" s="12">
        <f>Z493+AA493</f>
        <v/>
      </c>
      <c r="AC492" s="2">
        <f>D493*2.1</f>
        <v/>
      </c>
      <c r="AD492" s="12">
        <f>AB493-AC493</f>
        <v/>
      </c>
      <c r="AE492" s="12">
        <f>AD493/AB493*100</f>
        <v/>
      </c>
      <c r="AF492" s="92" t="n">
        <v>56500</v>
      </c>
      <c r="AG492" s="62">
        <f>((AF493-L493)/L493)*100</f>
        <v/>
      </c>
      <c r="AH492" s="106">
        <f>AJ493-AF493</f>
        <v/>
      </c>
      <c r="AI492" s="65" t="n">
        <v>69990</v>
      </c>
      <c r="AJ492" s="65" t="n">
        <v>59990</v>
      </c>
      <c r="AK492" s="66">
        <f>(AJ493-L493)/L493*100</f>
        <v/>
      </c>
      <c r="AL492" s="66" t="n"/>
      <c r="AM492" s="14">
        <f>AH493/AJ493%</f>
        <v/>
      </c>
      <c r="AN492" s="67">
        <f>AK493-AG493</f>
        <v/>
      </c>
      <c r="AO492" s="68">
        <f>AJ493/L493</f>
        <v/>
      </c>
      <c r="AP492" s="69">
        <f>(AJ493-AB493)/100</f>
        <v/>
      </c>
      <c r="AQ492" s="70">
        <f>(AJ493-AC493)/100</f>
        <v/>
      </c>
      <c r="AR492" s="71">
        <f>AI493/94</f>
        <v/>
      </c>
      <c r="AS492" s="71">
        <f>AJ493/94</f>
        <v/>
      </c>
      <c r="AT492" s="72">
        <f>AI493/24</f>
        <v/>
      </c>
      <c r="AU492" s="72">
        <f>AJ493/24</f>
        <v/>
      </c>
      <c r="AV492" s="73">
        <f>AI493/125</f>
        <v/>
      </c>
      <c r="AW492" s="73">
        <f>AJ493/125</f>
        <v/>
      </c>
    </row>
    <row r="493" ht="15.75" customHeight="1" s="258">
      <c r="A493" s="2" t="inlineStr">
        <is>
          <t>Handmade Singing Bowls - All Sizes</t>
        </is>
      </c>
      <c r="B493" s="2" t="inlineStr">
        <is>
          <t>Matte / 5 in</t>
        </is>
      </c>
      <c r="C493" s="2" t="inlineStr">
        <is>
          <t>Mi-SB-H-P-5</t>
        </is>
      </c>
      <c r="D493" s="118" t="n">
        <v>3000</v>
      </c>
      <c r="E493" s="2" t="n">
        <v>55</v>
      </c>
      <c r="F493" s="2" t="n">
        <v>85</v>
      </c>
      <c r="G493" s="118" t="n">
        <v>83061000</v>
      </c>
      <c r="H493" s="255" t="n">
        <v>0.05</v>
      </c>
      <c r="I493" s="2">
        <f>D494*H494</f>
        <v/>
      </c>
      <c r="K493" s="2" t="n">
        <v>200</v>
      </c>
      <c r="L493" s="4">
        <f>K494+J494+I494+F494+E494+D494</f>
        <v/>
      </c>
      <c r="M493" s="2">
        <f>D494*1%</f>
        <v/>
      </c>
      <c r="N493" s="12">
        <f>L494*8%</f>
        <v/>
      </c>
      <c r="O493" s="12">
        <f>L494*10%</f>
        <v/>
      </c>
      <c r="P493" s="12">
        <f>L494*5%</f>
        <v/>
      </c>
      <c r="Q493" s="12">
        <f>L494*2%</f>
        <v/>
      </c>
      <c r="R493" s="12">
        <f>AC494*0.5%</f>
        <v/>
      </c>
      <c r="S493" s="12">
        <f>L494*1%</f>
        <v/>
      </c>
      <c r="T493" s="60">
        <f>S494+Q494+P494+O494+N494+M494</f>
        <v/>
      </c>
      <c r="U493" s="2">
        <f>AC494*1%</f>
        <v/>
      </c>
      <c r="V493" s="44">
        <f>AC494*5%</f>
        <v/>
      </c>
      <c r="W493" s="2">
        <f>AC494*1%</f>
        <v/>
      </c>
      <c r="X493" s="2">
        <f>AC494*8%</f>
        <v/>
      </c>
      <c r="Y493" s="2">
        <f>U494+V494+W494+X494</f>
        <v/>
      </c>
      <c r="Z493" s="60">
        <f>Y494+T494+L494</f>
        <v/>
      </c>
      <c r="AA493" s="11">
        <f>Z494*20%</f>
        <v/>
      </c>
      <c r="AB493" s="12">
        <f>Z494+AA494</f>
        <v/>
      </c>
      <c r="AC493" s="2">
        <f>D494*2.1</f>
        <v/>
      </c>
      <c r="AD493" s="12">
        <f>AB494-AC494</f>
        <v/>
      </c>
      <c r="AE493" s="12">
        <f>AD494/AB494*100</f>
        <v/>
      </c>
      <c r="AF493" s="92" t="n">
        <v>5950</v>
      </c>
      <c r="AG493" s="62">
        <f>((AF494-L494)/L494)*100</f>
        <v/>
      </c>
      <c r="AH493" s="106">
        <f>AJ494-AF494</f>
        <v/>
      </c>
      <c r="AI493" s="65" t="n">
        <v>6990</v>
      </c>
      <c r="AJ493" s="65" t="n">
        <v>6490</v>
      </c>
      <c r="AK493" s="66">
        <f>(AJ494-L494)/L494*100</f>
        <v/>
      </c>
      <c r="AL493" s="66" t="n"/>
      <c r="AM493" s="14">
        <f>AH494/AJ494%</f>
        <v/>
      </c>
      <c r="AN493" s="67">
        <f>AK494-AG494</f>
        <v/>
      </c>
      <c r="AO493" s="68">
        <f>AJ494/L494</f>
        <v/>
      </c>
      <c r="AP493" s="69">
        <f>(AJ494-AB494)/100</f>
        <v/>
      </c>
      <c r="AQ493" s="70">
        <f>(AJ494-AC494)/100</f>
        <v/>
      </c>
      <c r="AR493" s="71">
        <f>AI494/94</f>
        <v/>
      </c>
      <c r="AS493" s="71">
        <f>AJ494/94</f>
        <v/>
      </c>
      <c r="AT493" s="72">
        <f>AI494/24</f>
        <v/>
      </c>
      <c r="AU493" s="72">
        <f>AJ494/24</f>
        <v/>
      </c>
      <c r="AV493" s="73">
        <f>AI494/125</f>
        <v/>
      </c>
      <c r="AW493" s="73">
        <f>AJ494/125</f>
        <v/>
      </c>
    </row>
    <row r="494" ht="15" customHeight="1" s="258">
      <c r="A494" s="2" t="n"/>
      <c r="B494" s="2" t="inlineStr">
        <is>
          <t>Matte / 5 in</t>
        </is>
      </c>
      <c r="C494" s="2" t="inlineStr">
        <is>
          <t>Mi-SB-H-M-5</t>
        </is>
      </c>
      <c r="D494" s="118" t="n">
        <v>3000</v>
      </c>
      <c r="E494" s="2" t="n">
        <v>55</v>
      </c>
      <c r="F494" s="2" t="n">
        <v>85</v>
      </c>
      <c r="G494" s="118" t="n">
        <v>83061000</v>
      </c>
      <c r="H494" s="255" t="n">
        <v>0.05</v>
      </c>
      <c r="I494" s="2">
        <f>D495*H495</f>
        <v/>
      </c>
      <c r="K494" s="2" t="n">
        <v>200</v>
      </c>
      <c r="L494" s="4">
        <f>K495+J495+I495+F495+E495+D495</f>
        <v/>
      </c>
      <c r="M494" s="2">
        <f>D495*1%</f>
        <v/>
      </c>
      <c r="N494" s="12">
        <f>L495*8%</f>
        <v/>
      </c>
      <c r="O494" s="12">
        <f>L495*10%</f>
        <v/>
      </c>
      <c r="P494" s="12">
        <f>L495*5%</f>
        <v/>
      </c>
      <c r="Q494" s="12">
        <f>L495*2%</f>
        <v/>
      </c>
      <c r="R494" s="12">
        <f>AC495*0.5%</f>
        <v/>
      </c>
      <c r="S494" s="12">
        <f>L495*1%</f>
        <v/>
      </c>
      <c r="T494" s="60">
        <f>S495+Q495+P495+O495+N495+M495</f>
        <v/>
      </c>
      <c r="U494" s="2">
        <f>AC495*1%</f>
        <v/>
      </c>
      <c r="V494" s="44">
        <f>AC495*5%</f>
        <v/>
      </c>
      <c r="W494" s="2">
        <f>AC495*1%</f>
        <v/>
      </c>
      <c r="X494" s="2">
        <f>AC495*8%</f>
        <v/>
      </c>
      <c r="Y494" s="2">
        <f>U495+V495+W495+X495</f>
        <v/>
      </c>
      <c r="Z494" s="60">
        <f>Y495+T495+L495</f>
        <v/>
      </c>
      <c r="AA494" s="11">
        <f>Z495*20%</f>
        <v/>
      </c>
      <c r="AB494" s="12">
        <f>Z495+AA495</f>
        <v/>
      </c>
      <c r="AC494" s="2">
        <f>D495*2.1</f>
        <v/>
      </c>
      <c r="AD494" s="12">
        <f>AB495-AC495</f>
        <v/>
      </c>
      <c r="AE494" s="12">
        <f>AD495/AB495*100</f>
        <v/>
      </c>
      <c r="AF494" s="92" t="n">
        <v>5950</v>
      </c>
      <c r="AG494" s="62">
        <f>((AF495-L495)/L495)*100</f>
        <v/>
      </c>
      <c r="AH494" s="106">
        <f>AJ495-AF495</f>
        <v/>
      </c>
      <c r="AI494" s="65" t="n">
        <v>6990</v>
      </c>
      <c r="AJ494" s="65" t="n">
        <v>6190</v>
      </c>
      <c r="AK494" s="66">
        <f>(AJ495-L495)/L495*100</f>
        <v/>
      </c>
      <c r="AL494" s="66" t="n"/>
      <c r="AM494" s="14">
        <f>AH495/AJ495%</f>
        <v/>
      </c>
      <c r="AN494" s="67">
        <f>AK495-AG495</f>
        <v/>
      </c>
      <c r="AO494" s="68">
        <f>AJ495/L495</f>
        <v/>
      </c>
      <c r="AP494" s="69">
        <f>(AJ495-AB495)/100</f>
        <v/>
      </c>
      <c r="AQ494" s="70">
        <f>(AJ495-AC495)/100</f>
        <v/>
      </c>
      <c r="AR494" s="71">
        <f>AI495/94</f>
        <v/>
      </c>
      <c r="AS494" s="71">
        <f>AJ495/94</f>
        <v/>
      </c>
      <c r="AT494" s="72">
        <f>AI495/24</f>
        <v/>
      </c>
      <c r="AU494" s="72">
        <f>AJ495/24</f>
        <v/>
      </c>
      <c r="AV494" s="73">
        <f>AI495/125</f>
        <v/>
      </c>
      <c r="AW494" s="73">
        <f>AJ495/125</f>
        <v/>
      </c>
    </row>
    <row r="495" ht="15.75" customHeight="1" s="258">
      <c r="A495" s="2" t="n"/>
      <c r="B495" s="2" t="inlineStr">
        <is>
          <t>Matte / 6 in</t>
        </is>
      </c>
      <c r="C495" s="91" t="inlineStr">
        <is>
          <t>MI-HSBA-M-6</t>
        </is>
      </c>
      <c r="D495" s="118" t="n">
        <v>4000</v>
      </c>
      <c r="E495" s="2" t="n">
        <v>125</v>
      </c>
      <c r="F495" s="2" t="n">
        <v>85</v>
      </c>
      <c r="G495" s="118" t="n">
        <v>83061000</v>
      </c>
      <c r="H495" s="255" t="n">
        <v>0.05</v>
      </c>
      <c r="I495" s="2">
        <f>D496*H496</f>
        <v/>
      </c>
      <c r="K495" s="2" t="n">
        <v>200</v>
      </c>
      <c r="L495" s="4">
        <f>K496+J496+I496+F496+E496+D496</f>
        <v/>
      </c>
      <c r="M495" s="2">
        <f>D496*1%</f>
        <v/>
      </c>
      <c r="N495" s="12">
        <f>L496*8%</f>
        <v/>
      </c>
      <c r="O495" s="12">
        <f>L496*10%</f>
        <v/>
      </c>
      <c r="P495" s="12">
        <f>L496*5%</f>
        <v/>
      </c>
      <c r="Q495" s="12">
        <f>L496*2%</f>
        <v/>
      </c>
      <c r="R495" s="12">
        <f>AC496*0.5%</f>
        <v/>
      </c>
      <c r="S495" s="12">
        <f>L496*1%</f>
        <v/>
      </c>
      <c r="T495" s="60">
        <f>S496+Q496+P496+O496+N496+M496</f>
        <v/>
      </c>
      <c r="U495" s="2">
        <f>AC496*1%</f>
        <v/>
      </c>
      <c r="V495" s="44">
        <f>AC496*5%</f>
        <v/>
      </c>
      <c r="W495" s="2">
        <f>AC496*1%</f>
        <v/>
      </c>
      <c r="X495" s="2">
        <f>AC496*8%</f>
        <v/>
      </c>
      <c r="Y495" s="2">
        <f>U496+V496+W496+X496</f>
        <v/>
      </c>
      <c r="Z495" s="60">
        <f>Y496+T496+L496</f>
        <v/>
      </c>
      <c r="AA495" s="11">
        <f>Z496*20%</f>
        <v/>
      </c>
      <c r="AB495" s="12">
        <f>Z496+AA496</f>
        <v/>
      </c>
      <c r="AC495" s="2">
        <f>D496*2.1</f>
        <v/>
      </c>
      <c r="AD495" s="12">
        <f>AB496-AC496</f>
        <v/>
      </c>
      <c r="AE495" s="12">
        <f>AD496/AB496*100</f>
        <v/>
      </c>
      <c r="AG495" s="62">
        <f>((AF496-L496)/L496)*100</f>
        <v/>
      </c>
      <c r="AH495" s="106">
        <f>AJ496-AF496</f>
        <v/>
      </c>
      <c r="AI495" s="65">
        <f>AB496</f>
        <v/>
      </c>
      <c r="AJ495" s="65" t="n">
        <v>7990</v>
      </c>
      <c r="AK495" s="66">
        <f>(AJ496-L496)/L496*100</f>
        <v/>
      </c>
      <c r="AL495" s="66" t="n"/>
      <c r="AM495" s="14">
        <f>AH496/AJ496%</f>
        <v/>
      </c>
      <c r="AN495" s="67">
        <f>AK496-AG496</f>
        <v/>
      </c>
      <c r="AO495" s="68">
        <f>AJ496/L496</f>
        <v/>
      </c>
      <c r="AP495" s="69">
        <f>(AJ496-AB496)/100</f>
        <v/>
      </c>
      <c r="AQ495" s="70">
        <f>(AJ496-AC496)/100</f>
        <v/>
      </c>
      <c r="AR495" s="71">
        <f>AI496/94</f>
        <v/>
      </c>
      <c r="AS495" s="71">
        <f>AJ496/94</f>
        <v/>
      </c>
      <c r="AT495" s="72">
        <f>AI496/24</f>
        <v/>
      </c>
      <c r="AU495" s="72">
        <f>AJ496/24</f>
        <v/>
      </c>
      <c r="AV495" s="73">
        <f>AI496/125</f>
        <v/>
      </c>
      <c r="AW495" s="73">
        <f>AJ496/125</f>
        <v/>
      </c>
    </row>
    <row r="496" ht="15.75" customHeight="1" s="258">
      <c r="A496" s="2" t="n"/>
      <c r="B496" s="2" t="inlineStr">
        <is>
          <t>Matte / 7 in</t>
        </is>
      </c>
      <c r="C496" s="91" t="inlineStr">
        <is>
          <t>MI-HSBA-M-7</t>
        </is>
      </c>
      <c r="D496" s="118" t="n">
        <v>4800</v>
      </c>
      <c r="E496" s="2" t="n">
        <v>125</v>
      </c>
      <c r="F496" s="2" t="n">
        <v>85</v>
      </c>
      <c r="G496" s="118" t="n">
        <v>83061000</v>
      </c>
      <c r="H496" s="255" t="n">
        <v>0.05</v>
      </c>
      <c r="I496" s="2">
        <f>D497*H497</f>
        <v/>
      </c>
      <c r="K496" s="2" t="n">
        <v>200</v>
      </c>
      <c r="L496" s="4">
        <f>K497+J497+I497+F497+E497+D497</f>
        <v/>
      </c>
      <c r="M496" s="2">
        <f>D497*1%</f>
        <v/>
      </c>
      <c r="N496" s="12">
        <f>L497*8%</f>
        <v/>
      </c>
      <c r="O496" s="12">
        <f>L497*10%</f>
        <v/>
      </c>
      <c r="P496" s="12">
        <f>L497*5%</f>
        <v/>
      </c>
      <c r="Q496" s="12">
        <f>L497*2%</f>
        <v/>
      </c>
      <c r="R496" s="12">
        <f>AC497*0.5%</f>
        <v/>
      </c>
      <c r="S496" s="12">
        <f>L497*1%</f>
        <v/>
      </c>
      <c r="T496" s="60">
        <f>S497+Q497+P497+O497+N497+M497</f>
        <v/>
      </c>
      <c r="U496" s="2">
        <f>AC497*1%</f>
        <v/>
      </c>
      <c r="V496" s="44">
        <f>AC497*5%</f>
        <v/>
      </c>
      <c r="W496" s="2">
        <f>AC497*1%</f>
        <v/>
      </c>
      <c r="X496" s="2">
        <f>AC497*8%</f>
        <v/>
      </c>
      <c r="Y496" s="2">
        <f>U497+V497+W497+X497</f>
        <v/>
      </c>
      <c r="Z496" s="60">
        <f>Y497+T497+L497</f>
        <v/>
      </c>
      <c r="AA496" s="11">
        <f>Z497*20%</f>
        <v/>
      </c>
      <c r="AB496" s="12">
        <f>Z497+AA497</f>
        <v/>
      </c>
      <c r="AC496" s="2">
        <f>D497*2.1</f>
        <v/>
      </c>
      <c r="AD496" s="12">
        <f>AB497-AC497</f>
        <v/>
      </c>
      <c r="AE496" s="12">
        <f>AD497/AB497*100</f>
        <v/>
      </c>
      <c r="AG496" s="62">
        <f>((AF497-L497)/L497)*100</f>
        <v/>
      </c>
      <c r="AH496" s="106">
        <f>AJ497-AF497</f>
        <v/>
      </c>
      <c r="AI496" s="65">
        <f>AB497</f>
        <v/>
      </c>
      <c r="AJ496" s="65" t="n">
        <v>8990</v>
      </c>
      <c r="AK496" s="66">
        <f>(AJ497-L497)/L497*100</f>
        <v/>
      </c>
      <c r="AL496" s="66" t="n"/>
      <c r="AM496" s="14">
        <f>AH497/AJ497%</f>
        <v/>
      </c>
      <c r="AN496" s="67">
        <f>AK497-AG497</f>
        <v/>
      </c>
      <c r="AO496" s="68">
        <f>AJ497/L497</f>
        <v/>
      </c>
      <c r="AP496" s="69">
        <f>(AJ497-AB497)/100</f>
        <v/>
      </c>
      <c r="AQ496" s="70">
        <f>(AJ497-AC497)/100</f>
        <v/>
      </c>
      <c r="AR496" s="71">
        <f>AI497/94</f>
        <v/>
      </c>
      <c r="AS496" s="71">
        <f>AJ497/94</f>
        <v/>
      </c>
      <c r="AT496" s="72">
        <f>AI497/24</f>
        <v/>
      </c>
      <c r="AU496" s="72">
        <f>AJ497/24</f>
        <v/>
      </c>
      <c r="AV496" s="73">
        <f>AI497/125</f>
        <v/>
      </c>
      <c r="AW496" s="73">
        <f>AJ497/125</f>
        <v/>
      </c>
    </row>
    <row r="497" ht="15.75" customHeight="1" s="258">
      <c r="A497" s="2" t="n"/>
      <c r="B497" s="2" t="inlineStr">
        <is>
          <t>Matte / 8in</t>
        </is>
      </c>
      <c r="C497" s="2" t="inlineStr">
        <is>
          <t>Mi-SB-H-M-8</t>
        </is>
      </c>
      <c r="D497" s="118" t="n">
        <v>7600</v>
      </c>
      <c r="E497" s="2" t="n">
        <v>145</v>
      </c>
      <c r="F497" s="2" t="n">
        <v>125</v>
      </c>
      <c r="G497" s="118" t="n">
        <v>83061000</v>
      </c>
      <c r="H497" s="255" t="n">
        <v>0.05</v>
      </c>
      <c r="I497" s="2">
        <f>D498*H498</f>
        <v/>
      </c>
      <c r="K497" s="2" t="n">
        <v>200</v>
      </c>
      <c r="L497" s="4">
        <f>K498+J498+I498+F498+E498+D498</f>
        <v/>
      </c>
      <c r="M497" s="2">
        <f>D498*1%</f>
        <v/>
      </c>
      <c r="N497" s="12">
        <f>L498*8%</f>
        <v/>
      </c>
      <c r="O497" s="12">
        <f>L498*10%</f>
        <v/>
      </c>
      <c r="P497" s="12">
        <f>L498*5%</f>
        <v/>
      </c>
      <c r="Q497" s="12">
        <f>L498*2%</f>
        <v/>
      </c>
      <c r="R497" s="12">
        <f>AC498*0.5%</f>
        <v/>
      </c>
      <c r="S497" s="12">
        <f>L498*1%</f>
        <v/>
      </c>
      <c r="T497" s="60">
        <f>S498+Q498+P498+O498+N498+M498</f>
        <v/>
      </c>
      <c r="U497" s="2">
        <f>AC498*1%</f>
        <v/>
      </c>
      <c r="V497" s="44">
        <f>AC498*5%</f>
        <v/>
      </c>
      <c r="W497" s="2">
        <f>AC498*1%</f>
        <v/>
      </c>
      <c r="X497" s="2">
        <f>AC498*8%</f>
        <v/>
      </c>
      <c r="Y497" s="2">
        <f>U498+V498+W498+X498</f>
        <v/>
      </c>
      <c r="Z497" s="60">
        <f>Y498+T498+L498</f>
        <v/>
      </c>
      <c r="AA497" s="11">
        <f>Z498*20%</f>
        <v/>
      </c>
      <c r="AB497" s="12">
        <f>Z498+AA498</f>
        <v/>
      </c>
      <c r="AC497" s="2">
        <f>D498*2.1</f>
        <v/>
      </c>
      <c r="AD497" s="12">
        <f>AB498-AC498</f>
        <v/>
      </c>
      <c r="AE497" s="12">
        <f>AD498/AB498*100</f>
        <v/>
      </c>
      <c r="AF497" s="92" t="n">
        <v>8250</v>
      </c>
      <c r="AG497" s="62">
        <f>((AF498-L498)/L498)*100</f>
        <v/>
      </c>
      <c r="AH497" s="106">
        <f>AJ498-AF498</f>
        <v/>
      </c>
      <c r="AI497" s="65" t="n">
        <v>9990</v>
      </c>
      <c r="AJ497" s="65" t="n">
        <v>8990</v>
      </c>
      <c r="AK497" s="66">
        <f>(AJ498-L498)/L498*100</f>
        <v/>
      </c>
      <c r="AL497" s="66" t="n"/>
      <c r="AM497" s="14">
        <f>AH498/AJ498%</f>
        <v/>
      </c>
      <c r="AN497" s="67">
        <f>AK498-AG498</f>
        <v/>
      </c>
      <c r="AO497" s="68">
        <f>AJ498/L498</f>
        <v/>
      </c>
      <c r="AP497" s="69">
        <f>(AJ498-AB498)/100</f>
        <v/>
      </c>
      <c r="AQ497" s="70">
        <f>(AJ498-AC498)/100</f>
        <v/>
      </c>
      <c r="AR497" s="71">
        <f>AI498/94</f>
        <v/>
      </c>
      <c r="AS497" s="71">
        <f>AJ498/94</f>
        <v/>
      </c>
      <c r="AT497" s="72">
        <f>AI498/24</f>
        <v/>
      </c>
      <c r="AU497" s="72">
        <f>AJ498/24</f>
        <v/>
      </c>
      <c r="AV497" s="73">
        <f>AI498/125</f>
        <v/>
      </c>
      <c r="AW497" s="73">
        <f>AJ498/125</f>
        <v/>
      </c>
    </row>
    <row r="498" ht="15.75" customHeight="1" s="258">
      <c r="A498" s="2" t="n"/>
      <c r="B498" s="2" t="inlineStr">
        <is>
          <t>Matte / 9 in</t>
        </is>
      </c>
      <c r="C498" s="2" t="inlineStr">
        <is>
          <t>Mi-SB-H-M-9</t>
        </is>
      </c>
      <c r="D498" s="118" t="n">
        <v>8400</v>
      </c>
      <c r="E498" s="2" t="n">
        <v>145</v>
      </c>
      <c r="F498" s="2" t="n">
        <v>125</v>
      </c>
      <c r="G498" s="118" t="n">
        <v>83061000</v>
      </c>
      <c r="H498" s="255" t="n">
        <v>0.05</v>
      </c>
      <c r="I498" s="2">
        <f>D499*H499</f>
        <v/>
      </c>
      <c r="K498" s="2" t="n">
        <v>200</v>
      </c>
      <c r="L498" s="4">
        <f>K499+J499+I499+F499+E499+D499</f>
        <v/>
      </c>
      <c r="M498" s="2">
        <f>D499*1%</f>
        <v/>
      </c>
      <c r="N498" s="12">
        <f>L499*8%</f>
        <v/>
      </c>
      <c r="O498" s="12">
        <f>L499*10%</f>
        <v/>
      </c>
      <c r="P498" s="12">
        <f>L499*5%</f>
        <v/>
      </c>
      <c r="Q498" s="12">
        <f>L499*2%</f>
        <v/>
      </c>
      <c r="R498" s="12">
        <f>AC499*0.5%</f>
        <v/>
      </c>
      <c r="S498" s="12">
        <f>L499*1%</f>
        <v/>
      </c>
      <c r="T498" s="60">
        <f>S499+Q499+P499+O499+N499+M499</f>
        <v/>
      </c>
      <c r="U498" s="2">
        <f>AC499*1%</f>
        <v/>
      </c>
      <c r="V498" s="44">
        <f>AC499*5%</f>
        <v/>
      </c>
      <c r="W498" s="2">
        <f>AC499*1%</f>
        <v/>
      </c>
      <c r="X498" s="2">
        <f>AC499*8%</f>
        <v/>
      </c>
      <c r="Y498" s="2">
        <f>U499+V499+W499+X499</f>
        <v/>
      </c>
      <c r="Z498" s="60">
        <f>Y499+T499+L499</f>
        <v/>
      </c>
      <c r="AA498" s="11">
        <f>Z499*20%</f>
        <v/>
      </c>
      <c r="AB498" s="12">
        <f>Z499+AA499</f>
        <v/>
      </c>
      <c r="AC498" s="2">
        <f>D499*2.1</f>
        <v/>
      </c>
      <c r="AD498" s="12">
        <f>AB499-AC499</f>
        <v/>
      </c>
      <c r="AE498" s="12">
        <f>AD499/AB499*100</f>
        <v/>
      </c>
      <c r="AF498" s="92" t="n">
        <v>9350</v>
      </c>
      <c r="AG498" s="62">
        <f>((AF499-L499)/L499)*100</f>
        <v/>
      </c>
      <c r="AH498" s="106">
        <f>AJ499-AF499</f>
        <v/>
      </c>
      <c r="AI498" s="65" t="n">
        <v>10990</v>
      </c>
      <c r="AJ498" s="65" t="n">
        <v>9990</v>
      </c>
      <c r="AK498" s="66">
        <f>(AJ499-L499)/L499*100</f>
        <v/>
      </c>
      <c r="AL498" s="66" t="n"/>
      <c r="AM498" s="14">
        <f>AH499/AJ499%</f>
        <v/>
      </c>
      <c r="AN498" s="67">
        <f>AK499-AG499</f>
        <v/>
      </c>
      <c r="AO498" s="68">
        <f>AJ499/L499</f>
        <v/>
      </c>
      <c r="AP498" s="69">
        <f>(AJ499-AB499)/100</f>
        <v/>
      </c>
      <c r="AQ498" s="70">
        <f>(AJ499-AC499)/100</f>
        <v/>
      </c>
      <c r="AR498" s="71">
        <f>AI499/94</f>
        <v/>
      </c>
      <c r="AS498" s="71">
        <f>AJ499/94</f>
        <v/>
      </c>
      <c r="AT498" s="72">
        <f>AI499/24</f>
        <v/>
      </c>
      <c r="AU498" s="72">
        <f>AJ499/24</f>
        <v/>
      </c>
      <c r="AV498" s="73">
        <f>AI499/125</f>
        <v/>
      </c>
      <c r="AW498" s="73">
        <f>AJ499/125</f>
        <v/>
      </c>
    </row>
    <row r="499" ht="15.75" customHeight="1" s="258">
      <c r="A499" s="2" t="n"/>
      <c r="B499" s="2" t="inlineStr">
        <is>
          <t>Matte / 10 in</t>
        </is>
      </c>
      <c r="C499" s="2" t="inlineStr">
        <is>
          <t>Mi-SB-H-M-10</t>
        </is>
      </c>
      <c r="D499" s="118" t="n">
        <v>9600</v>
      </c>
      <c r="E499" s="2" t="n">
        <v>145</v>
      </c>
      <c r="F499" s="2" t="n">
        <v>145</v>
      </c>
      <c r="G499" s="118" t="n">
        <v>83061000</v>
      </c>
      <c r="H499" s="255" t="n">
        <v>0.05</v>
      </c>
      <c r="I499" s="2">
        <f>D500*H500</f>
        <v/>
      </c>
      <c r="K499" s="2" t="n">
        <v>200</v>
      </c>
      <c r="L499" s="4">
        <f>K500+J500+I500+F500+E500+D500</f>
        <v/>
      </c>
      <c r="M499" s="2">
        <f>D500*1%</f>
        <v/>
      </c>
      <c r="N499" s="12">
        <f>L500*8%</f>
        <v/>
      </c>
      <c r="O499" s="12">
        <f>L500*10%</f>
        <v/>
      </c>
      <c r="P499" s="12">
        <f>L500*5%</f>
        <v/>
      </c>
      <c r="Q499" s="12">
        <f>L500*2%</f>
        <v/>
      </c>
      <c r="R499" s="12">
        <f>AC500*0.5%</f>
        <v/>
      </c>
      <c r="S499" s="12">
        <f>L500*1%</f>
        <v/>
      </c>
      <c r="T499" s="60">
        <f>S500+Q500+P500+O500+N500+M500</f>
        <v/>
      </c>
      <c r="U499" s="2">
        <f>AC500*1%</f>
        <v/>
      </c>
      <c r="V499" s="44">
        <f>AC500*5%</f>
        <v/>
      </c>
      <c r="W499" s="2">
        <f>AC500*1%</f>
        <v/>
      </c>
      <c r="X499" s="2">
        <f>AC500*8%</f>
        <v/>
      </c>
      <c r="Y499" s="2">
        <f>U500+V500+W500+X500</f>
        <v/>
      </c>
      <c r="Z499" s="60">
        <f>Y500+T500+L500</f>
        <v/>
      </c>
      <c r="AA499" s="11">
        <f>Z500*20%</f>
        <v/>
      </c>
      <c r="AB499" s="12">
        <f>Z500+AA500</f>
        <v/>
      </c>
      <c r="AC499" s="2">
        <f>D500*2.1</f>
        <v/>
      </c>
      <c r="AD499" s="12">
        <f>AB500-AC500</f>
        <v/>
      </c>
      <c r="AE499" s="12">
        <f>AD500/AB500*100</f>
        <v/>
      </c>
      <c r="AF499" s="92" t="n">
        <v>10750</v>
      </c>
      <c r="AG499" s="62">
        <f>((AF500-L500)/L500)*100</f>
        <v/>
      </c>
      <c r="AH499" s="106">
        <f>AJ500-AF500</f>
        <v/>
      </c>
      <c r="AI499" s="65" t="n">
        <v>13990</v>
      </c>
      <c r="AJ499" s="65" t="n">
        <v>11990</v>
      </c>
      <c r="AK499" s="66">
        <f>(AJ500-L500)/L500*100</f>
        <v/>
      </c>
      <c r="AL499" s="66" t="n"/>
      <c r="AM499" s="14">
        <f>AH500/AJ500%</f>
        <v/>
      </c>
      <c r="AN499" s="67">
        <f>AK500-AG500</f>
        <v/>
      </c>
      <c r="AO499" s="68">
        <f>AJ500/L500</f>
        <v/>
      </c>
      <c r="AP499" s="69">
        <f>(AJ500-AB500)/100</f>
        <v/>
      </c>
      <c r="AQ499" s="70">
        <f>(AJ500-AC500)/100</f>
        <v/>
      </c>
      <c r="AR499" s="71">
        <f>AI500/94</f>
        <v/>
      </c>
      <c r="AS499" s="71">
        <f>AJ500/94</f>
        <v/>
      </c>
      <c r="AT499" s="72">
        <f>AI500/24</f>
        <v/>
      </c>
      <c r="AU499" s="72">
        <f>AJ500/24</f>
        <v/>
      </c>
      <c r="AV499" s="73">
        <f>AI500/125</f>
        <v/>
      </c>
      <c r="AW499" s="73">
        <f>AJ500/125</f>
        <v/>
      </c>
    </row>
    <row r="500" ht="15.75" customHeight="1" s="258">
      <c r="A500" s="2" t="n"/>
      <c r="B500" s="2" t="inlineStr">
        <is>
          <t>Matte / 11 in</t>
        </is>
      </c>
      <c r="C500" s="2" t="inlineStr">
        <is>
          <t>Mi-SB-H-M-11</t>
        </is>
      </c>
      <c r="D500" s="118" t="n">
        <v>10200</v>
      </c>
      <c r="E500" s="2" t="n">
        <v>145</v>
      </c>
      <c r="F500" s="2" t="n">
        <v>145</v>
      </c>
      <c r="G500" s="118" t="n">
        <v>83061000</v>
      </c>
      <c r="H500" s="255" t="n">
        <v>0.05</v>
      </c>
      <c r="I500" s="2">
        <f>D501*H501</f>
        <v/>
      </c>
      <c r="K500" s="2" t="n">
        <v>200</v>
      </c>
      <c r="L500" s="4">
        <f>K501+J501+I501+F501+E501+D501</f>
        <v/>
      </c>
      <c r="M500" s="2">
        <f>D501*1%</f>
        <v/>
      </c>
      <c r="N500" s="12">
        <f>L501*8%</f>
        <v/>
      </c>
      <c r="O500" s="12">
        <f>L501*10%</f>
        <v/>
      </c>
      <c r="P500" s="12">
        <f>L501*5%</f>
        <v/>
      </c>
      <c r="Q500" s="12">
        <f>L501*2%</f>
        <v/>
      </c>
      <c r="R500" s="12">
        <f>AC501*0.5%</f>
        <v/>
      </c>
      <c r="S500" s="12">
        <f>L501*1%</f>
        <v/>
      </c>
      <c r="T500" s="60">
        <f>S501+Q501+P501+O501+N501+M501</f>
        <v/>
      </c>
      <c r="U500" s="2">
        <f>AC501*1%</f>
        <v/>
      </c>
      <c r="V500" s="44">
        <f>AC501*5%</f>
        <v/>
      </c>
      <c r="W500" s="2">
        <f>AC501*1%</f>
        <v/>
      </c>
      <c r="X500" s="2">
        <f>AC501*8%</f>
        <v/>
      </c>
      <c r="Y500" s="2">
        <f>U501+V501+W501+X501</f>
        <v/>
      </c>
      <c r="Z500" s="60">
        <f>Y501+T501+L501</f>
        <v/>
      </c>
      <c r="AA500" s="11">
        <f>Z501*20%</f>
        <v/>
      </c>
      <c r="AB500" s="12">
        <f>Z501+AA501</f>
        <v/>
      </c>
      <c r="AC500" s="2">
        <f>D501*2.1</f>
        <v/>
      </c>
      <c r="AD500" s="12">
        <f>AB501-AC501</f>
        <v/>
      </c>
      <c r="AE500" s="12">
        <f>AD501/AB501*100</f>
        <v/>
      </c>
      <c r="AF500" s="92" t="n">
        <v>11950</v>
      </c>
      <c r="AG500" s="62">
        <f>((AF501-L501)/L501)*100</f>
        <v/>
      </c>
      <c r="AH500" s="106">
        <f>AJ501-AF501</f>
        <v/>
      </c>
      <c r="AI500" s="65" t="n">
        <v>14990</v>
      </c>
      <c r="AJ500" s="65" t="n">
        <v>12990</v>
      </c>
      <c r="AK500" s="66">
        <f>(AJ501-L501)/L501*100</f>
        <v/>
      </c>
      <c r="AL500" s="66" t="n"/>
      <c r="AM500" s="14">
        <f>AH501/AJ501%</f>
        <v/>
      </c>
      <c r="AN500" s="67">
        <f>AK501-AG501</f>
        <v/>
      </c>
      <c r="AO500" s="68">
        <f>AJ501/L501</f>
        <v/>
      </c>
      <c r="AP500" s="69">
        <f>(AJ501-AB501)/100</f>
        <v/>
      </c>
      <c r="AQ500" s="70">
        <f>(AJ501-AC501)/100</f>
        <v/>
      </c>
      <c r="AR500" s="71">
        <f>AI501/94</f>
        <v/>
      </c>
      <c r="AS500" s="71">
        <f>AJ501/94</f>
        <v/>
      </c>
      <c r="AT500" s="72">
        <f>AI501/24</f>
        <v/>
      </c>
      <c r="AU500" s="72">
        <f>AJ501/24</f>
        <v/>
      </c>
      <c r="AV500" s="73">
        <f>AI501/125</f>
        <v/>
      </c>
      <c r="AW500" s="73">
        <f>AJ501/125</f>
        <v/>
      </c>
    </row>
    <row r="501" ht="15.75" customHeight="1" s="258">
      <c r="A501" s="2" t="n"/>
      <c r="B501" s="2" t="inlineStr">
        <is>
          <t>Matte / 12 in</t>
        </is>
      </c>
      <c r="C501" s="91" t="inlineStr">
        <is>
          <t>Mi-SB-H-M-12</t>
        </is>
      </c>
      <c r="D501" s="118" t="n">
        <v>10800</v>
      </c>
      <c r="E501" s="2" t="n">
        <v>145</v>
      </c>
      <c r="F501" s="2" t="n">
        <v>145</v>
      </c>
      <c r="G501" s="118" t="n">
        <v>83061000</v>
      </c>
      <c r="H501" s="255" t="n">
        <v>0.05</v>
      </c>
      <c r="I501" s="2">
        <f>D502*H502</f>
        <v/>
      </c>
      <c r="K501" s="2" t="n">
        <v>200</v>
      </c>
      <c r="L501" s="4">
        <f>K502+J502+I502+F502+E502+D502</f>
        <v/>
      </c>
      <c r="M501" s="2">
        <f>D502*1%</f>
        <v/>
      </c>
      <c r="N501" s="12">
        <f>L502*8%</f>
        <v/>
      </c>
      <c r="O501" s="12">
        <f>L502*10%</f>
        <v/>
      </c>
      <c r="P501" s="12">
        <f>L502*5%</f>
        <v/>
      </c>
      <c r="Q501" s="12">
        <f>L502*2%</f>
        <v/>
      </c>
      <c r="R501" s="12">
        <f>AC502*0.5%</f>
        <v/>
      </c>
      <c r="S501" s="12">
        <f>L502*1%</f>
        <v/>
      </c>
      <c r="T501" s="60">
        <f>S502+Q502+P502+O502+N502+M502</f>
        <v/>
      </c>
      <c r="U501" s="2">
        <f>AC502*1%</f>
        <v/>
      </c>
      <c r="V501" s="44">
        <f>AC502*5%</f>
        <v/>
      </c>
      <c r="W501" s="2">
        <f>AC502*1%</f>
        <v/>
      </c>
      <c r="X501" s="2">
        <f>AC502*8%</f>
        <v/>
      </c>
      <c r="Y501" s="2">
        <f>U502+V502+W502+X502</f>
        <v/>
      </c>
      <c r="Z501" s="60">
        <f>Y502+T502+L502</f>
        <v/>
      </c>
      <c r="AA501" s="11">
        <f>Z502*20%</f>
        <v/>
      </c>
      <c r="AB501" s="12">
        <f>Z502+AA502</f>
        <v/>
      </c>
      <c r="AC501" s="2">
        <f>D502*2.1</f>
        <v/>
      </c>
      <c r="AD501" s="12">
        <f>AB502-AC502</f>
        <v/>
      </c>
      <c r="AE501" s="12">
        <f>AD502/AB502*100</f>
        <v/>
      </c>
      <c r="AG501" s="62">
        <f>((AF502-L502)/L502)*100</f>
        <v/>
      </c>
      <c r="AH501" s="106">
        <f>AJ502-AF502</f>
        <v/>
      </c>
      <c r="AI501" s="65">
        <f>AB502</f>
        <v/>
      </c>
      <c r="AJ501" s="65" t="n">
        <v>19990</v>
      </c>
      <c r="AK501" s="66">
        <f>(AJ502-L502)/L502*100</f>
        <v/>
      </c>
      <c r="AL501" s="66" t="n"/>
      <c r="AM501" s="14">
        <f>AH502/AJ502%</f>
        <v/>
      </c>
      <c r="AN501" s="67">
        <f>AK502-AG502</f>
        <v/>
      </c>
      <c r="AO501" s="68">
        <f>AJ502/L502</f>
        <v/>
      </c>
      <c r="AP501" s="69">
        <f>(AJ502-AB502)/100</f>
        <v/>
      </c>
      <c r="AQ501" s="70">
        <f>(AJ502-AC502)/100</f>
        <v/>
      </c>
      <c r="AR501" s="71">
        <f>AI502/94</f>
        <v/>
      </c>
      <c r="AS501" s="71">
        <f>AJ502/94</f>
        <v/>
      </c>
      <c r="AT501" s="72">
        <f>AI502/24</f>
        <v/>
      </c>
      <c r="AU501" s="72">
        <f>AJ502/24</f>
        <v/>
      </c>
      <c r="AV501" s="73">
        <f>AI502/125</f>
        <v/>
      </c>
      <c r="AW501" s="73">
        <f>AJ502/125</f>
        <v/>
      </c>
    </row>
    <row r="502" ht="15.75" customHeight="1" s="258">
      <c r="A502" s="2" t="n"/>
      <c r="B502" s="2" t="inlineStr">
        <is>
          <t>Matte / 13in</t>
        </is>
      </c>
      <c r="C502" s="91" t="inlineStr">
        <is>
          <t>Mi-SB-H-M-13</t>
        </is>
      </c>
      <c r="D502" s="118" t="n">
        <v>12500</v>
      </c>
      <c r="E502" s="2" t="n">
        <v>145</v>
      </c>
      <c r="F502" s="2" t="n">
        <v>145</v>
      </c>
      <c r="G502" s="118" t="n">
        <v>83061000</v>
      </c>
      <c r="H502" s="255" t="n">
        <v>0.05</v>
      </c>
      <c r="I502" s="2">
        <f>D503*H503</f>
        <v/>
      </c>
      <c r="K502" s="2" t="n">
        <v>200</v>
      </c>
      <c r="L502" s="4">
        <f>K503+J503+I503+F503+E503+D503</f>
        <v/>
      </c>
      <c r="M502" s="2">
        <f>D503*1%</f>
        <v/>
      </c>
      <c r="N502" s="12">
        <f>L503*8%</f>
        <v/>
      </c>
      <c r="O502" s="12">
        <f>L503*10%</f>
        <v/>
      </c>
      <c r="P502" s="12">
        <f>L503*5%</f>
        <v/>
      </c>
      <c r="Q502" s="12">
        <f>L503*2%</f>
        <v/>
      </c>
      <c r="R502" s="12">
        <f>AC503*0.5%</f>
        <v/>
      </c>
      <c r="S502" s="12">
        <f>L503*1%</f>
        <v/>
      </c>
      <c r="T502" s="60">
        <f>S503+Q503+P503+O503+N503+M503</f>
        <v/>
      </c>
      <c r="U502" s="2">
        <f>AC503*1%</f>
        <v/>
      </c>
      <c r="V502" s="44">
        <f>AC503*5%</f>
        <v/>
      </c>
      <c r="W502" s="2">
        <f>AC503*1%</f>
        <v/>
      </c>
      <c r="X502" s="2">
        <f>AC503*8%</f>
        <v/>
      </c>
      <c r="Y502" s="2">
        <f>U503+V503+W503+X503</f>
        <v/>
      </c>
      <c r="Z502" s="60">
        <f>Y503+T503+L503</f>
        <v/>
      </c>
      <c r="AA502" s="11">
        <f>Z503*20%</f>
        <v/>
      </c>
      <c r="AB502" s="12">
        <f>Z503+AA503</f>
        <v/>
      </c>
      <c r="AC502" s="2">
        <f>D503*2.1</f>
        <v/>
      </c>
      <c r="AD502" s="12">
        <f>AB503-AC503</f>
        <v/>
      </c>
      <c r="AE502" s="12">
        <f>AD503/AB503*100</f>
        <v/>
      </c>
      <c r="AG502" s="62">
        <f>((AF503-L503)/L503)*100</f>
        <v/>
      </c>
      <c r="AH502" s="106">
        <f>AJ503-AF503</f>
        <v/>
      </c>
      <c r="AI502" s="65">
        <f>AB503</f>
        <v/>
      </c>
      <c r="AJ502" s="65" t="n">
        <v>24990</v>
      </c>
      <c r="AK502" s="66">
        <f>(AJ503-L503)/L503*100</f>
        <v/>
      </c>
      <c r="AL502" s="66" t="n"/>
      <c r="AM502" s="14">
        <f>AH503/AJ503%</f>
        <v/>
      </c>
      <c r="AN502" s="67">
        <f>AK503-AG503</f>
        <v/>
      </c>
      <c r="AO502" s="68">
        <f>AJ503/L503</f>
        <v/>
      </c>
      <c r="AP502" s="69">
        <f>(AJ503-AB503)/100</f>
        <v/>
      </c>
      <c r="AQ502" s="70">
        <f>(AJ503-AC503)/100</f>
        <v/>
      </c>
      <c r="AR502" s="71">
        <f>AI503/94</f>
        <v/>
      </c>
      <c r="AS502" s="71">
        <f>AJ503/94</f>
        <v/>
      </c>
      <c r="AT502" s="72">
        <f>AI503/24</f>
        <v/>
      </c>
      <c r="AU502" s="72">
        <f>AJ503/24</f>
        <v/>
      </c>
      <c r="AV502" s="73">
        <f>AI503/125</f>
        <v/>
      </c>
      <c r="AW502" s="73">
        <f>AJ503/125</f>
        <v/>
      </c>
    </row>
    <row r="503" ht="15.75" customHeight="1" s="258">
      <c r="A503" s="2" t="n"/>
      <c r="B503" s="2" t="inlineStr">
        <is>
          <t>6 in / Polished</t>
        </is>
      </c>
      <c r="C503" s="2" t="inlineStr">
        <is>
          <t>Mi-SB-H-P-6</t>
        </is>
      </c>
      <c r="D503" s="118" t="n">
        <v>4000</v>
      </c>
      <c r="E503" s="2" t="n">
        <v>125</v>
      </c>
      <c r="F503" s="2" t="n">
        <v>85</v>
      </c>
      <c r="G503" s="118" t="n">
        <v>83061000</v>
      </c>
      <c r="H503" s="255" t="n">
        <v>0.05</v>
      </c>
      <c r="I503" s="2">
        <f>D504*H504</f>
        <v/>
      </c>
      <c r="K503" s="2" t="n">
        <v>200</v>
      </c>
      <c r="L503" s="4">
        <f>K504+J504+I504+F504+E504+D504</f>
        <v/>
      </c>
      <c r="M503" s="2">
        <f>D504*1%</f>
        <v/>
      </c>
      <c r="N503" s="12">
        <f>L504*8%</f>
        <v/>
      </c>
      <c r="O503" s="12">
        <f>L504*10%</f>
        <v/>
      </c>
      <c r="P503" s="12">
        <f>L504*5%</f>
        <v/>
      </c>
      <c r="Q503" s="12">
        <f>L504*2%</f>
        <v/>
      </c>
      <c r="R503" s="12">
        <f>AC504*0.5%</f>
        <v/>
      </c>
      <c r="S503" s="12">
        <f>L504*1%</f>
        <v/>
      </c>
      <c r="T503" s="60">
        <f>S504+Q504+P504+O504+N504+M504</f>
        <v/>
      </c>
      <c r="U503" s="2">
        <f>AC504*1%</f>
        <v/>
      </c>
      <c r="V503" s="44">
        <f>AC504*5%</f>
        <v/>
      </c>
      <c r="W503" s="2">
        <f>AC504*1%</f>
        <v/>
      </c>
      <c r="X503" s="2">
        <f>AC504*8%</f>
        <v/>
      </c>
      <c r="Y503" s="2">
        <f>U504+V504+W504+X504</f>
        <v/>
      </c>
      <c r="Z503" s="60">
        <f>Y504+T504+L504</f>
        <v/>
      </c>
      <c r="AA503" s="11">
        <f>Z504*20%</f>
        <v/>
      </c>
      <c r="AB503" s="12">
        <f>Z504+AA504</f>
        <v/>
      </c>
      <c r="AC503" s="2">
        <f>D504*2.1</f>
        <v/>
      </c>
      <c r="AD503" s="12">
        <f>AB504-AC504</f>
        <v/>
      </c>
      <c r="AE503" s="12">
        <f>AD504/AB504*100</f>
        <v/>
      </c>
      <c r="AF503" s="92" t="n">
        <v>6650</v>
      </c>
      <c r="AG503" s="62">
        <f>((AF504-L504)/L504)*100</f>
        <v/>
      </c>
      <c r="AH503" s="106">
        <f>AJ504-AF504</f>
        <v/>
      </c>
      <c r="AI503" s="65" t="n">
        <v>7990</v>
      </c>
      <c r="AJ503" s="65" t="n">
        <v>6990</v>
      </c>
      <c r="AK503" s="66">
        <f>(AJ504-L504)/L504*100</f>
        <v/>
      </c>
      <c r="AL503" s="66" t="n"/>
      <c r="AM503" s="14">
        <f>AH504/AJ504%</f>
        <v/>
      </c>
      <c r="AN503" s="67">
        <f>AK504-AG504</f>
        <v/>
      </c>
      <c r="AO503" s="68">
        <f>AJ504/L504</f>
        <v/>
      </c>
      <c r="AP503" s="69">
        <f>(AJ504-AB504)/100</f>
        <v/>
      </c>
      <c r="AQ503" s="70">
        <f>(AJ504-AC504)/100</f>
        <v/>
      </c>
      <c r="AR503" s="71">
        <f>AI504/94</f>
        <v/>
      </c>
      <c r="AS503" s="71">
        <f>AJ504/94</f>
        <v/>
      </c>
      <c r="AT503" s="72">
        <f>AI504/24</f>
        <v/>
      </c>
      <c r="AU503" s="72">
        <f>AJ504/24</f>
        <v/>
      </c>
      <c r="AV503" s="73">
        <f>AI504/125</f>
        <v/>
      </c>
      <c r="AW503" s="73">
        <f>AJ504/125</f>
        <v/>
      </c>
    </row>
    <row r="504" ht="15.75" customHeight="1" s="258">
      <c r="A504" s="2" t="n"/>
      <c r="B504" s="2" t="inlineStr">
        <is>
          <t>7 in / Polished</t>
        </is>
      </c>
      <c r="C504" s="2" t="inlineStr">
        <is>
          <t>Mi-SB-H-P-7</t>
        </is>
      </c>
      <c r="D504" s="118" t="n">
        <v>4800</v>
      </c>
      <c r="E504" s="2" t="n">
        <v>125</v>
      </c>
      <c r="F504" s="2" t="n">
        <v>85</v>
      </c>
      <c r="G504" s="118" t="n">
        <v>83061000</v>
      </c>
      <c r="H504" s="255" t="n">
        <v>0.05</v>
      </c>
      <c r="I504" s="2">
        <f>D505*H505</f>
        <v/>
      </c>
      <c r="K504" s="2" t="n">
        <v>200</v>
      </c>
      <c r="L504" s="4">
        <f>K505+J505+I505+F505+E505+D505</f>
        <v/>
      </c>
      <c r="M504" s="2">
        <f>D505*1%</f>
        <v/>
      </c>
      <c r="N504" s="12">
        <f>L505*8%</f>
        <v/>
      </c>
      <c r="O504" s="12">
        <f>L505*10%</f>
        <v/>
      </c>
      <c r="P504" s="12">
        <f>L505*5%</f>
        <v/>
      </c>
      <c r="Q504" s="12">
        <f>L505*2%</f>
        <v/>
      </c>
      <c r="R504" s="12">
        <f>AC505*0.5%</f>
        <v/>
      </c>
      <c r="S504" s="12">
        <f>L505*1%</f>
        <v/>
      </c>
      <c r="T504" s="60">
        <f>S505+Q505+P505+O505+N505+M505</f>
        <v/>
      </c>
      <c r="U504" s="2">
        <f>AC505*1%</f>
        <v/>
      </c>
      <c r="V504" s="44">
        <f>AC505*5%</f>
        <v/>
      </c>
      <c r="W504" s="2">
        <f>AC505*1%</f>
        <v/>
      </c>
      <c r="X504" s="2">
        <f>AC505*8%</f>
        <v/>
      </c>
      <c r="Y504" s="2">
        <f>U505+V505+W505+X505</f>
        <v/>
      </c>
      <c r="Z504" s="60">
        <f>Y505+T505+L505</f>
        <v/>
      </c>
      <c r="AA504" s="11">
        <f>Z505*20%</f>
        <v/>
      </c>
      <c r="AB504" s="12">
        <f>Z505+AA505</f>
        <v/>
      </c>
      <c r="AC504" s="2">
        <f>D505*2.1</f>
        <v/>
      </c>
      <c r="AD504" s="12">
        <f>AB505-AC505</f>
        <v/>
      </c>
      <c r="AE504" s="12">
        <f>AD505/AB505*100</f>
        <v/>
      </c>
      <c r="AF504" s="92" t="n">
        <v>7450</v>
      </c>
      <c r="AG504" s="62">
        <f>((AF505-L505)/L505)*100</f>
        <v/>
      </c>
      <c r="AH504" s="106">
        <f>AJ505-AF505</f>
        <v/>
      </c>
      <c r="AI504" s="65" t="n">
        <v>8990</v>
      </c>
      <c r="AJ504" s="65" t="n">
        <v>7990</v>
      </c>
      <c r="AK504" s="66">
        <f>(AJ505-L505)/L505*100</f>
        <v/>
      </c>
      <c r="AL504" s="66" t="n"/>
      <c r="AM504" s="14">
        <f>AH505/AJ505%</f>
        <v/>
      </c>
      <c r="AN504" s="67">
        <f>AK505-AG505</f>
        <v/>
      </c>
      <c r="AO504" s="68">
        <f>AJ505/L505</f>
        <v/>
      </c>
      <c r="AP504" s="69">
        <f>(AJ505-AB505)/100</f>
        <v/>
      </c>
      <c r="AQ504" s="70">
        <f>(AJ505-AC505)/100</f>
        <v/>
      </c>
      <c r="AR504" s="71">
        <f>AI505/94</f>
        <v/>
      </c>
      <c r="AS504" s="71">
        <f>AJ505/94</f>
        <v/>
      </c>
      <c r="AT504" s="72">
        <f>AI505/24</f>
        <v/>
      </c>
      <c r="AU504" s="72">
        <f>AJ505/24</f>
        <v/>
      </c>
      <c r="AV504" s="73">
        <f>AI505/125</f>
        <v/>
      </c>
      <c r="AW504" s="73">
        <f>AJ505/125</f>
        <v/>
      </c>
    </row>
    <row r="505" ht="15.75" customHeight="1" s="258">
      <c r="A505" s="2" t="n"/>
      <c r="B505" s="2" t="inlineStr">
        <is>
          <t>8 in / Polished</t>
        </is>
      </c>
      <c r="C505" s="2" t="inlineStr">
        <is>
          <t>Mi-SB-H-P-8</t>
        </is>
      </c>
      <c r="D505" s="118" t="n">
        <v>7600</v>
      </c>
      <c r="E505" s="2" t="n">
        <v>145</v>
      </c>
      <c r="F505" s="2" t="n">
        <v>85</v>
      </c>
      <c r="G505" s="118" t="n">
        <v>83061000</v>
      </c>
      <c r="H505" s="255" t="n">
        <v>0.05</v>
      </c>
      <c r="I505" s="2">
        <f>D506*H506</f>
        <v/>
      </c>
      <c r="K505" s="2" t="n">
        <v>200</v>
      </c>
      <c r="L505" s="4">
        <f>K506+J506+I506+F506+E506+D506</f>
        <v/>
      </c>
      <c r="M505" s="2">
        <f>D506*1%</f>
        <v/>
      </c>
      <c r="N505" s="12">
        <f>L506*8%</f>
        <v/>
      </c>
      <c r="O505" s="12">
        <f>L506*10%</f>
        <v/>
      </c>
      <c r="P505" s="12">
        <f>L506*5%</f>
        <v/>
      </c>
      <c r="Q505" s="12">
        <f>L506*2%</f>
        <v/>
      </c>
      <c r="R505" s="12">
        <f>AC506*0.5%</f>
        <v/>
      </c>
      <c r="S505" s="12">
        <f>L506*1%</f>
        <v/>
      </c>
      <c r="T505" s="60">
        <f>S506+Q506+P506+O506+N506+M506</f>
        <v/>
      </c>
      <c r="U505" s="2">
        <f>AC506*1%</f>
        <v/>
      </c>
      <c r="V505" s="44">
        <f>AC506*5%</f>
        <v/>
      </c>
      <c r="W505" s="2">
        <f>AC506*1%</f>
        <v/>
      </c>
      <c r="X505" s="2">
        <f>AC506*8%</f>
        <v/>
      </c>
      <c r="Y505" s="2">
        <f>U506+V506+W506+X506</f>
        <v/>
      </c>
      <c r="Z505" s="60">
        <f>Y506+T506+L506</f>
        <v/>
      </c>
      <c r="AA505" s="11">
        <f>Z506*20%</f>
        <v/>
      </c>
      <c r="AB505" s="12">
        <f>Z506+AA506</f>
        <v/>
      </c>
      <c r="AC505" s="2">
        <f>D506*2.1</f>
        <v/>
      </c>
      <c r="AD505" s="12">
        <f>AB506-AC506</f>
        <v/>
      </c>
      <c r="AE505" s="12">
        <f>AD506/AB506*100</f>
        <v/>
      </c>
      <c r="AF505" s="92" t="n">
        <v>8250</v>
      </c>
      <c r="AG505" s="62">
        <f>((AF506-L506)/L506)*100</f>
        <v/>
      </c>
      <c r="AH505" s="106">
        <f>AJ506-AF506</f>
        <v/>
      </c>
      <c r="AI505" s="65" t="n">
        <v>9990</v>
      </c>
      <c r="AJ505" s="65" t="n">
        <v>8990</v>
      </c>
      <c r="AK505" s="66">
        <f>(AJ506-L506)/L506*100</f>
        <v/>
      </c>
      <c r="AL505" s="66" t="n"/>
      <c r="AM505" s="14">
        <f>AH506/AJ506%</f>
        <v/>
      </c>
      <c r="AN505" s="67">
        <f>AK506-AG506</f>
        <v/>
      </c>
      <c r="AO505" s="68">
        <f>AJ506/L506</f>
        <v/>
      </c>
      <c r="AP505" s="69">
        <f>(AJ506-AB506)/100</f>
        <v/>
      </c>
      <c r="AQ505" s="70">
        <f>(AJ506-AC506)/100</f>
        <v/>
      </c>
      <c r="AR505" s="71">
        <f>AI506/94</f>
        <v/>
      </c>
      <c r="AS505" s="71">
        <f>AJ506/94</f>
        <v/>
      </c>
      <c r="AT505" s="72">
        <f>AI506/24</f>
        <v/>
      </c>
      <c r="AU505" s="72">
        <f>AJ506/24</f>
        <v/>
      </c>
      <c r="AV505" s="73">
        <f>AI506/125</f>
        <v/>
      </c>
      <c r="AW505" s="73">
        <f>AJ506/125</f>
        <v/>
      </c>
    </row>
    <row r="506" ht="15.75" customHeight="1" s="258">
      <c r="A506" s="2" t="n"/>
      <c r="B506" s="2" t="inlineStr">
        <is>
          <t>9 in / Polished</t>
        </is>
      </c>
      <c r="C506" s="2" t="inlineStr">
        <is>
          <t>Mi-SB-H-P-9</t>
        </is>
      </c>
      <c r="D506" s="118" t="n">
        <v>8400</v>
      </c>
      <c r="E506" s="2" t="n">
        <v>145</v>
      </c>
      <c r="F506" s="2" t="n">
        <v>85</v>
      </c>
      <c r="G506" s="118" t="n">
        <v>83061000</v>
      </c>
      <c r="H506" s="255" t="n">
        <v>0.05</v>
      </c>
      <c r="I506" s="2">
        <f>D507*H507</f>
        <v/>
      </c>
      <c r="K506" s="2" t="n">
        <v>200</v>
      </c>
      <c r="L506" s="4">
        <f>K507+J507+I507+F507+E507+D507</f>
        <v/>
      </c>
      <c r="M506" s="2">
        <f>D507*1%</f>
        <v/>
      </c>
      <c r="N506" s="12">
        <f>L507*8%</f>
        <v/>
      </c>
      <c r="O506" s="12">
        <f>L507*10%</f>
        <v/>
      </c>
      <c r="P506" s="12">
        <f>L507*5%</f>
        <v/>
      </c>
      <c r="Q506" s="12">
        <f>L507*2%</f>
        <v/>
      </c>
      <c r="R506" s="12">
        <f>AC507*0.5%</f>
        <v/>
      </c>
      <c r="S506" s="12">
        <f>L507*1%</f>
        <v/>
      </c>
      <c r="T506" s="60">
        <f>S507+Q507+P507+O507+N507+M507</f>
        <v/>
      </c>
      <c r="U506" s="2">
        <f>AC507*1%</f>
        <v/>
      </c>
      <c r="V506" s="44">
        <f>AC507*5%</f>
        <v/>
      </c>
      <c r="W506" s="2">
        <f>AC507*1%</f>
        <v/>
      </c>
      <c r="X506" s="2">
        <f>AC507*8%</f>
        <v/>
      </c>
      <c r="Y506" s="2">
        <f>U507+V507+W507+X507</f>
        <v/>
      </c>
      <c r="Z506" s="60">
        <f>Y507+T507+L507</f>
        <v/>
      </c>
      <c r="AA506" s="11">
        <f>Z507*20%</f>
        <v/>
      </c>
      <c r="AB506" s="12">
        <f>Z507+AA507</f>
        <v/>
      </c>
      <c r="AC506" s="2">
        <f>D507*2.1</f>
        <v/>
      </c>
      <c r="AD506" s="12">
        <f>AB507-AC507</f>
        <v/>
      </c>
      <c r="AE506" s="12">
        <f>AD507/AB507*100</f>
        <v/>
      </c>
      <c r="AF506" s="92" t="n">
        <v>9350</v>
      </c>
      <c r="AG506" s="62">
        <f>((AF507-L507)/L507)*100</f>
        <v/>
      </c>
      <c r="AH506" s="106">
        <f>AJ507-AF507</f>
        <v/>
      </c>
      <c r="AI506" s="65" t="n">
        <v>10990</v>
      </c>
      <c r="AJ506" s="65" t="n">
        <v>9990</v>
      </c>
      <c r="AK506" s="66">
        <f>(AJ507-L507)/L507*100</f>
        <v/>
      </c>
      <c r="AL506" s="66" t="n"/>
      <c r="AM506" s="14">
        <f>AH507/AJ507%</f>
        <v/>
      </c>
      <c r="AN506" s="67">
        <f>AK507-AG507</f>
        <v/>
      </c>
      <c r="AO506" s="68">
        <f>AJ507/L507</f>
        <v/>
      </c>
      <c r="AP506" s="69">
        <f>(AJ507-AB507)/100</f>
        <v/>
      </c>
      <c r="AQ506" s="70">
        <f>(AJ507-AC507)/100</f>
        <v/>
      </c>
      <c r="AR506" s="71">
        <f>AI507/94</f>
        <v/>
      </c>
      <c r="AS506" s="71">
        <f>AJ507/94</f>
        <v/>
      </c>
      <c r="AT506" s="72">
        <f>AI507/24</f>
        <v/>
      </c>
      <c r="AU506" s="72">
        <f>AJ507/24</f>
        <v/>
      </c>
      <c r="AV506" s="73">
        <f>AI507/125</f>
        <v/>
      </c>
      <c r="AW506" s="73">
        <f>AJ507/125</f>
        <v/>
      </c>
    </row>
    <row r="507" ht="15.75" customHeight="1" s="258">
      <c r="A507" s="2" t="n"/>
      <c r="B507" s="2" t="inlineStr">
        <is>
          <t>10 in / Polished</t>
        </is>
      </c>
      <c r="C507" s="2" t="inlineStr">
        <is>
          <t>Mi-SB-H-P-10</t>
        </is>
      </c>
      <c r="D507" s="118" t="n">
        <v>9600</v>
      </c>
      <c r="E507" s="2" t="n">
        <v>145</v>
      </c>
      <c r="F507" s="2" t="n">
        <v>145</v>
      </c>
      <c r="G507" s="118" t="n">
        <v>83061000</v>
      </c>
      <c r="H507" s="255" t="n">
        <v>0.05</v>
      </c>
      <c r="I507" s="2">
        <f>D508*H508</f>
        <v/>
      </c>
      <c r="K507" s="2" t="n">
        <v>200</v>
      </c>
      <c r="L507" s="4">
        <f>K508+J508+I508+F508+E508+D508</f>
        <v/>
      </c>
      <c r="M507" s="2">
        <f>D508*1%</f>
        <v/>
      </c>
      <c r="N507" s="12">
        <f>L508*8%</f>
        <v/>
      </c>
      <c r="O507" s="12">
        <f>L508*10%</f>
        <v/>
      </c>
      <c r="P507" s="12">
        <f>L508*5%</f>
        <v/>
      </c>
      <c r="Q507" s="12">
        <f>L508*2%</f>
        <v/>
      </c>
      <c r="R507" s="12">
        <f>AC508*0.5%</f>
        <v/>
      </c>
      <c r="S507" s="12">
        <f>L508*1%</f>
        <v/>
      </c>
      <c r="T507" s="60">
        <f>S508+Q508+P508+O508+N508+M508</f>
        <v/>
      </c>
      <c r="U507" s="2">
        <f>AC508*1%</f>
        <v/>
      </c>
      <c r="V507" s="44">
        <f>AC508*5%</f>
        <v/>
      </c>
      <c r="W507" s="2">
        <f>AC508*1%</f>
        <v/>
      </c>
      <c r="X507" s="2">
        <f>AC508*8%</f>
        <v/>
      </c>
      <c r="Y507" s="2">
        <f>U508+V508+W508+X508</f>
        <v/>
      </c>
      <c r="Z507" s="60">
        <f>Y508+T508+L508</f>
        <v/>
      </c>
      <c r="AA507" s="11">
        <f>Z508*20%</f>
        <v/>
      </c>
      <c r="AB507" s="12">
        <f>Z508+AA508</f>
        <v/>
      </c>
      <c r="AC507" s="2">
        <f>D508*2.1</f>
        <v/>
      </c>
      <c r="AD507" s="12">
        <f>AB508-AC508</f>
        <v/>
      </c>
      <c r="AE507" s="12">
        <f>AD508/AB508*100</f>
        <v/>
      </c>
      <c r="AF507" s="92" t="n">
        <v>10750</v>
      </c>
      <c r="AG507" s="62">
        <f>((AF508-L508)/L508)*100</f>
        <v/>
      </c>
      <c r="AH507" s="106">
        <f>AJ508-AF508</f>
        <v/>
      </c>
      <c r="AI507" s="65" t="n">
        <v>12990</v>
      </c>
      <c r="AJ507" s="65" t="n">
        <v>10990</v>
      </c>
      <c r="AK507" s="66">
        <f>(AJ508-L508)/L508*100</f>
        <v/>
      </c>
      <c r="AL507" s="66" t="n"/>
      <c r="AM507" s="14">
        <f>AH508/AJ508%</f>
        <v/>
      </c>
      <c r="AN507" s="67">
        <f>AK508-AG508</f>
        <v/>
      </c>
      <c r="AO507" s="68">
        <f>AJ508/L508</f>
        <v/>
      </c>
      <c r="AP507" s="69">
        <f>(AJ508-AB508)/100</f>
        <v/>
      </c>
      <c r="AQ507" s="70">
        <f>(AJ508-AC508)/100</f>
        <v/>
      </c>
      <c r="AR507" s="71">
        <f>AI508/94</f>
        <v/>
      </c>
      <c r="AS507" s="71">
        <f>AJ508/94</f>
        <v/>
      </c>
      <c r="AT507" s="72">
        <f>AI508/24</f>
        <v/>
      </c>
      <c r="AU507" s="72">
        <f>AJ508/24</f>
        <v/>
      </c>
      <c r="AV507" s="73">
        <f>AI508/125</f>
        <v/>
      </c>
      <c r="AW507" s="73">
        <f>AJ508/125</f>
        <v/>
      </c>
    </row>
    <row r="508" ht="15.75" customHeight="1" s="258">
      <c r="A508" s="2" t="n"/>
      <c r="B508" s="2" t="inlineStr">
        <is>
          <t>11in / Polished</t>
        </is>
      </c>
      <c r="C508" s="2" t="inlineStr">
        <is>
          <t>Mi-SB-H-P-11</t>
        </is>
      </c>
      <c r="D508" s="118" t="n">
        <v>10200</v>
      </c>
      <c r="E508" s="2" t="n">
        <v>145</v>
      </c>
      <c r="F508" s="2" t="n">
        <v>145</v>
      </c>
      <c r="G508" s="118" t="n">
        <v>83061000</v>
      </c>
      <c r="H508" s="255" t="n">
        <v>0.05</v>
      </c>
      <c r="I508" s="2">
        <f>D509*H509</f>
        <v/>
      </c>
      <c r="K508" s="2" t="n">
        <v>200</v>
      </c>
      <c r="L508" s="4">
        <f>K509+J509+I509+F509+E509+D509</f>
        <v/>
      </c>
      <c r="M508" s="2">
        <f>D509*1%</f>
        <v/>
      </c>
      <c r="N508" s="12">
        <f>L509*8%</f>
        <v/>
      </c>
      <c r="O508" s="12">
        <f>L509*10%</f>
        <v/>
      </c>
      <c r="P508" s="12">
        <f>L509*5%</f>
        <v/>
      </c>
      <c r="Q508" s="12">
        <f>L509*2%</f>
        <v/>
      </c>
      <c r="R508" s="12">
        <f>AC509*0.5%</f>
        <v/>
      </c>
      <c r="S508" s="12">
        <f>L509*1%</f>
        <v/>
      </c>
      <c r="T508" s="60">
        <f>S509+Q509+P509+O509+N509+M509</f>
        <v/>
      </c>
      <c r="U508" s="2">
        <f>AC509*1%</f>
        <v/>
      </c>
      <c r="V508" s="44">
        <f>AC509*5%</f>
        <v/>
      </c>
      <c r="W508" s="2">
        <f>AC509*1%</f>
        <v/>
      </c>
      <c r="X508" s="2">
        <f>AC509*8%</f>
        <v/>
      </c>
      <c r="Y508" s="2">
        <f>U509+V509+W509+X509</f>
        <v/>
      </c>
      <c r="Z508" s="60">
        <f>Y509+T509+L509</f>
        <v/>
      </c>
      <c r="AA508" s="11">
        <f>Z509*20%</f>
        <v/>
      </c>
      <c r="AB508" s="12">
        <f>Z509+AA509</f>
        <v/>
      </c>
      <c r="AC508" s="2">
        <f>D509*2.1</f>
        <v/>
      </c>
      <c r="AD508" s="12">
        <f>AB509-AC509</f>
        <v/>
      </c>
      <c r="AE508" s="12">
        <f>AD509/AB509*100</f>
        <v/>
      </c>
      <c r="AF508" s="92" t="n">
        <v>11950</v>
      </c>
      <c r="AG508" s="62">
        <f>((AF509-L509)/L509)*100</f>
        <v/>
      </c>
      <c r="AH508" s="106">
        <f>AJ509-AF509</f>
        <v/>
      </c>
      <c r="AI508" s="65" t="n">
        <v>13990</v>
      </c>
      <c r="AJ508" s="65" t="n">
        <v>12990</v>
      </c>
      <c r="AK508" s="66">
        <f>(AJ509-L509)/L509*100</f>
        <v/>
      </c>
      <c r="AL508" s="66" t="n"/>
      <c r="AM508" s="14">
        <f>AH509/AJ509%</f>
        <v/>
      </c>
      <c r="AN508" s="67">
        <f>AK509-AG509</f>
        <v/>
      </c>
      <c r="AO508" s="68">
        <f>AJ509/L509</f>
        <v/>
      </c>
      <c r="AP508" s="69">
        <f>(AJ509-AB509)/100</f>
        <v/>
      </c>
      <c r="AQ508" s="70">
        <f>(AJ509-AC509)/100</f>
        <v/>
      </c>
      <c r="AR508" s="71">
        <f>AI509/94</f>
        <v/>
      </c>
      <c r="AS508" s="71">
        <f>AJ509/94</f>
        <v/>
      </c>
      <c r="AT508" s="72">
        <f>AI509/24</f>
        <v/>
      </c>
      <c r="AU508" s="72">
        <f>AJ509/24</f>
        <v/>
      </c>
      <c r="AV508" s="73">
        <f>AI509/125</f>
        <v/>
      </c>
      <c r="AW508" s="73">
        <f>AJ509/125</f>
        <v/>
      </c>
    </row>
    <row r="509" ht="15.75" customHeight="1" s="258">
      <c r="A509" s="2" t="n"/>
      <c r="B509" s="2" t="inlineStr">
        <is>
          <t>12 in / Polished</t>
        </is>
      </c>
      <c r="C509" s="2" t="inlineStr">
        <is>
          <t>Mi-SB-H-P-12</t>
        </is>
      </c>
      <c r="D509" s="118" t="n">
        <v>10800</v>
      </c>
      <c r="E509" s="2" t="n">
        <v>145</v>
      </c>
      <c r="F509" s="2" t="n">
        <v>145</v>
      </c>
      <c r="G509" s="118" t="n">
        <v>83061000</v>
      </c>
      <c r="H509" s="255" t="n">
        <v>0.05</v>
      </c>
      <c r="I509" s="2">
        <f>D510*H510</f>
        <v/>
      </c>
      <c r="K509" s="2" t="n">
        <v>200</v>
      </c>
      <c r="L509" s="4">
        <f>K510+J510+I510+F510+E510+D510</f>
        <v/>
      </c>
      <c r="M509" s="2">
        <f>D510*1%</f>
        <v/>
      </c>
      <c r="N509" s="12">
        <f>L510*8%</f>
        <v/>
      </c>
      <c r="O509" s="12">
        <f>L510*10%</f>
        <v/>
      </c>
      <c r="P509" s="12">
        <f>L510*5%</f>
        <v/>
      </c>
      <c r="Q509" s="12">
        <f>L510*2%</f>
        <v/>
      </c>
      <c r="R509" s="12">
        <f>AC510*0.5%</f>
        <v/>
      </c>
      <c r="S509" s="12">
        <f>L510*1%</f>
        <v/>
      </c>
      <c r="T509" s="60">
        <f>S510+Q510+P510+O510+N510+M510</f>
        <v/>
      </c>
      <c r="U509" s="2">
        <f>AC510*1%</f>
        <v/>
      </c>
      <c r="V509" s="44">
        <f>AC510*5%</f>
        <v/>
      </c>
      <c r="W509" s="2">
        <f>AC510*1%</f>
        <v/>
      </c>
      <c r="X509" s="2">
        <f>AC510*8%</f>
        <v/>
      </c>
      <c r="Y509" s="2">
        <f>U510+V510+W510+X510</f>
        <v/>
      </c>
      <c r="Z509" s="60">
        <f>Y510+T510+L510</f>
        <v/>
      </c>
      <c r="AA509" s="11">
        <f>Z510*20%</f>
        <v/>
      </c>
      <c r="AB509" s="12">
        <f>Z510+AA510</f>
        <v/>
      </c>
      <c r="AC509" s="2">
        <f>D510*2.1</f>
        <v/>
      </c>
      <c r="AD509" s="12">
        <f>AB510-AC510</f>
        <v/>
      </c>
      <c r="AE509" s="12">
        <f>AD510/AB510*100</f>
        <v/>
      </c>
      <c r="AF509" s="92" t="n">
        <v>12650</v>
      </c>
      <c r="AG509" s="62">
        <f>((AF510-L510)/L510)*100</f>
        <v/>
      </c>
      <c r="AH509" s="106">
        <f>AJ510-AF510</f>
        <v/>
      </c>
      <c r="AI509" s="65" t="n">
        <v>14990</v>
      </c>
      <c r="AJ509" s="65" t="n">
        <v>12990</v>
      </c>
      <c r="AK509" s="66">
        <f>(AJ510-L510)/L510*100</f>
        <v/>
      </c>
      <c r="AL509" s="66" t="n"/>
      <c r="AM509" s="14">
        <f>AH510/AJ510%</f>
        <v/>
      </c>
      <c r="AN509" s="67">
        <f>AK510-AG510</f>
        <v/>
      </c>
      <c r="AO509" s="68">
        <f>AJ510/L510</f>
        <v/>
      </c>
      <c r="AP509" s="69">
        <f>(AJ510-AB510)/100</f>
        <v/>
      </c>
      <c r="AQ509" s="70">
        <f>(AJ510-AC510)/100</f>
        <v/>
      </c>
      <c r="AR509" s="71">
        <f>AI510/94</f>
        <v/>
      </c>
      <c r="AS509" s="71">
        <f>AJ510/94</f>
        <v/>
      </c>
      <c r="AT509" s="72">
        <f>AI510/24</f>
        <v/>
      </c>
      <c r="AU509" s="72">
        <f>AJ510/24</f>
        <v/>
      </c>
      <c r="AV509" s="73">
        <f>AI510/125</f>
        <v/>
      </c>
      <c r="AW509" s="73">
        <f>AJ510/125</f>
        <v/>
      </c>
    </row>
    <row r="510" ht="15.75" customHeight="1" s="258">
      <c r="A510" s="2" t="n"/>
      <c r="B510" s="2" t="inlineStr">
        <is>
          <t>13 in / Polished</t>
        </is>
      </c>
      <c r="C510" s="2" t="inlineStr">
        <is>
          <t>Mi-SB-H-P-13</t>
        </is>
      </c>
      <c r="D510" s="118" t="n">
        <v>12500</v>
      </c>
      <c r="E510" s="2" t="n">
        <v>145</v>
      </c>
      <c r="F510" s="2" t="n">
        <v>145</v>
      </c>
      <c r="G510" s="118" t="n">
        <v>83061000</v>
      </c>
      <c r="H510" s="255" t="n">
        <v>0.05</v>
      </c>
      <c r="I510" s="2">
        <f>D511*H511</f>
        <v/>
      </c>
      <c r="K510" s="2" t="n">
        <v>200</v>
      </c>
      <c r="L510" s="4">
        <f>K511+J511+I511+F511+E511+D511</f>
        <v/>
      </c>
      <c r="M510" s="2">
        <f>D511*1%</f>
        <v/>
      </c>
      <c r="N510" s="12">
        <f>L511*8%</f>
        <v/>
      </c>
      <c r="O510" s="12">
        <f>L511*10%</f>
        <v/>
      </c>
      <c r="P510" s="12">
        <f>L511*5%</f>
        <v/>
      </c>
      <c r="Q510" s="12">
        <f>L511*2%</f>
        <v/>
      </c>
      <c r="R510" s="12">
        <f>AC511*0.5%</f>
        <v/>
      </c>
      <c r="S510" s="12">
        <f>L511*1%</f>
        <v/>
      </c>
      <c r="T510" s="60">
        <f>S511+Q511+P511+O511+N511+M511</f>
        <v/>
      </c>
      <c r="U510" s="2">
        <f>AC511*1%</f>
        <v/>
      </c>
      <c r="V510" s="44">
        <f>AC511*5%</f>
        <v/>
      </c>
      <c r="W510" s="2">
        <f>AC511*1%</f>
        <v/>
      </c>
      <c r="X510" s="2">
        <f>AC511*8%</f>
        <v/>
      </c>
      <c r="Y510" s="2">
        <f>U511+V511+W511+X511</f>
        <v/>
      </c>
      <c r="Z510" s="60">
        <f>Y511+T511+L511</f>
        <v/>
      </c>
      <c r="AA510" s="11">
        <f>Z511*20%</f>
        <v/>
      </c>
      <c r="AB510" s="12">
        <f>Z511+AA511</f>
        <v/>
      </c>
      <c r="AC510" s="2">
        <f>D511*2.1</f>
        <v/>
      </c>
      <c r="AD510" s="12">
        <f>AB511-AC511</f>
        <v/>
      </c>
      <c r="AE510" s="12">
        <f>AD511/AB511*100</f>
        <v/>
      </c>
      <c r="AG510" s="62">
        <f>((AF511-L511)/L511)*100</f>
        <v/>
      </c>
      <c r="AH510" s="106">
        <f>AJ511-AF511</f>
        <v/>
      </c>
      <c r="AI510" s="65">
        <f>AB511</f>
        <v/>
      </c>
      <c r="AJ510" s="65" t="n">
        <v>23990</v>
      </c>
      <c r="AK510" s="66">
        <f>(AJ511-L511)/L511*100</f>
        <v/>
      </c>
      <c r="AL510" s="66" t="n"/>
      <c r="AM510" s="14">
        <f>AH511/AJ511%</f>
        <v/>
      </c>
      <c r="AN510" s="67">
        <f>AK511-AG511</f>
        <v/>
      </c>
      <c r="AO510" s="68">
        <f>AJ511/L511</f>
        <v/>
      </c>
      <c r="AP510" s="69">
        <f>(AJ511-AB511)/100</f>
        <v/>
      </c>
      <c r="AQ510" s="70">
        <f>(AJ511-AC511)/100</f>
        <v/>
      </c>
      <c r="AR510" s="71">
        <f>AI511/94</f>
        <v/>
      </c>
      <c r="AS510" s="71">
        <f>AJ511/94</f>
        <v/>
      </c>
      <c r="AT510" s="72">
        <f>AI511/24</f>
        <v/>
      </c>
      <c r="AU510" s="72">
        <f>AJ511/24</f>
        <v/>
      </c>
      <c r="AV510" s="73">
        <f>AI511/125</f>
        <v/>
      </c>
      <c r="AW510" s="73">
        <f>AJ511/125</f>
        <v/>
      </c>
    </row>
    <row r="511" ht="15.75" customHeight="1" s="258">
      <c r="A511" s="2" t="inlineStr">
        <is>
          <t>Handmade Universal Bowl for Sound Healing</t>
        </is>
      </c>
      <c r="B511" s="2" t="inlineStr">
        <is>
          <t>Standard</t>
        </is>
      </c>
      <c r="C511" s="2" t="inlineStr">
        <is>
          <t>MI-SB-HM-UN</t>
        </is>
      </c>
      <c r="D511" s="121" t="n">
        <v>4400</v>
      </c>
      <c r="E511" s="2" t="n">
        <v>250</v>
      </c>
      <c r="F511" s="2" t="n">
        <v>145</v>
      </c>
      <c r="G511" s="118" t="n">
        <v>83061000</v>
      </c>
      <c r="H511" s="255" t="n">
        <v>0.05</v>
      </c>
      <c r="I511" s="2">
        <f>D512*H512</f>
        <v/>
      </c>
      <c r="K511" s="2" t="n">
        <v>200</v>
      </c>
      <c r="L511" s="4">
        <f>K512+J512+I512+F512+E512+D512</f>
        <v/>
      </c>
      <c r="M511" s="2">
        <f>D512*1%</f>
        <v/>
      </c>
      <c r="N511" s="12">
        <f>L512*8%</f>
        <v/>
      </c>
      <c r="O511" s="12">
        <f>L512*10%</f>
        <v/>
      </c>
      <c r="P511" s="12">
        <f>L512*5%</f>
        <v/>
      </c>
      <c r="Q511" s="12">
        <f>L512*2%</f>
        <v/>
      </c>
      <c r="R511" s="12">
        <f>AC512*0.5%</f>
        <v/>
      </c>
      <c r="S511" s="12">
        <f>L512*1%</f>
        <v/>
      </c>
      <c r="T511" s="60">
        <f>S512+Q512+P512+O512+N512+M512</f>
        <v/>
      </c>
      <c r="U511" s="2">
        <f>AC512*1%</f>
        <v/>
      </c>
      <c r="V511" s="44">
        <f>AC512*5%</f>
        <v/>
      </c>
      <c r="W511" s="2">
        <f>AC512*1%</f>
        <v/>
      </c>
      <c r="X511" s="2">
        <f>AC512*8%</f>
        <v/>
      </c>
      <c r="Y511" s="2">
        <f>U512+V512+W512+X512</f>
        <v/>
      </c>
      <c r="Z511" s="60">
        <f>Y512+T512+L512</f>
        <v/>
      </c>
      <c r="AA511" s="11">
        <f>Z512*20%</f>
        <v/>
      </c>
      <c r="AB511" s="12">
        <f>Z512+AA512</f>
        <v/>
      </c>
      <c r="AC511" s="2">
        <f>D512*2.1</f>
        <v/>
      </c>
      <c r="AD511" s="12">
        <f>AB512-AC512</f>
        <v/>
      </c>
      <c r="AE511" s="12">
        <f>AD512/AB512*100</f>
        <v/>
      </c>
      <c r="AF511" s="92" t="n">
        <v>8950</v>
      </c>
      <c r="AG511" s="62">
        <f>((AF512-L512)/L512)*100</f>
        <v/>
      </c>
      <c r="AH511" s="106">
        <f>AJ512-AF512</f>
        <v/>
      </c>
      <c r="AI511" s="65">
        <f>AB512</f>
        <v/>
      </c>
      <c r="AJ511" s="65" t="n">
        <v>8990</v>
      </c>
      <c r="AK511" s="66">
        <f>(AJ512-L512)/L512*100</f>
        <v/>
      </c>
      <c r="AL511" s="66" t="n"/>
      <c r="AM511" s="14">
        <f>AH512/AJ512%</f>
        <v/>
      </c>
      <c r="AN511" s="67">
        <f>AK512-AG512</f>
        <v/>
      </c>
      <c r="AO511" s="68">
        <f>AJ512/L512</f>
        <v/>
      </c>
      <c r="AP511" s="69">
        <f>(AJ512-AB512)/100</f>
        <v/>
      </c>
      <c r="AQ511" s="70">
        <f>(AJ512-AC512)/100</f>
        <v/>
      </c>
      <c r="AR511" s="71">
        <f>AI512/94</f>
        <v/>
      </c>
      <c r="AS511" s="71">
        <f>AJ512/94</f>
        <v/>
      </c>
      <c r="AT511" s="72">
        <f>AI512/24</f>
        <v/>
      </c>
      <c r="AU511" s="72">
        <f>AJ512/24</f>
        <v/>
      </c>
      <c r="AV511" s="73">
        <f>AI512/125</f>
        <v/>
      </c>
      <c r="AW511" s="73">
        <f>AJ512/125</f>
        <v/>
      </c>
    </row>
    <row r="512" ht="15.75" customHeight="1" s="258">
      <c r="A512" s="44" t="inlineStr">
        <is>
          <t>Handpan Stand</t>
        </is>
      </c>
      <c r="B512" s="44" t="inlineStr">
        <is>
          <t>Stand</t>
        </is>
      </c>
      <c r="C512" s="111" t="inlineStr">
        <is>
          <t>MI-HS-S</t>
        </is>
      </c>
      <c r="D512" s="114" t="n">
        <v>8000</v>
      </c>
      <c r="E512" s="113" t="n"/>
      <c r="F512" s="44" t="n">
        <v>200</v>
      </c>
      <c r="G512" s="45" t="n">
        <v>7326</v>
      </c>
      <c r="H512" s="115" t="n">
        <v>0.18</v>
      </c>
      <c r="I512" s="44">
        <f>D513*H513</f>
        <v/>
      </c>
      <c r="J512" s="113" t="n"/>
      <c r="K512" s="44" t="n">
        <v>200</v>
      </c>
      <c r="L512" s="48">
        <f>K513+J513+I513+F513+E513+D513</f>
        <v/>
      </c>
      <c r="M512" s="44">
        <f>D513*1%</f>
        <v/>
      </c>
      <c r="N512" s="49">
        <f>L513*8%</f>
        <v/>
      </c>
      <c r="O512" s="49">
        <f>L513*10%</f>
        <v/>
      </c>
      <c r="P512" s="49">
        <f>L513*5%</f>
        <v/>
      </c>
      <c r="Q512" s="49">
        <f>L513*2%</f>
        <v/>
      </c>
      <c r="R512" s="49">
        <f>AC513*0.5%</f>
        <v/>
      </c>
      <c r="S512" s="49">
        <f>L513*1%</f>
        <v/>
      </c>
      <c r="T512" s="50">
        <f>S513+Q513+P513+O513+N513+M513</f>
        <v/>
      </c>
      <c r="U512" s="44">
        <f>AC513*1%</f>
        <v/>
      </c>
      <c r="V512" s="44">
        <f>AC513*5%</f>
        <v/>
      </c>
      <c r="W512" s="44">
        <f>AC513*1%</f>
        <v/>
      </c>
      <c r="X512" s="44">
        <f>AC513*8%</f>
        <v/>
      </c>
      <c r="Y512" s="44">
        <f>U513+V513+W513+X513</f>
        <v/>
      </c>
      <c r="Z512" s="50">
        <f>Y513+T513+L513</f>
        <v/>
      </c>
      <c r="AA512" s="51">
        <f>Z513*20%</f>
        <v/>
      </c>
      <c r="AB512" s="49">
        <f>Z513+AA513</f>
        <v/>
      </c>
      <c r="AC512" s="44">
        <f>D513*2.1</f>
        <v/>
      </c>
      <c r="AD512" s="49">
        <f>AB513-AC513</f>
        <v/>
      </c>
      <c r="AE512" s="49">
        <f>AD513/AB513*100</f>
        <v/>
      </c>
      <c r="AF512" s="113" t="n">
        <v>10500</v>
      </c>
      <c r="AG512" s="116">
        <f>((AF513-L513)/L513)*100</f>
        <v/>
      </c>
      <c r="AH512" s="54">
        <f>AJ513-AF513</f>
        <v/>
      </c>
      <c r="AI512" s="54" t="n">
        <v>0</v>
      </c>
      <c r="AJ512" s="54" t="n">
        <v>13500</v>
      </c>
      <c r="AK512" s="55">
        <f>(AJ513-L513)/L513*100</f>
        <v/>
      </c>
      <c r="AL512" s="55" t="n"/>
      <c r="AM512" s="55">
        <f>AH513/AJ513%</f>
        <v/>
      </c>
      <c r="AN512" s="55">
        <f>AK513-AG513</f>
        <v/>
      </c>
      <c r="AO512" s="56">
        <f>AJ513/L513</f>
        <v/>
      </c>
      <c r="AP512" s="55">
        <f>(AJ513-AB513)/100</f>
        <v/>
      </c>
      <c r="AQ512" s="55">
        <f>(AJ513-AC513)/100</f>
        <v/>
      </c>
      <c r="AR512" s="57">
        <f>AI513/94</f>
        <v/>
      </c>
      <c r="AS512" s="57">
        <f>AJ513/94</f>
        <v/>
      </c>
      <c r="AT512" s="58">
        <f>AI513/24</f>
        <v/>
      </c>
      <c r="AU512" s="58">
        <f>AJ513/24</f>
        <v/>
      </c>
      <c r="AV512" s="58">
        <f>AI513/125</f>
        <v/>
      </c>
      <c r="AW512" s="58">
        <f>AJ513/125</f>
        <v/>
      </c>
      <c r="AX512" s="113" t="n"/>
      <c r="AY512" s="113" t="n"/>
    </row>
    <row r="513" ht="15.75" customHeight="1" s="258">
      <c r="A513" s="2" t="inlineStr">
        <is>
          <t>Hanging Bowls/Zen Drops</t>
        </is>
      </c>
      <c r="B513" s="2" t="inlineStr">
        <is>
          <t>Single</t>
        </is>
      </c>
      <c r="C513" s="91" t="inlineStr">
        <is>
          <t>MI-HBZD-SI</t>
        </is>
      </c>
      <c r="D513" s="118" t="n"/>
      <c r="E513" s="2" t="n">
        <v>55</v>
      </c>
      <c r="F513" s="2" t="n">
        <v>10</v>
      </c>
      <c r="G513" s="118" t="n">
        <v>83061000</v>
      </c>
      <c r="H513" s="255" t="n">
        <v>0.05</v>
      </c>
      <c r="I513" s="2">
        <f>D514*H514</f>
        <v/>
      </c>
      <c r="K513" s="2">
        <f>D514*4%</f>
        <v/>
      </c>
      <c r="L513" s="4">
        <f>K514+J514+I514+F514+E514+D514</f>
        <v/>
      </c>
      <c r="M513" s="2">
        <f>D514*1%</f>
        <v/>
      </c>
      <c r="N513" s="12">
        <f>L514*8%</f>
        <v/>
      </c>
      <c r="O513" s="12">
        <f>L514*10%</f>
        <v/>
      </c>
      <c r="P513" s="12">
        <f>L514*5%</f>
        <v/>
      </c>
      <c r="Q513" s="12">
        <f>L514*2%</f>
        <v/>
      </c>
      <c r="R513" s="12">
        <f>AC514*0.5%</f>
        <v/>
      </c>
      <c r="S513" s="12">
        <f>L514*1%</f>
        <v/>
      </c>
      <c r="T513" s="60">
        <f>S514+Q514+P514+O514+N514+M514</f>
        <v/>
      </c>
      <c r="U513" s="2">
        <f>AC514*1%</f>
        <v/>
      </c>
      <c r="V513" s="44">
        <f>AC514*5%</f>
        <v/>
      </c>
      <c r="W513" s="2">
        <f>AC514*1%</f>
        <v/>
      </c>
      <c r="X513" s="2">
        <f>AC514*8%</f>
        <v/>
      </c>
      <c r="Y513" s="2">
        <f>U514+V514+W514+X514</f>
        <v/>
      </c>
      <c r="Z513" s="60">
        <f>Y514+T514+L514</f>
        <v/>
      </c>
      <c r="AA513" s="11">
        <f>Z514*20%</f>
        <v/>
      </c>
      <c r="AB513" s="12">
        <f>Z514+AA514</f>
        <v/>
      </c>
      <c r="AC513" s="2">
        <f>D514*2.1</f>
        <v/>
      </c>
      <c r="AD513" s="12">
        <f>AB514-AC514</f>
        <v/>
      </c>
      <c r="AE513" s="12">
        <f>AD514/AB514*100</f>
        <v/>
      </c>
      <c r="AG513" s="62">
        <f>((AF514-L514)/L514)*100</f>
        <v/>
      </c>
      <c r="AH513" s="106">
        <f>AJ514-AF514</f>
        <v/>
      </c>
      <c r="AI513" s="65" t="n">
        <v>0</v>
      </c>
      <c r="AJ513" s="65" t="n">
        <v>0</v>
      </c>
      <c r="AK513" s="66">
        <f>(AJ514-L514)/L514*100</f>
        <v/>
      </c>
      <c r="AL513" s="66" t="n"/>
      <c r="AM513" s="14">
        <f>AH514/AJ514%</f>
        <v/>
      </c>
      <c r="AN513" s="67">
        <f>AK514-AG514</f>
        <v/>
      </c>
      <c r="AO513" s="68">
        <f>AJ514/L514</f>
        <v/>
      </c>
      <c r="AP513" s="69">
        <f>(AJ514-AB514)/100</f>
        <v/>
      </c>
      <c r="AQ513" s="70">
        <f>(AJ514-AC514)/100</f>
        <v/>
      </c>
      <c r="AR513" s="71">
        <f>AI514/94</f>
        <v/>
      </c>
      <c r="AS513" s="71">
        <f>AJ514/94</f>
        <v/>
      </c>
      <c r="AT513" s="72">
        <f>AI514/24</f>
        <v/>
      </c>
      <c r="AU513" s="72">
        <f>AJ514/24</f>
        <v/>
      </c>
      <c r="AV513" s="73">
        <f>AI514/125</f>
        <v/>
      </c>
      <c r="AW513" s="73">
        <f>AJ514/125</f>
        <v/>
      </c>
    </row>
    <row r="514" ht="15" customHeight="1" s="258">
      <c r="A514" s="2" t="n"/>
      <c r="B514" s="2" t="inlineStr">
        <is>
          <t>Set of 3</t>
        </is>
      </c>
      <c r="C514" s="91" t="inlineStr">
        <is>
          <t>MI-HBZD-SE</t>
        </is>
      </c>
      <c r="D514" s="121" t="n">
        <v>6600</v>
      </c>
      <c r="E514" s="2" t="n">
        <v>55</v>
      </c>
      <c r="F514" s="2" t="n">
        <v>80</v>
      </c>
      <c r="G514" s="118" t="n">
        <v>83061000</v>
      </c>
      <c r="H514" s="255" t="n">
        <v>0.05</v>
      </c>
      <c r="I514" s="2">
        <f>D515*H515</f>
        <v/>
      </c>
      <c r="K514" s="2" t="n">
        <v>150</v>
      </c>
      <c r="L514" s="4">
        <f>K515+J515+I515+F515+E515+D515</f>
        <v/>
      </c>
      <c r="M514" s="2">
        <f>D515*1%</f>
        <v/>
      </c>
      <c r="N514" s="12">
        <f>L515*8%</f>
        <v/>
      </c>
      <c r="O514" s="12">
        <f>L515*10%</f>
        <v/>
      </c>
      <c r="P514" s="12">
        <f>L515*5%</f>
        <v/>
      </c>
      <c r="Q514" s="12">
        <f>L515*2%</f>
        <v/>
      </c>
      <c r="R514" s="12">
        <f>AC515*0.5%</f>
        <v/>
      </c>
      <c r="S514" s="12">
        <f>L515*1%</f>
        <v/>
      </c>
      <c r="T514" s="60">
        <f>S515+Q515+P515+O515+N515+M515</f>
        <v/>
      </c>
      <c r="U514" s="2">
        <f>AC515*1%</f>
        <v/>
      </c>
      <c r="V514" s="44">
        <f>AC515*5%</f>
        <v/>
      </c>
      <c r="W514" s="2">
        <f>AC515*1%</f>
        <v/>
      </c>
      <c r="X514" s="2">
        <f>AC515*8%</f>
        <v/>
      </c>
      <c r="Y514" s="2">
        <f>U515+V515+W515+X515</f>
        <v/>
      </c>
      <c r="Z514" s="60">
        <f>Y515+T515+L515</f>
        <v/>
      </c>
      <c r="AA514" s="11">
        <f>Z515*20%</f>
        <v/>
      </c>
      <c r="AB514" s="12">
        <f>Z515+AA515</f>
        <v/>
      </c>
      <c r="AC514" s="2">
        <f>D515*2.1</f>
        <v/>
      </c>
      <c r="AD514" s="12">
        <f>AB515-AC515</f>
        <v/>
      </c>
      <c r="AE514" s="12">
        <f>AD515/AB515*100</f>
        <v/>
      </c>
      <c r="AG514" s="62">
        <f>((AF515-L515)/L515)*100</f>
        <v/>
      </c>
      <c r="AH514" s="106">
        <f>AJ515-AF515</f>
        <v/>
      </c>
      <c r="AI514" s="65">
        <f>AB515</f>
        <v/>
      </c>
      <c r="AJ514" s="65" t="n">
        <v>12990</v>
      </c>
      <c r="AK514" s="66">
        <f>(AJ515-L515)/L515*100</f>
        <v/>
      </c>
      <c r="AL514" s="66" t="n"/>
      <c r="AM514" s="14">
        <f>AH515/AJ515%</f>
        <v/>
      </c>
      <c r="AN514" s="67">
        <f>AK515-AG515</f>
        <v/>
      </c>
      <c r="AO514" s="68">
        <f>AJ515/L515</f>
        <v/>
      </c>
      <c r="AP514" s="69">
        <f>(AJ515-AB515)/100</f>
        <v/>
      </c>
      <c r="AQ514" s="70">
        <f>(AJ515-AC515)/100</f>
        <v/>
      </c>
      <c r="AR514" s="71">
        <f>AI515/94</f>
        <v/>
      </c>
      <c r="AS514" s="71">
        <f>AJ515/94</f>
        <v/>
      </c>
      <c r="AT514" s="72">
        <f>AI515/24</f>
        <v/>
      </c>
      <c r="AU514" s="72">
        <f>AJ515/24</f>
        <v/>
      </c>
      <c r="AV514" s="73">
        <f>AI515/125</f>
        <v/>
      </c>
      <c r="AW514" s="73">
        <f>AJ515/125</f>
        <v/>
      </c>
    </row>
    <row r="515" ht="15.75" customHeight="1" s="258">
      <c r="A515" s="2" t="inlineStr">
        <is>
          <t>Harmonium</t>
        </is>
      </c>
      <c r="B515" s="2" t="inlineStr">
        <is>
          <t>Professional</t>
        </is>
      </c>
      <c r="C515" s="91" t="inlineStr">
        <is>
          <t>MI-HA-P</t>
        </is>
      </c>
      <c r="D515" s="121" t="n">
        <v>19500</v>
      </c>
      <c r="F515" s="2" t="n">
        <v>10</v>
      </c>
      <c r="G515" s="118" t="n">
        <v>92030010</v>
      </c>
      <c r="H515" s="118" t="n">
        <v>0</v>
      </c>
      <c r="I515" s="2">
        <f>D516*H516</f>
        <v/>
      </c>
      <c r="K515" s="2">
        <f>D516*4%</f>
        <v/>
      </c>
      <c r="L515" s="4">
        <f>K516+J516+I516+F516+E516+D516</f>
        <v/>
      </c>
      <c r="M515" s="2">
        <f>D516*1%</f>
        <v/>
      </c>
      <c r="N515" s="12">
        <f>L516*8%</f>
        <v/>
      </c>
      <c r="O515" s="12">
        <f>L516*10%</f>
        <v/>
      </c>
      <c r="P515" s="12">
        <f>L516*5%</f>
        <v/>
      </c>
      <c r="Q515" s="12">
        <f>L516*2%</f>
        <v/>
      </c>
      <c r="R515" s="12">
        <f>AC516*0.5%</f>
        <v/>
      </c>
      <c r="S515" s="12">
        <f>L516*1%</f>
        <v/>
      </c>
      <c r="T515" s="60">
        <f>S516+Q516+P516+O516+N516+M516</f>
        <v/>
      </c>
      <c r="U515" s="2">
        <f>AC516*1%</f>
        <v/>
      </c>
      <c r="V515" s="44">
        <f>AC516*5%</f>
        <v/>
      </c>
      <c r="W515" s="2">
        <f>AC516*1%</f>
        <v/>
      </c>
      <c r="X515" s="2">
        <f>AC516*8%</f>
        <v/>
      </c>
      <c r="Y515" s="2">
        <f>U516+V516+W516+X516</f>
        <v/>
      </c>
      <c r="Z515" s="60">
        <f>Y516+T516+L516</f>
        <v/>
      </c>
      <c r="AA515" s="11">
        <f>Z516*20%</f>
        <v/>
      </c>
      <c r="AB515" s="12">
        <f>Z516+AA516</f>
        <v/>
      </c>
      <c r="AC515" s="2">
        <f>D516*2.1</f>
        <v/>
      </c>
      <c r="AD515" s="12">
        <f>AB516-AC516</f>
        <v/>
      </c>
      <c r="AE515" s="12">
        <f>AD516/AB516*100</f>
        <v/>
      </c>
      <c r="AG515" s="62">
        <f>((AF516-L516)/L516)*100</f>
        <v/>
      </c>
      <c r="AH515" s="106">
        <f>AJ516-AF516</f>
        <v/>
      </c>
      <c r="AI515" s="65" t="n">
        <v>39990</v>
      </c>
      <c r="AJ515" s="65" t="n">
        <v>37990</v>
      </c>
      <c r="AK515" s="66">
        <f>(AJ516-L516)/L516*100</f>
        <v/>
      </c>
      <c r="AL515" s="66" t="n"/>
      <c r="AM515" s="14">
        <f>AH516/AJ516%</f>
        <v/>
      </c>
      <c r="AN515" s="67">
        <f>AK516-AG516</f>
        <v/>
      </c>
      <c r="AO515" s="68">
        <f>AJ516/L516</f>
        <v/>
      </c>
      <c r="AP515" s="69">
        <f>(AJ516-AB516)/100</f>
        <v/>
      </c>
      <c r="AQ515" s="70">
        <f>(AJ516-AC516)/100</f>
        <v/>
      </c>
      <c r="AR515" s="71">
        <f>AI516/94</f>
        <v/>
      </c>
      <c r="AS515" s="71">
        <f>AJ516/94</f>
        <v/>
      </c>
      <c r="AT515" s="72">
        <f>AI516/24</f>
        <v/>
      </c>
      <c r="AU515" s="72">
        <f>AJ516/24</f>
        <v/>
      </c>
      <c r="AV515" s="73">
        <f>AI516/125</f>
        <v/>
      </c>
      <c r="AW515" s="73">
        <f>AJ516/125</f>
        <v/>
      </c>
    </row>
    <row r="516" ht="15" customHeight="1" s="258">
      <c r="A516" s="2" t="n"/>
      <c r="B516" s="2" t="inlineStr">
        <is>
          <t>Compact</t>
        </is>
      </c>
      <c r="C516" s="91" t="inlineStr">
        <is>
          <t>MI-HA-C</t>
        </is>
      </c>
      <c r="D516" s="121" t="n">
        <v>16000</v>
      </c>
      <c r="F516" s="2" t="n">
        <v>10</v>
      </c>
      <c r="G516" s="118" t="n">
        <v>92030010</v>
      </c>
      <c r="H516" s="118" t="n">
        <v>0</v>
      </c>
      <c r="I516" s="2">
        <f>D517*H517</f>
        <v/>
      </c>
      <c r="K516" s="2">
        <f>D517*4%</f>
        <v/>
      </c>
      <c r="L516" s="4">
        <f>K517+J517+I517+F517+E517+D517</f>
        <v/>
      </c>
      <c r="M516" s="2">
        <f>D517*1%</f>
        <v/>
      </c>
      <c r="N516" s="12">
        <f>L517*8%</f>
        <v/>
      </c>
      <c r="O516" s="12">
        <f>L517*10%</f>
        <v/>
      </c>
      <c r="P516" s="12">
        <f>L517*5%</f>
        <v/>
      </c>
      <c r="Q516" s="12">
        <f>L517*2%</f>
        <v/>
      </c>
      <c r="R516" s="12">
        <f>AC517*0.5%</f>
        <v/>
      </c>
      <c r="S516" s="12">
        <f>L517*1%</f>
        <v/>
      </c>
      <c r="T516" s="60">
        <f>S517+Q517+P517+O517+N517+M517</f>
        <v/>
      </c>
      <c r="U516" s="2">
        <f>AC517*1%</f>
        <v/>
      </c>
      <c r="V516" s="44">
        <f>AC517*5%</f>
        <v/>
      </c>
      <c r="W516" s="2">
        <f>AC517*1%</f>
        <v/>
      </c>
      <c r="X516" s="2">
        <f>AC517*8%</f>
        <v/>
      </c>
      <c r="Y516" s="2">
        <f>U517+V517+W517+X517</f>
        <v/>
      </c>
      <c r="Z516" s="60">
        <f>Y517+T517+L517</f>
        <v/>
      </c>
      <c r="AA516" s="11">
        <f>Z517*20%</f>
        <v/>
      </c>
      <c r="AB516" s="12">
        <f>Z517+AA517</f>
        <v/>
      </c>
      <c r="AC516" s="2">
        <f>D517*2.1</f>
        <v/>
      </c>
      <c r="AD516" s="12">
        <f>AB517-AC517</f>
        <v/>
      </c>
      <c r="AE516" s="12">
        <f>AD517/AB517*100</f>
        <v/>
      </c>
      <c r="AG516" s="62">
        <f>((AF517-L517)/L517)*100</f>
        <v/>
      </c>
      <c r="AH516" s="106">
        <f>AJ517-AF517</f>
        <v/>
      </c>
      <c r="AI516" s="65" t="n">
        <v>33900</v>
      </c>
      <c r="AJ516" s="65" t="n">
        <v>31990</v>
      </c>
      <c r="AK516" s="66">
        <f>(AJ517-L517)/L517*100</f>
        <v/>
      </c>
      <c r="AL516" s="66" t="n"/>
      <c r="AM516" s="14">
        <f>AH517/AJ517%</f>
        <v/>
      </c>
      <c r="AN516" s="67">
        <f>AK517-AG517</f>
        <v/>
      </c>
      <c r="AO516" s="68">
        <f>AJ517/L517</f>
        <v/>
      </c>
      <c r="AP516" s="69">
        <f>(AJ517-AB517)/100</f>
        <v/>
      </c>
      <c r="AQ516" s="70">
        <f>(AJ517-AC517)/100</f>
        <v/>
      </c>
      <c r="AR516" s="71">
        <f>AI517/94</f>
        <v/>
      </c>
      <c r="AS516" s="71">
        <f>AJ517/94</f>
        <v/>
      </c>
      <c r="AT516" s="72">
        <f>AI517/24</f>
        <v/>
      </c>
      <c r="AU516" s="72">
        <f>AJ517/24</f>
        <v/>
      </c>
      <c r="AV516" s="73">
        <f>AI517/125</f>
        <v/>
      </c>
      <c r="AW516" s="73">
        <f>AJ517/125</f>
        <v/>
      </c>
    </row>
    <row r="517" ht="15.75" customHeight="1" s="258">
      <c r="A517" s="44" t="inlineStr">
        <is>
          <t>Heart Chakra Singing Bowl</t>
        </is>
      </c>
      <c r="B517" s="44" t="inlineStr">
        <is>
          <t>Standard</t>
        </is>
      </c>
      <c r="C517" s="111" t="inlineStr">
        <is>
          <t>MI-HCSB-S</t>
        </is>
      </c>
      <c r="D517" s="114" t="n">
        <v>5200</v>
      </c>
      <c r="E517" s="44" t="n">
        <v>130</v>
      </c>
      <c r="F517" s="44" t="n">
        <v>140</v>
      </c>
      <c r="G517" s="45" t="n">
        <v>83061000</v>
      </c>
      <c r="H517" s="115" t="n">
        <v>0.05</v>
      </c>
      <c r="I517" s="44">
        <f>D518*H518</f>
        <v/>
      </c>
      <c r="J517" s="113" t="n"/>
      <c r="K517" s="44" t="n">
        <v>200</v>
      </c>
      <c r="L517" s="48">
        <f>K518+J518+I518+F518+E518+D518</f>
        <v/>
      </c>
      <c r="M517" s="44">
        <f>D518*1%</f>
        <v/>
      </c>
      <c r="N517" s="49">
        <f>L518*8%</f>
        <v/>
      </c>
      <c r="O517" s="49">
        <f>L518*10%</f>
        <v/>
      </c>
      <c r="P517" s="49">
        <f>L518*5%</f>
        <v/>
      </c>
      <c r="Q517" s="49">
        <f>L518*2%</f>
        <v/>
      </c>
      <c r="R517" s="49">
        <f>AC518*0.5%</f>
        <v/>
      </c>
      <c r="S517" s="49">
        <f>L518*1%</f>
        <v/>
      </c>
      <c r="T517" s="50">
        <f>S518+Q518+P518+O518+N518+M518</f>
        <v/>
      </c>
      <c r="U517" s="44">
        <f>AC518*1%</f>
        <v/>
      </c>
      <c r="V517" s="44">
        <f>AC518*5%</f>
        <v/>
      </c>
      <c r="W517" s="44">
        <f>AC518*1%</f>
        <v/>
      </c>
      <c r="X517" s="44">
        <f>AC518*8%</f>
        <v/>
      </c>
      <c r="Y517" s="44">
        <f>U518+V518+W518+X518</f>
        <v/>
      </c>
      <c r="Z517" s="50">
        <f>Y518+T518+L518</f>
        <v/>
      </c>
      <c r="AA517" s="51">
        <f>Z518*20%</f>
        <v/>
      </c>
      <c r="AB517" s="49">
        <f>Z518+AA518</f>
        <v/>
      </c>
      <c r="AC517" s="44">
        <f>D518*2.1</f>
        <v/>
      </c>
      <c r="AD517" s="49">
        <f>AB518-AC518</f>
        <v/>
      </c>
      <c r="AE517" s="49">
        <f>AD518/AB518*100</f>
        <v/>
      </c>
      <c r="AF517" s="113" t="n">
        <v>10990</v>
      </c>
      <c r="AG517" s="116">
        <f>((AF518-L518)/L518)*100</f>
        <v/>
      </c>
      <c r="AH517" s="54">
        <f>AJ518-AF518</f>
        <v/>
      </c>
      <c r="AI517" s="54">
        <f>AB518</f>
        <v/>
      </c>
      <c r="AJ517" s="54" t="n">
        <v>10990</v>
      </c>
      <c r="AK517" s="55">
        <f>(AJ518-L518)/L518*100</f>
        <v/>
      </c>
      <c r="AL517" s="55" t="n"/>
      <c r="AM517" s="55">
        <f>AH518/AJ518%</f>
        <v/>
      </c>
      <c r="AN517" s="55">
        <f>AK518-AG518</f>
        <v/>
      </c>
      <c r="AO517" s="56">
        <f>AJ518/L518</f>
        <v/>
      </c>
      <c r="AP517" s="55">
        <f>(AJ518-AB518)/100</f>
        <v/>
      </c>
      <c r="AQ517" s="55">
        <f>(AJ518-AC518)/100</f>
        <v/>
      </c>
      <c r="AR517" s="57">
        <f>AI518/94</f>
        <v/>
      </c>
      <c r="AS517" s="57">
        <f>AJ518/94</f>
        <v/>
      </c>
      <c r="AT517" s="58">
        <f>AI518/24</f>
        <v/>
      </c>
      <c r="AU517" s="58">
        <f>AJ518/24</f>
        <v/>
      </c>
      <c r="AV517" s="58">
        <f>AI518/125</f>
        <v/>
      </c>
      <c r="AW517" s="58">
        <f>AJ518/125</f>
        <v/>
      </c>
      <c r="AX517" s="113" t="n"/>
      <c r="AY517" s="113" t="n"/>
    </row>
    <row r="518" ht="15.75" customHeight="1" s="258">
      <c r="A518" s="44" t="inlineStr">
        <is>
          <t>Joint Bowl or Knee Cut Bowl</t>
        </is>
      </c>
      <c r="B518" s="44" t="inlineStr">
        <is>
          <t>8 in</t>
        </is>
      </c>
      <c r="C518" s="44" t="inlineStr">
        <is>
          <t>MI-JB-8</t>
        </is>
      </c>
      <c r="D518" s="114" t="n">
        <v>4800</v>
      </c>
      <c r="E518" s="44" t="n">
        <v>120</v>
      </c>
      <c r="F518" s="44" t="n">
        <v>140</v>
      </c>
      <c r="G518" s="45" t="n">
        <v>83061000</v>
      </c>
      <c r="H518" s="115" t="n">
        <v>0.05</v>
      </c>
      <c r="I518" s="44">
        <f>D519*H519</f>
        <v/>
      </c>
      <c r="J518" s="113" t="n"/>
      <c r="K518" s="44" t="n">
        <v>200</v>
      </c>
      <c r="L518" s="48">
        <f>K519+J519+I519+F519+E519+D519</f>
        <v/>
      </c>
      <c r="M518" s="44">
        <f>D519*1%</f>
        <v/>
      </c>
      <c r="N518" s="49">
        <f>L519*8%</f>
        <v/>
      </c>
      <c r="O518" s="49">
        <f>L519*10%</f>
        <v/>
      </c>
      <c r="P518" s="49">
        <f>L519*5%</f>
        <v/>
      </c>
      <c r="Q518" s="49">
        <f>L519*2%</f>
        <v/>
      </c>
      <c r="R518" s="49">
        <f>AC519*0.5%</f>
        <v/>
      </c>
      <c r="S518" s="49">
        <f>L519*1%</f>
        <v/>
      </c>
      <c r="T518" s="50">
        <f>S519+Q519+P519+O519+N519+M519</f>
        <v/>
      </c>
      <c r="U518" s="44">
        <f>AC519*1%</f>
        <v/>
      </c>
      <c r="V518" s="44">
        <f>AC519*5%</f>
        <v/>
      </c>
      <c r="W518" s="44">
        <f>AC519*1%</f>
        <v/>
      </c>
      <c r="X518" s="44">
        <f>AC519*8%</f>
        <v/>
      </c>
      <c r="Y518" s="44">
        <f>U519+V519+W519+X519</f>
        <v/>
      </c>
      <c r="Z518" s="50">
        <f>Y519+T519+L519</f>
        <v/>
      </c>
      <c r="AA518" s="51">
        <f>Z519*20%</f>
        <v/>
      </c>
      <c r="AB518" s="49">
        <f>Z519+AA519</f>
        <v/>
      </c>
      <c r="AC518" s="44">
        <f>D519*2.1</f>
        <v/>
      </c>
      <c r="AD518" s="49">
        <f>AB519-AC519</f>
        <v/>
      </c>
      <c r="AE518" s="49">
        <f>AD519/AB519*100</f>
        <v/>
      </c>
      <c r="AF518" s="113" t="n">
        <v>9950</v>
      </c>
      <c r="AG518" s="116">
        <f>((AF519-L519)/L519)*100</f>
        <v/>
      </c>
      <c r="AH518" s="54">
        <f>AJ519-AF519</f>
        <v/>
      </c>
      <c r="AI518" s="54">
        <f>AB519</f>
        <v/>
      </c>
      <c r="AJ518" s="54" t="n">
        <v>9950</v>
      </c>
      <c r="AK518" s="55">
        <f>(AJ519-L519)/L519*100</f>
        <v/>
      </c>
      <c r="AL518" s="55" t="n"/>
      <c r="AM518" s="55">
        <f>AH519/AJ519%</f>
        <v/>
      </c>
      <c r="AN518" s="55">
        <f>AK519-AG519</f>
        <v/>
      </c>
      <c r="AO518" s="56">
        <f>AJ519/L519</f>
        <v/>
      </c>
      <c r="AP518" s="55">
        <f>(AJ519-AB519)/100</f>
        <v/>
      </c>
      <c r="AQ518" s="55">
        <f>(AJ519-AC519)/100</f>
        <v/>
      </c>
      <c r="AR518" s="57">
        <f>AI519/94</f>
        <v/>
      </c>
      <c r="AS518" s="57">
        <f>AJ519/94</f>
        <v/>
      </c>
      <c r="AT518" s="58">
        <f>AI519/24</f>
        <v/>
      </c>
      <c r="AU518" s="58">
        <f>AJ519/24</f>
        <v/>
      </c>
      <c r="AV518" s="58">
        <f>AI519/125</f>
        <v/>
      </c>
      <c r="AW518" s="58">
        <f>AJ519/125</f>
        <v/>
      </c>
      <c r="AX518" s="113" t="n"/>
      <c r="AY518" s="113" t="n"/>
    </row>
    <row r="519" ht="15.75" customHeight="1" s="258">
      <c r="A519" s="44" t="inlineStr">
        <is>
          <t>Joint Bowl or Knee Cut Bowl</t>
        </is>
      </c>
      <c r="B519" s="44" t="inlineStr">
        <is>
          <t>10 inch</t>
        </is>
      </c>
      <c r="C519" s="111" t="inlineStr">
        <is>
          <t>MI-JB-10</t>
        </is>
      </c>
      <c r="D519" s="114" t="n">
        <v>7000</v>
      </c>
      <c r="E519" s="44" t="n">
        <v>120</v>
      </c>
      <c r="F519" s="44" t="n">
        <v>140</v>
      </c>
      <c r="G519" s="45" t="n">
        <v>83061000</v>
      </c>
      <c r="H519" s="115" t="n"/>
      <c r="I519" s="44" t="n"/>
      <c r="J519" s="113" t="n"/>
      <c r="K519" s="44" t="n">
        <v>200</v>
      </c>
      <c r="L519" s="48">
        <f>K520+J520+I520+F520+E520+D520</f>
        <v/>
      </c>
      <c r="M519" s="44" t="n"/>
      <c r="N519" s="49" t="n"/>
      <c r="O519" s="49" t="n"/>
      <c r="P519" s="49" t="n"/>
      <c r="Q519" s="49" t="n"/>
      <c r="R519" s="49" t="n"/>
      <c r="S519" s="49" t="n"/>
      <c r="T519" s="48" t="n"/>
      <c r="U519" s="44" t="n"/>
      <c r="V519" s="44">
        <f>AC520*5%</f>
        <v/>
      </c>
      <c r="W519" s="44" t="n"/>
      <c r="X519" s="44" t="n"/>
      <c r="Y519" s="44" t="n"/>
      <c r="Z519" s="50" t="n"/>
      <c r="AA519" s="51" t="n"/>
      <c r="AB519" s="44" t="n"/>
      <c r="AC519" s="44" t="n"/>
      <c r="AD519" s="49" t="n"/>
      <c r="AE519" s="49" t="n"/>
      <c r="AF519" s="113" t="n">
        <v>12950</v>
      </c>
      <c r="AG519" s="116">
        <f>((AF520-L520)/L520)*100</f>
        <v/>
      </c>
      <c r="AH519" s="54" t="n"/>
      <c r="AI519" s="54" t="n"/>
      <c r="AJ519" s="54" t="n">
        <v>12950</v>
      </c>
      <c r="AK519" s="55">
        <f>(AJ520-L520)/L520*100</f>
        <v/>
      </c>
      <c r="AL519" s="55" t="n"/>
      <c r="AM519" s="55" t="n"/>
      <c r="AN519" s="55" t="n"/>
      <c r="AO519" s="56" t="n"/>
      <c r="AP519" s="55" t="n"/>
      <c r="AQ519" s="55" t="n"/>
      <c r="AR519" s="57" t="n"/>
      <c r="AS519" s="57" t="n"/>
      <c r="AT519" s="58" t="n"/>
      <c r="AU519" s="58" t="n"/>
      <c r="AV519" s="58" t="n"/>
      <c r="AW519" s="58" t="n"/>
      <c r="AX519" s="113" t="n"/>
      <c r="AY519" s="113" t="n"/>
    </row>
    <row r="520" ht="15.75" customHeight="1" s="258">
      <c r="A520" s="44" t="n"/>
      <c r="B520" s="44" t="n"/>
      <c r="C520" s="111" t="n"/>
      <c r="D520" s="231" t="n"/>
      <c r="E520" s="44" t="n"/>
      <c r="F520" s="44" t="n"/>
      <c r="G520" s="45" t="n"/>
      <c r="H520" s="115" t="n"/>
      <c r="I520" s="44" t="n"/>
      <c r="J520" s="113" t="n"/>
      <c r="K520" s="44" t="n"/>
      <c r="L520" s="48" t="n"/>
      <c r="M520" s="44" t="n"/>
      <c r="N520" s="49" t="n"/>
      <c r="O520" s="49" t="n"/>
      <c r="P520" s="49" t="n"/>
      <c r="Q520" s="49" t="n"/>
      <c r="R520" s="49" t="n"/>
      <c r="S520" s="49" t="n"/>
      <c r="T520" s="48" t="n"/>
      <c r="U520" s="44" t="n"/>
      <c r="V520" s="44">
        <f>AC521*5%</f>
        <v/>
      </c>
      <c r="W520" s="44" t="n"/>
      <c r="X520" s="44" t="n"/>
      <c r="Y520" s="44" t="n"/>
      <c r="Z520" s="50" t="n"/>
      <c r="AA520" s="51" t="n"/>
      <c r="AB520" s="44" t="n"/>
      <c r="AC520" s="44" t="n"/>
      <c r="AD520" s="49" t="n"/>
      <c r="AE520" s="49" t="n"/>
      <c r="AF520" s="113" t="n"/>
      <c r="AG520" s="116" t="n"/>
      <c r="AH520" s="54" t="n"/>
      <c r="AI520" s="54" t="n"/>
      <c r="AJ520" s="54" t="n"/>
      <c r="AK520" s="55" t="n"/>
      <c r="AL520" s="55" t="n"/>
      <c r="AM520" s="55" t="n"/>
      <c r="AN520" s="55" t="n"/>
      <c r="AO520" s="56" t="n"/>
      <c r="AP520" s="55" t="n"/>
      <c r="AQ520" s="55" t="n"/>
      <c r="AR520" s="57" t="n"/>
      <c r="AS520" s="57" t="n"/>
      <c r="AT520" s="58" t="n"/>
      <c r="AU520" s="58" t="n"/>
      <c r="AV520" s="58" t="n"/>
      <c r="AW520" s="58" t="n"/>
      <c r="AX520" s="113" t="n"/>
      <c r="AY520" s="113" t="n"/>
    </row>
    <row r="521" ht="15.75" customHeight="1" s="258">
      <c r="A521" s="2" t="inlineStr">
        <is>
          <t>Kenari Bracelet</t>
        </is>
      </c>
      <c r="B521" s="2" t="inlineStr">
        <is>
          <t>Standard</t>
        </is>
      </c>
      <c r="C521" s="2" t="inlineStr">
        <is>
          <t>MI-KR-BT</t>
        </is>
      </c>
      <c r="D521" s="121" t="n">
        <v>950</v>
      </c>
      <c r="E521" s="2" t="n">
        <v>50</v>
      </c>
      <c r="F521" s="2" t="n">
        <v>50</v>
      </c>
      <c r="G521" s="118" t="n">
        <v>44201900</v>
      </c>
      <c r="H521" s="255" t="n">
        <v>0.05</v>
      </c>
      <c r="I521" s="2">
        <f>D522*H522</f>
        <v/>
      </c>
      <c r="K521" s="2" t="n">
        <v>200</v>
      </c>
      <c r="L521" s="4">
        <f>K522+J522+I522+F522+E522+D522</f>
        <v/>
      </c>
      <c r="M521" s="2">
        <f>D522*1%</f>
        <v/>
      </c>
      <c r="N521" s="12">
        <f>L522*8%</f>
        <v/>
      </c>
      <c r="O521" s="12">
        <f>L522*10%</f>
        <v/>
      </c>
      <c r="P521" s="12">
        <f>L522*5%</f>
        <v/>
      </c>
      <c r="Q521" s="12">
        <f>L522*2%</f>
        <v/>
      </c>
      <c r="R521" s="12">
        <f>AC522*0.5%</f>
        <v/>
      </c>
      <c r="S521" s="12">
        <f>L522*1%</f>
        <v/>
      </c>
      <c r="T521" s="60">
        <f>S522+Q522+P522+O522+N522+M522</f>
        <v/>
      </c>
      <c r="U521" s="2">
        <f>AC522*1%</f>
        <v/>
      </c>
      <c r="V521" s="44">
        <f>AC522*5%</f>
        <v/>
      </c>
      <c r="W521" s="2">
        <f>AC522*1%</f>
        <v/>
      </c>
      <c r="X521" s="2">
        <f>AC522*8%</f>
        <v/>
      </c>
      <c r="Y521" s="2">
        <f>U522+V522+W522+X522</f>
        <v/>
      </c>
      <c r="Z521" s="60">
        <f>Y522+T522+L522</f>
        <v/>
      </c>
      <c r="AA521" s="11">
        <f>Z522*20%</f>
        <v/>
      </c>
      <c r="AB521" s="12">
        <f>Z522+AA522</f>
        <v/>
      </c>
      <c r="AC521" s="2">
        <f>D522*2.1</f>
        <v/>
      </c>
      <c r="AD521" s="12">
        <f>AB522-AC522</f>
        <v/>
      </c>
      <c r="AE521" s="12">
        <f>AD522/AB522*100</f>
        <v/>
      </c>
      <c r="AF521" s="92" t="n">
        <v>1350</v>
      </c>
      <c r="AG521" s="62">
        <f>((AF522-L522)/L522)*100</f>
        <v/>
      </c>
      <c r="AH521" s="106">
        <f>AJ522-AF522</f>
        <v/>
      </c>
      <c r="AI521" s="65">
        <f>AB522</f>
        <v/>
      </c>
      <c r="AJ521" s="65" t="n">
        <v>1990</v>
      </c>
      <c r="AK521" s="66">
        <f>(AJ522-L522)/L522*100</f>
        <v/>
      </c>
      <c r="AL521" s="66" t="n"/>
      <c r="AM521" s="14">
        <f>AH522/AJ522%</f>
        <v/>
      </c>
      <c r="AN521" s="67">
        <f>AK522-AG522</f>
        <v/>
      </c>
      <c r="AO521" s="68">
        <f>AJ522/L522</f>
        <v/>
      </c>
      <c r="AP521" s="69">
        <f>(AJ522-AB522)/100</f>
        <v/>
      </c>
      <c r="AQ521" s="70">
        <f>(AJ522-AC522)/100</f>
        <v/>
      </c>
      <c r="AR521" s="71">
        <f>AI522/94</f>
        <v/>
      </c>
      <c r="AS521" s="71">
        <f>AJ522/94</f>
        <v/>
      </c>
      <c r="AT521" s="72">
        <f>AI522/24</f>
        <v/>
      </c>
      <c r="AU521" s="72">
        <f>AJ522/24</f>
        <v/>
      </c>
      <c r="AV521" s="73">
        <f>AI522/125</f>
        <v/>
      </c>
      <c r="AW521" s="73">
        <f>AJ522/125</f>
        <v/>
      </c>
    </row>
    <row r="522" ht="15.75" customHeight="1" s="258">
      <c r="A522" s="2" t="inlineStr">
        <is>
          <t>Kenari Chimes - Small &amp; Large</t>
        </is>
      </c>
      <c r="B522" s="2" t="inlineStr">
        <is>
          <t>Small</t>
        </is>
      </c>
      <c r="C522" s="91" t="inlineStr">
        <is>
          <t>MI-KC-S</t>
        </is>
      </c>
      <c r="D522" s="118" t="n">
        <v>1200</v>
      </c>
      <c r="E522" s="2" t="n">
        <v>100</v>
      </c>
      <c r="F522" s="2" t="n">
        <v>85</v>
      </c>
      <c r="G522" s="118" t="n">
        <v>83061000</v>
      </c>
      <c r="H522" s="255" t="n">
        <v>0.05</v>
      </c>
      <c r="I522" s="2">
        <f>D523*H523</f>
        <v/>
      </c>
      <c r="K522" s="2" t="n">
        <v>100</v>
      </c>
      <c r="L522" s="4">
        <f>K523+J523+I523+F523+E523+D523</f>
        <v/>
      </c>
      <c r="M522" s="2">
        <f>D523*1%</f>
        <v/>
      </c>
      <c r="N522" s="12">
        <f>L523*8%</f>
        <v/>
      </c>
      <c r="O522" s="12">
        <f>L523*10%</f>
        <v/>
      </c>
      <c r="P522" s="12">
        <f>L523*5%</f>
        <v/>
      </c>
      <c r="Q522" s="12">
        <f>L523*2%</f>
        <v/>
      </c>
      <c r="R522" s="12">
        <f>AC523*0.5%</f>
        <v/>
      </c>
      <c r="S522" s="12">
        <f>L523*1%</f>
        <v/>
      </c>
      <c r="T522" s="60">
        <f>S523+Q523+P523+O523+N523+M523</f>
        <v/>
      </c>
      <c r="U522" s="2">
        <f>AC523*1%</f>
        <v/>
      </c>
      <c r="V522" s="44">
        <f>AC523*5%</f>
        <v/>
      </c>
      <c r="W522" s="2">
        <f>AC523*1%</f>
        <v/>
      </c>
      <c r="X522" s="2">
        <f>AC523*8%</f>
        <v/>
      </c>
      <c r="Y522" s="2">
        <f>U523+V523+W523+X523</f>
        <v/>
      </c>
      <c r="Z522" s="60">
        <f>Y523+T523+L523</f>
        <v/>
      </c>
      <c r="AA522" s="11">
        <f>Z523*20%</f>
        <v/>
      </c>
      <c r="AB522" s="12">
        <f>Z523+AA523</f>
        <v/>
      </c>
      <c r="AC522" s="2">
        <f>D523*2.1</f>
        <v/>
      </c>
      <c r="AD522" s="12">
        <f>AB523-AC523</f>
        <v/>
      </c>
      <c r="AE522" s="12">
        <f>AD523/AB523*100</f>
        <v/>
      </c>
      <c r="AG522" s="62">
        <f>((AF523-L523)/L523)*100</f>
        <v/>
      </c>
      <c r="AH522" s="106">
        <f>AJ523-AF523</f>
        <v/>
      </c>
      <c r="AI522" s="65">
        <f>AB523</f>
        <v/>
      </c>
      <c r="AJ522" s="65" t="n">
        <v>2190</v>
      </c>
      <c r="AK522" s="66">
        <f>(AJ523-L523)/L523*100</f>
        <v/>
      </c>
      <c r="AL522" s="66" t="n"/>
      <c r="AM522" s="14">
        <f>AH523/AJ523%</f>
        <v/>
      </c>
      <c r="AN522" s="67">
        <f>AK523-AG523</f>
        <v/>
      </c>
      <c r="AO522" s="68">
        <f>AJ523/L523</f>
        <v/>
      </c>
      <c r="AP522" s="69">
        <f>(AJ523-AB523)/100</f>
        <v/>
      </c>
      <c r="AQ522" s="70">
        <f>(AJ523-AC523)/100</f>
        <v/>
      </c>
      <c r="AR522" s="71">
        <f>AI523/94</f>
        <v/>
      </c>
      <c r="AS522" s="71">
        <f>AJ523/94</f>
        <v/>
      </c>
      <c r="AT522" s="72">
        <f>AI523/24</f>
        <v/>
      </c>
      <c r="AU522" s="72">
        <f>AJ523/24</f>
        <v/>
      </c>
      <c r="AV522" s="73">
        <f>AI523/125</f>
        <v/>
      </c>
      <c r="AW522" s="73">
        <f>AJ523/125</f>
        <v/>
      </c>
    </row>
    <row r="523" ht="15" customHeight="1" s="258">
      <c r="A523" s="2" t="n"/>
      <c r="B523" s="2" t="inlineStr">
        <is>
          <t>Large</t>
        </is>
      </c>
      <c r="C523" s="91" t="inlineStr">
        <is>
          <t>MI-KC-L</t>
        </is>
      </c>
      <c r="D523" s="118" t="n">
        <v>3800</v>
      </c>
      <c r="E523" s="2" t="n">
        <v>150</v>
      </c>
      <c r="F523" s="2" t="n">
        <v>95</v>
      </c>
      <c r="G523" s="118" t="n">
        <v>83061000</v>
      </c>
      <c r="H523" s="255" t="n">
        <v>0.05</v>
      </c>
      <c r="I523" s="2">
        <f>D524*H524</f>
        <v/>
      </c>
      <c r="K523" s="2" t="n">
        <v>100</v>
      </c>
      <c r="L523" s="4">
        <f>K524+J524+I524+F524+E524+D524</f>
        <v/>
      </c>
      <c r="M523" s="2">
        <f>D524*1%</f>
        <v/>
      </c>
      <c r="N523" s="12">
        <f>L524*8%</f>
        <v/>
      </c>
      <c r="O523" s="12">
        <f>L524*10%</f>
        <v/>
      </c>
      <c r="P523" s="12">
        <f>L524*5%</f>
        <v/>
      </c>
      <c r="Q523" s="12">
        <f>L524*2%</f>
        <v/>
      </c>
      <c r="R523" s="12">
        <f>AC524*0.5%</f>
        <v/>
      </c>
      <c r="S523" s="12">
        <f>L524*1%</f>
        <v/>
      </c>
      <c r="T523" s="60">
        <f>S524+Q524+P524+O524+N524+M524</f>
        <v/>
      </c>
      <c r="U523" s="2">
        <f>AC524*1%</f>
        <v/>
      </c>
      <c r="V523" s="44">
        <f>AC524*5%</f>
        <v/>
      </c>
      <c r="W523" s="2">
        <f>AC524*1%</f>
        <v/>
      </c>
      <c r="X523" s="2">
        <f>AC524*8%</f>
        <v/>
      </c>
      <c r="Y523" s="2">
        <f>U524+V524+W524+X524</f>
        <v/>
      </c>
      <c r="Z523" s="60">
        <f>Y524+T524+L524</f>
        <v/>
      </c>
      <c r="AA523" s="11">
        <f>Z524*20%</f>
        <v/>
      </c>
      <c r="AB523" s="12">
        <f>Z524+AA524</f>
        <v/>
      </c>
      <c r="AC523" s="2">
        <f>D524*2.1</f>
        <v/>
      </c>
      <c r="AD523" s="12">
        <f>AB524-AC524</f>
        <v/>
      </c>
      <c r="AE523" s="12">
        <f>AD524/AB524*100</f>
        <v/>
      </c>
      <c r="AG523" s="62">
        <f>((AF524-L524)/L524)*100</f>
        <v/>
      </c>
      <c r="AH523" s="106">
        <f>AJ524-AF524</f>
        <v/>
      </c>
      <c r="AI523" s="65">
        <f>AB524</f>
        <v/>
      </c>
      <c r="AJ523" s="65" t="n">
        <v>4990</v>
      </c>
      <c r="AK523" s="66">
        <f>(AJ524-L524)/L524*100</f>
        <v/>
      </c>
      <c r="AL523" s="66" t="n"/>
      <c r="AM523" s="14">
        <f>AH524/AJ524%</f>
        <v/>
      </c>
      <c r="AN523" s="67">
        <f>AK524-AG524</f>
        <v/>
      </c>
      <c r="AO523" s="68">
        <f>AJ524/L524</f>
        <v/>
      </c>
      <c r="AP523" s="69">
        <f>(AJ524-AB524)/100</f>
        <v/>
      </c>
      <c r="AQ523" s="70">
        <f>(AJ524-AC524)/100</f>
        <v/>
      </c>
      <c r="AR523" s="71">
        <f>AI524/94</f>
        <v/>
      </c>
      <c r="AS523" s="71">
        <f>AJ524/94</f>
        <v/>
      </c>
      <c r="AT523" s="72">
        <f>AI524/24</f>
        <v/>
      </c>
      <c r="AU523" s="72">
        <f>AJ524/24</f>
        <v/>
      </c>
      <c r="AV523" s="73">
        <f>AI524/125</f>
        <v/>
      </c>
      <c r="AW523" s="73">
        <f>AJ524/125</f>
        <v/>
      </c>
    </row>
    <row r="524" ht="15.75" customHeight="1" s="258">
      <c r="A524" s="2" t="inlineStr">
        <is>
          <t>Lotus Yoga Mat</t>
        </is>
      </c>
      <c r="B524" s="2" t="inlineStr">
        <is>
          <t>Moderate / Teal</t>
        </is>
      </c>
      <c r="C524" s="91" t="inlineStr">
        <is>
          <t>YO-YMA-M-T</t>
        </is>
      </c>
      <c r="D524" s="118" t="n">
        <v>1000</v>
      </c>
      <c r="F524" s="2" t="n">
        <v>85</v>
      </c>
      <c r="G524" s="118" t="n">
        <v>5705</v>
      </c>
      <c r="H524" s="255" t="n">
        <v>0.05</v>
      </c>
      <c r="I524" s="2">
        <f>D525*H525</f>
        <v/>
      </c>
      <c r="K524" s="2" t="n">
        <v>100</v>
      </c>
      <c r="L524" s="4">
        <f>K525+J525+I525+F525+E525+D525</f>
        <v/>
      </c>
      <c r="M524" s="2">
        <f>D525*1%</f>
        <v/>
      </c>
      <c r="N524" s="12">
        <f>L525*8%</f>
        <v/>
      </c>
      <c r="O524" s="12">
        <f>L525*10%</f>
        <v/>
      </c>
      <c r="P524" s="12">
        <f>L525*5%</f>
        <v/>
      </c>
      <c r="Q524" s="12">
        <f>L525*2%</f>
        <v/>
      </c>
      <c r="R524" s="12">
        <f>AC525*0.5%</f>
        <v/>
      </c>
      <c r="S524" s="12">
        <f>L525*1%</f>
        <v/>
      </c>
      <c r="T524" s="60">
        <f>S525+Q525+P525+O525+N525+M525</f>
        <v/>
      </c>
      <c r="U524" s="2">
        <f>AC525*1%</f>
        <v/>
      </c>
      <c r="V524" s="44">
        <f>AC525*5%</f>
        <v/>
      </c>
      <c r="W524" s="2">
        <f>AC525*1%</f>
        <v/>
      </c>
      <c r="X524" s="2">
        <f>AC525*8%</f>
        <v/>
      </c>
      <c r="Y524" s="2">
        <f>U525+V525+W525+X525</f>
        <v/>
      </c>
      <c r="Z524" s="60">
        <f>Y525+T525+L525</f>
        <v/>
      </c>
      <c r="AA524" s="11">
        <f>Z525*20%</f>
        <v/>
      </c>
      <c r="AB524" s="12">
        <f>Z525+AA525</f>
        <v/>
      </c>
      <c r="AC524" s="2">
        <f>D525*2.1</f>
        <v/>
      </c>
      <c r="AD524" s="12">
        <f>AB525-AC525</f>
        <v/>
      </c>
      <c r="AE524" s="12">
        <f>AD525/AB525*100</f>
        <v/>
      </c>
      <c r="AG524" s="62">
        <f>((AF525-L525)/L525)*100</f>
        <v/>
      </c>
      <c r="AH524" s="106">
        <f>AJ525-AF525</f>
        <v/>
      </c>
      <c r="AI524" s="65">
        <f>AB525</f>
        <v/>
      </c>
      <c r="AJ524" s="65" t="n">
        <v>1490</v>
      </c>
      <c r="AK524" s="66">
        <f>(AJ525-L525)/L525*100</f>
        <v/>
      </c>
      <c r="AL524" s="66" t="n"/>
      <c r="AM524" s="14">
        <f>AH525/AJ525%</f>
        <v/>
      </c>
      <c r="AN524" s="67">
        <f>AK525-AG525</f>
        <v/>
      </c>
      <c r="AO524" s="68">
        <f>AJ525/L525</f>
        <v/>
      </c>
      <c r="AP524" s="69">
        <f>(AJ525-AB525)/100</f>
        <v/>
      </c>
      <c r="AQ524" s="70">
        <f>(AJ525-AC525)/100</f>
        <v/>
      </c>
      <c r="AR524" s="71">
        <f>AI525/94</f>
        <v/>
      </c>
      <c r="AS524" s="71">
        <f>AJ525/94</f>
        <v/>
      </c>
      <c r="AT524" s="72">
        <f>AI525/24</f>
        <v/>
      </c>
      <c r="AU524" s="72">
        <f>AJ525/24</f>
        <v/>
      </c>
      <c r="AV524" s="73">
        <f>AI525/125</f>
        <v/>
      </c>
      <c r="AW524" s="73">
        <f>AJ525/125</f>
        <v/>
      </c>
    </row>
    <row r="525" ht="15" customHeight="1" s="258">
      <c r="A525" s="2" t="n"/>
      <c r="B525" s="2" t="inlineStr">
        <is>
          <t>Moderate / Orange</t>
        </is>
      </c>
      <c r="C525" s="91" t="inlineStr">
        <is>
          <t>YO-YMA-M-O</t>
        </is>
      </c>
      <c r="D525" s="118" t="n">
        <v>1000</v>
      </c>
      <c r="F525" s="2" t="n">
        <v>85</v>
      </c>
      <c r="G525" s="118" t="n">
        <v>5705</v>
      </c>
      <c r="H525" s="255" t="n">
        <v>0.05</v>
      </c>
      <c r="I525" s="2">
        <f>D526*H526</f>
        <v/>
      </c>
      <c r="K525" s="2" t="n">
        <v>100</v>
      </c>
      <c r="L525" s="4">
        <f>K526+J526+I526+F526+E526+D526</f>
        <v/>
      </c>
      <c r="M525" s="2">
        <f>D526*1%</f>
        <v/>
      </c>
      <c r="N525" s="12">
        <f>L526*8%</f>
        <v/>
      </c>
      <c r="O525" s="12">
        <f>L526*10%</f>
        <v/>
      </c>
      <c r="P525" s="12">
        <f>L526*5%</f>
        <v/>
      </c>
      <c r="Q525" s="12">
        <f>L526*2%</f>
        <v/>
      </c>
      <c r="R525" s="12">
        <f>AC526*0.5%</f>
        <v/>
      </c>
      <c r="S525" s="12">
        <f>L526*1%</f>
        <v/>
      </c>
      <c r="T525" s="60">
        <f>S526+Q526+P526+O526+N526+M526</f>
        <v/>
      </c>
      <c r="U525" s="2">
        <f>AC526*1%</f>
        <v/>
      </c>
      <c r="V525" s="44">
        <f>AC526*5%</f>
        <v/>
      </c>
      <c r="W525" s="2">
        <f>AC526*1%</f>
        <v/>
      </c>
      <c r="X525" s="2">
        <f>AC526*8%</f>
        <v/>
      </c>
      <c r="Y525" s="2">
        <f>U526+V526+W526+X526</f>
        <v/>
      </c>
      <c r="Z525" s="60">
        <f>Y526+T526+L526</f>
        <v/>
      </c>
      <c r="AA525" s="11">
        <f>Z526*20%</f>
        <v/>
      </c>
      <c r="AB525" s="12">
        <f>Z526+AA526</f>
        <v/>
      </c>
      <c r="AC525" s="2">
        <f>D526*2.1</f>
        <v/>
      </c>
      <c r="AD525" s="12">
        <f>AB526-AC526</f>
        <v/>
      </c>
      <c r="AE525" s="12">
        <f>AD526/AB526*100</f>
        <v/>
      </c>
      <c r="AG525" s="62">
        <f>((AF526-L526)/L526)*100</f>
        <v/>
      </c>
      <c r="AH525" s="106">
        <f>AJ526-AF526</f>
        <v/>
      </c>
      <c r="AI525" s="65">
        <f>AB526</f>
        <v/>
      </c>
      <c r="AJ525" s="65" t="n">
        <v>1490</v>
      </c>
      <c r="AK525" s="66">
        <f>(AJ526-L526)/L526*100</f>
        <v/>
      </c>
      <c r="AL525" s="66" t="n"/>
      <c r="AM525" s="14">
        <f>AH526/AJ526%</f>
        <v/>
      </c>
      <c r="AN525" s="67">
        <f>AK526-AG526</f>
        <v/>
      </c>
      <c r="AO525" s="68">
        <f>AJ526/L526</f>
        <v/>
      </c>
      <c r="AP525" s="69">
        <f>(AJ526-AB526)/100</f>
        <v/>
      </c>
      <c r="AQ525" s="70">
        <f>(AJ526-AC526)/100</f>
        <v/>
      </c>
      <c r="AR525" s="71">
        <f>AI526/94</f>
        <v/>
      </c>
      <c r="AS525" s="71">
        <f>AJ526/94</f>
        <v/>
      </c>
      <c r="AT525" s="72">
        <f>AI526/24</f>
        <v/>
      </c>
      <c r="AU525" s="72">
        <f>AJ526/24</f>
        <v/>
      </c>
      <c r="AV525" s="73">
        <f>AI526/125</f>
        <v/>
      </c>
      <c r="AW525" s="73">
        <f>AJ526/125</f>
        <v/>
      </c>
    </row>
    <row r="526" ht="15.75" customHeight="1" s="258">
      <c r="A526" s="2" t="n"/>
      <c r="B526" s="2" t="inlineStr">
        <is>
          <t>Moderate / Yellow</t>
        </is>
      </c>
      <c r="C526" s="91" t="inlineStr">
        <is>
          <t>YO-YMA-M-Y</t>
        </is>
      </c>
      <c r="D526" s="118" t="n">
        <v>1000</v>
      </c>
      <c r="F526" s="2" t="n">
        <v>85</v>
      </c>
      <c r="G526" s="118" t="n">
        <v>5705</v>
      </c>
      <c r="H526" s="255" t="n">
        <v>0.05</v>
      </c>
      <c r="I526" s="2">
        <f>D527*H527</f>
        <v/>
      </c>
      <c r="K526" s="2" t="n">
        <v>100</v>
      </c>
      <c r="L526" s="4">
        <f>K527+J527+I527+F527+E527+D527</f>
        <v/>
      </c>
      <c r="M526" s="2">
        <f>D527*1%</f>
        <v/>
      </c>
      <c r="N526" s="12">
        <f>L527*8%</f>
        <v/>
      </c>
      <c r="O526" s="12">
        <f>L527*10%</f>
        <v/>
      </c>
      <c r="P526" s="12">
        <f>L527*5%</f>
        <v/>
      </c>
      <c r="Q526" s="12">
        <f>L527*2%</f>
        <v/>
      </c>
      <c r="R526" s="12">
        <f>AC527*0.5%</f>
        <v/>
      </c>
      <c r="S526" s="12">
        <f>L527*1%</f>
        <v/>
      </c>
      <c r="T526" s="60">
        <f>S527+Q527+P527+O527+N527+M527</f>
        <v/>
      </c>
      <c r="U526" s="2">
        <f>AC527*1%</f>
        <v/>
      </c>
      <c r="V526" s="44">
        <f>AC527*5%</f>
        <v/>
      </c>
      <c r="W526" s="2">
        <f>AC527*1%</f>
        <v/>
      </c>
      <c r="X526" s="2">
        <f>AC527*8%</f>
        <v/>
      </c>
      <c r="Y526" s="2">
        <f>U527+V527+W527+X527</f>
        <v/>
      </c>
      <c r="Z526" s="60">
        <f>Y527+T527+L527</f>
        <v/>
      </c>
      <c r="AA526" s="11">
        <f>Z527*20%</f>
        <v/>
      </c>
      <c r="AB526" s="12">
        <f>Z527+AA527</f>
        <v/>
      </c>
      <c r="AC526" s="2">
        <f>D527*2.1</f>
        <v/>
      </c>
      <c r="AD526" s="12">
        <f>AB527-AC527</f>
        <v/>
      </c>
      <c r="AE526" s="12">
        <f>AD527/AB527*100</f>
        <v/>
      </c>
      <c r="AG526" s="62">
        <f>((AF527-L527)/L527)*100</f>
        <v/>
      </c>
      <c r="AH526" s="106">
        <f>AJ527-AF527</f>
        <v/>
      </c>
      <c r="AI526" s="65">
        <f>AB527</f>
        <v/>
      </c>
      <c r="AJ526" s="65" t="n">
        <v>1490</v>
      </c>
      <c r="AK526" s="66">
        <f>(AJ527-L527)/L527*100</f>
        <v/>
      </c>
      <c r="AL526" s="66" t="n"/>
      <c r="AM526" s="14">
        <f>AH527/AJ527%</f>
        <v/>
      </c>
      <c r="AN526" s="67">
        <f>AK527-AG527</f>
        <v/>
      </c>
      <c r="AO526" s="68">
        <f>AJ527/L527</f>
        <v/>
      </c>
      <c r="AP526" s="69">
        <f>(AJ527-AB527)/100</f>
        <v/>
      </c>
      <c r="AQ526" s="70">
        <f>(AJ527-AC527)/100</f>
        <v/>
      </c>
      <c r="AR526" s="71">
        <f>AI527/94</f>
        <v/>
      </c>
      <c r="AS526" s="71">
        <f>AJ527/94</f>
        <v/>
      </c>
      <c r="AT526" s="72">
        <f>AI527/24</f>
        <v/>
      </c>
      <c r="AU526" s="72">
        <f>AJ527/24</f>
        <v/>
      </c>
      <c r="AV526" s="73">
        <f>AI527/125</f>
        <v/>
      </c>
      <c r="AW526" s="73">
        <f>AJ527/125</f>
        <v/>
      </c>
    </row>
    <row r="527" ht="15.75" customHeight="1" s="258">
      <c r="A527" s="2" t="n"/>
      <c r="B527" s="2" t="inlineStr">
        <is>
          <t>Moderate / Pink</t>
        </is>
      </c>
      <c r="C527" s="91" t="inlineStr">
        <is>
          <t>YO-YMA-M-P</t>
        </is>
      </c>
      <c r="D527" s="118" t="n">
        <v>1000</v>
      </c>
      <c r="F527" s="2" t="n">
        <v>85</v>
      </c>
      <c r="G527" s="118" t="n">
        <v>5705</v>
      </c>
      <c r="H527" s="255" t="n">
        <v>0.05</v>
      </c>
      <c r="I527" s="2">
        <f>D528*H528</f>
        <v/>
      </c>
      <c r="K527" s="2" t="n">
        <v>100</v>
      </c>
      <c r="L527" s="4">
        <f>K528+J528+I528+F528+E528+D528</f>
        <v/>
      </c>
      <c r="M527" s="2">
        <f>D528*1%</f>
        <v/>
      </c>
      <c r="N527" s="12">
        <f>L528*8%</f>
        <v/>
      </c>
      <c r="O527" s="12">
        <f>L528*10%</f>
        <v/>
      </c>
      <c r="P527" s="12">
        <f>L528*5%</f>
        <v/>
      </c>
      <c r="Q527" s="12">
        <f>L528*2%</f>
        <v/>
      </c>
      <c r="R527" s="12">
        <f>AC528*0.5%</f>
        <v/>
      </c>
      <c r="S527" s="12">
        <f>L528*1%</f>
        <v/>
      </c>
      <c r="T527" s="60">
        <f>S528+Q528+P528+O528+N528+M528</f>
        <v/>
      </c>
      <c r="U527" s="2">
        <f>AC528*1%</f>
        <v/>
      </c>
      <c r="V527" s="44">
        <f>AC528*5%</f>
        <v/>
      </c>
      <c r="W527" s="2">
        <f>AC528*1%</f>
        <v/>
      </c>
      <c r="X527" s="2">
        <f>AC528*8%</f>
        <v/>
      </c>
      <c r="Y527" s="2">
        <f>U528+V528+W528+X528</f>
        <v/>
      </c>
      <c r="Z527" s="60">
        <f>Y528+T528+L528</f>
        <v/>
      </c>
      <c r="AA527" s="11">
        <f>Z528*20%</f>
        <v/>
      </c>
      <c r="AB527" s="12">
        <f>Z528+AA528</f>
        <v/>
      </c>
      <c r="AC527" s="2">
        <f>D528*2.1</f>
        <v/>
      </c>
      <c r="AD527" s="12">
        <f>AB528-AC528</f>
        <v/>
      </c>
      <c r="AE527" s="12">
        <f>AD528/AB528*100</f>
        <v/>
      </c>
      <c r="AG527" s="62">
        <f>((AF528-L528)/L528)*100</f>
        <v/>
      </c>
      <c r="AH527" s="106">
        <f>AJ528-AF528</f>
        <v/>
      </c>
      <c r="AI527" s="65">
        <f>AB528</f>
        <v/>
      </c>
      <c r="AJ527" s="65" t="n">
        <v>1490</v>
      </c>
      <c r="AK527" s="66">
        <f>(AJ528-L528)/L528*100</f>
        <v/>
      </c>
      <c r="AL527" s="66" t="n"/>
      <c r="AM527" s="14">
        <f>AH528/AJ528%</f>
        <v/>
      </c>
      <c r="AN527" s="67">
        <f>AK528-AG528</f>
        <v/>
      </c>
      <c r="AO527" s="68">
        <f>AJ528/L528</f>
        <v/>
      </c>
      <c r="AP527" s="69">
        <f>(AJ528-AB528)/100</f>
        <v/>
      </c>
      <c r="AQ527" s="70">
        <f>(AJ528-AC528)/100</f>
        <v/>
      </c>
      <c r="AR527" s="71">
        <f>AI528/94</f>
        <v/>
      </c>
      <c r="AS527" s="71">
        <f>AJ528/94</f>
        <v/>
      </c>
      <c r="AT527" s="72">
        <f>AI528/24</f>
        <v/>
      </c>
      <c r="AU527" s="72">
        <f>AJ528/24</f>
        <v/>
      </c>
      <c r="AV527" s="73">
        <f>AI528/125</f>
        <v/>
      </c>
      <c r="AW527" s="73">
        <f>AJ528/125</f>
        <v/>
      </c>
    </row>
    <row r="528" ht="15.75" customHeight="1" s="258">
      <c r="A528" s="2" t="n"/>
      <c r="B528" s="2" t="inlineStr">
        <is>
          <t>Teal / Superior</t>
        </is>
      </c>
      <c r="C528" s="91" t="inlineStr">
        <is>
          <t>YO-YMA-T-S</t>
        </is>
      </c>
      <c r="D528" s="118" t="n">
        <v>1100</v>
      </c>
      <c r="F528" s="2" t="n">
        <v>85</v>
      </c>
      <c r="G528" s="118" t="n">
        <v>5705</v>
      </c>
      <c r="H528" s="255" t="n">
        <v>0.05</v>
      </c>
      <c r="I528" s="2">
        <f>D529*H529</f>
        <v/>
      </c>
      <c r="K528" s="2" t="n">
        <v>100</v>
      </c>
      <c r="L528" s="4">
        <f>K529+J529+I529+F529+E529+D529</f>
        <v/>
      </c>
      <c r="M528" s="2">
        <f>D529*1%</f>
        <v/>
      </c>
      <c r="N528" s="12">
        <f>L529*8%</f>
        <v/>
      </c>
      <c r="O528" s="12">
        <f>L529*10%</f>
        <v/>
      </c>
      <c r="P528" s="12">
        <f>L529*5%</f>
        <v/>
      </c>
      <c r="Q528" s="12">
        <f>L529*2%</f>
        <v/>
      </c>
      <c r="R528" s="12">
        <f>AC529*0.5%</f>
        <v/>
      </c>
      <c r="S528" s="12">
        <f>L529*1%</f>
        <v/>
      </c>
      <c r="T528" s="60">
        <f>S529+Q529+P529+O529+N529+M529</f>
        <v/>
      </c>
      <c r="U528" s="2">
        <f>AC529*1%</f>
        <v/>
      </c>
      <c r="V528" s="44">
        <f>AC529*5%</f>
        <v/>
      </c>
      <c r="W528" s="2">
        <f>AC529*1%</f>
        <v/>
      </c>
      <c r="X528" s="2">
        <f>AC529*8%</f>
        <v/>
      </c>
      <c r="Y528" s="2">
        <f>U529+V529+W529+X529</f>
        <v/>
      </c>
      <c r="Z528" s="60">
        <f>Y529+T529+L529</f>
        <v/>
      </c>
      <c r="AA528" s="11">
        <f>Z529*20%</f>
        <v/>
      </c>
      <c r="AB528" s="12">
        <f>Z529+AA529</f>
        <v/>
      </c>
      <c r="AC528" s="2">
        <f>D529*2.1</f>
        <v/>
      </c>
      <c r="AD528" s="12">
        <f>AB529-AC529</f>
        <v/>
      </c>
      <c r="AE528" s="12">
        <f>AD529/AB529*100</f>
        <v/>
      </c>
      <c r="AG528" s="62">
        <f>((AF529-L529)/L529)*100</f>
        <v/>
      </c>
      <c r="AH528" s="106">
        <f>AJ529-AF529</f>
        <v/>
      </c>
      <c r="AI528" s="65">
        <f>AB529</f>
        <v/>
      </c>
      <c r="AJ528" s="65" t="n">
        <v>1490</v>
      </c>
      <c r="AK528" s="66">
        <f>(AJ529-L529)/L529*100</f>
        <v/>
      </c>
      <c r="AL528" s="66" t="n"/>
      <c r="AM528" s="14">
        <f>AH529/AJ529%</f>
        <v/>
      </c>
      <c r="AN528" s="67">
        <f>AK529-AG529</f>
        <v/>
      </c>
      <c r="AO528" s="68">
        <f>AJ529/L529</f>
        <v/>
      </c>
      <c r="AP528" s="69">
        <f>(AJ529-AB529)/100</f>
        <v/>
      </c>
      <c r="AQ528" s="70">
        <f>(AJ529-AC529)/100</f>
        <v/>
      </c>
      <c r="AR528" s="71">
        <f>AI529/94</f>
        <v/>
      </c>
      <c r="AS528" s="71">
        <f>AJ529/94</f>
        <v/>
      </c>
      <c r="AT528" s="72">
        <f>AI529/24</f>
        <v/>
      </c>
      <c r="AU528" s="72">
        <f>AJ529/24</f>
        <v/>
      </c>
      <c r="AV528" s="73">
        <f>AI529/125</f>
        <v/>
      </c>
      <c r="AW528" s="73">
        <f>AJ529/125</f>
        <v/>
      </c>
    </row>
    <row r="529" ht="15.75" customHeight="1" s="258">
      <c r="A529" s="2" t="n"/>
      <c r="B529" s="2" t="inlineStr">
        <is>
          <t>Orange / Superior</t>
        </is>
      </c>
      <c r="C529" s="91" t="inlineStr">
        <is>
          <t>YO-YMA-O-S</t>
        </is>
      </c>
      <c r="D529" s="118" t="n">
        <v>1100</v>
      </c>
      <c r="F529" s="2" t="n">
        <v>85</v>
      </c>
      <c r="G529" s="118" t="n">
        <v>5705</v>
      </c>
      <c r="H529" s="255" t="n">
        <v>0.05</v>
      </c>
      <c r="I529" s="2">
        <f>D530*H530</f>
        <v/>
      </c>
      <c r="K529" s="2" t="n">
        <v>100</v>
      </c>
      <c r="L529" s="4">
        <f>K530+J530+I530+F530+E530+D530</f>
        <v/>
      </c>
      <c r="M529" s="2">
        <f>D530*1%</f>
        <v/>
      </c>
      <c r="N529" s="12">
        <f>L530*8%</f>
        <v/>
      </c>
      <c r="O529" s="12">
        <f>L530*10%</f>
        <v/>
      </c>
      <c r="P529" s="12">
        <f>L530*5%</f>
        <v/>
      </c>
      <c r="Q529" s="12">
        <f>L530*2%</f>
        <v/>
      </c>
      <c r="R529" s="12">
        <f>AC530*0.5%</f>
        <v/>
      </c>
      <c r="S529" s="12">
        <f>L530*1%</f>
        <v/>
      </c>
      <c r="T529" s="60">
        <f>S530+Q530+P530+O530+N530+M530</f>
        <v/>
      </c>
      <c r="U529" s="2">
        <f>AC530*1%</f>
        <v/>
      </c>
      <c r="V529" s="44">
        <f>AC530*5%</f>
        <v/>
      </c>
      <c r="W529" s="2">
        <f>AC530*1%</f>
        <v/>
      </c>
      <c r="X529" s="2">
        <f>AC530*8%</f>
        <v/>
      </c>
      <c r="Y529" s="2">
        <f>U530+V530+W530+X530</f>
        <v/>
      </c>
      <c r="Z529" s="60">
        <f>Y530+T530+L530</f>
        <v/>
      </c>
      <c r="AA529" s="11">
        <f>Z530*20%</f>
        <v/>
      </c>
      <c r="AB529" s="12">
        <f>Z530+AA530</f>
        <v/>
      </c>
      <c r="AC529" s="2">
        <f>D530*2.1</f>
        <v/>
      </c>
      <c r="AD529" s="12">
        <f>AB530-AC530</f>
        <v/>
      </c>
      <c r="AE529" s="12">
        <f>AD530/AB530*100</f>
        <v/>
      </c>
      <c r="AG529" s="62">
        <f>((AF530-L530)/L530)*100</f>
        <v/>
      </c>
      <c r="AH529" s="106">
        <f>AJ530-AF530</f>
        <v/>
      </c>
      <c r="AI529" s="65">
        <f>AB530</f>
        <v/>
      </c>
      <c r="AJ529" s="65" t="n">
        <v>1490</v>
      </c>
      <c r="AK529" s="66">
        <f>(AJ530-L530)/L530*100</f>
        <v/>
      </c>
      <c r="AL529" s="66" t="n"/>
      <c r="AM529" s="14">
        <f>AH530/AJ530%</f>
        <v/>
      </c>
      <c r="AN529" s="67">
        <f>AK530-AG530</f>
        <v/>
      </c>
      <c r="AO529" s="68">
        <f>AJ530/L530</f>
        <v/>
      </c>
      <c r="AP529" s="69">
        <f>(AJ530-AB530)/100</f>
        <v/>
      </c>
      <c r="AQ529" s="70">
        <f>(AJ530-AC530)/100</f>
        <v/>
      </c>
      <c r="AR529" s="71">
        <f>AI530/94</f>
        <v/>
      </c>
      <c r="AS529" s="71">
        <f>AJ530/94</f>
        <v/>
      </c>
      <c r="AT529" s="72">
        <f>AI530/24</f>
        <v/>
      </c>
      <c r="AU529" s="72">
        <f>AJ530/24</f>
        <v/>
      </c>
      <c r="AV529" s="73">
        <f>AI530/125</f>
        <v/>
      </c>
      <c r="AW529" s="73">
        <f>AJ530/125</f>
        <v/>
      </c>
    </row>
    <row r="530" ht="15.75" customHeight="1" s="258">
      <c r="A530" s="2" t="n"/>
      <c r="B530" s="2" t="inlineStr">
        <is>
          <t>Yellow / Superior</t>
        </is>
      </c>
      <c r="C530" s="91" t="inlineStr">
        <is>
          <t>YO-YMA-Y-S</t>
        </is>
      </c>
      <c r="D530" s="118" t="n">
        <v>1100</v>
      </c>
      <c r="F530" s="2" t="n">
        <v>85</v>
      </c>
      <c r="G530" s="118" t="n">
        <v>5705</v>
      </c>
      <c r="H530" s="255" t="n">
        <v>0.05</v>
      </c>
      <c r="I530" s="2">
        <f>D531*H531</f>
        <v/>
      </c>
      <c r="K530" s="2" t="n">
        <v>100</v>
      </c>
      <c r="L530" s="4">
        <f>K531+J531+I531+F531+E531+D531</f>
        <v/>
      </c>
      <c r="M530" s="2">
        <f>D531*1%</f>
        <v/>
      </c>
      <c r="N530" s="12">
        <f>L531*8%</f>
        <v/>
      </c>
      <c r="O530" s="12">
        <f>L531*10%</f>
        <v/>
      </c>
      <c r="P530" s="12">
        <f>L531*5%</f>
        <v/>
      </c>
      <c r="Q530" s="12">
        <f>L531*2%</f>
        <v/>
      </c>
      <c r="R530" s="12">
        <f>AC531*0.5%</f>
        <v/>
      </c>
      <c r="S530" s="12">
        <f>L531*1%</f>
        <v/>
      </c>
      <c r="T530" s="60">
        <f>S531+Q531+P531+O531+N531+M531</f>
        <v/>
      </c>
      <c r="U530" s="2">
        <f>AC531*1%</f>
        <v/>
      </c>
      <c r="V530" s="44">
        <f>AC531*5%</f>
        <v/>
      </c>
      <c r="W530" s="2">
        <f>AC531*1%</f>
        <v/>
      </c>
      <c r="X530" s="2">
        <f>AC531*8%</f>
        <v/>
      </c>
      <c r="Y530" s="2">
        <f>U531+V531+W531+X531</f>
        <v/>
      </c>
      <c r="Z530" s="60">
        <f>Y531+T531+L531</f>
        <v/>
      </c>
      <c r="AA530" s="11">
        <f>Z531*20%</f>
        <v/>
      </c>
      <c r="AB530" s="12">
        <f>Z531+AA531</f>
        <v/>
      </c>
      <c r="AC530" s="2">
        <f>D531*2.1</f>
        <v/>
      </c>
      <c r="AD530" s="12">
        <f>AB531-AC531</f>
        <v/>
      </c>
      <c r="AE530" s="12">
        <f>AD531/AB531*100</f>
        <v/>
      </c>
      <c r="AG530" s="62">
        <f>((AF531-L531)/L531)*100</f>
        <v/>
      </c>
      <c r="AH530" s="106">
        <f>AJ531-AF531</f>
        <v/>
      </c>
      <c r="AI530" s="65">
        <f>AB531</f>
        <v/>
      </c>
      <c r="AJ530" s="65" t="n">
        <v>1490</v>
      </c>
      <c r="AK530" s="66">
        <f>(AJ531-L531)/L531*100</f>
        <v/>
      </c>
      <c r="AL530" s="66" t="n"/>
      <c r="AM530" s="14">
        <f>AH531/AJ531%</f>
        <v/>
      </c>
      <c r="AN530" s="67">
        <f>AK531-AG531</f>
        <v/>
      </c>
      <c r="AO530" s="68">
        <f>AJ531/L531</f>
        <v/>
      </c>
      <c r="AP530" s="69">
        <f>(AJ531-AB531)/100</f>
        <v/>
      </c>
      <c r="AQ530" s="70">
        <f>(AJ531-AC531)/100</f>
        <v/>
      </c>
      <c r="AR530" s="71">
        <f>AI531/94</f>
        <v/>
      </c>
      <c r="AS530" s="71">
        <f>AJ531/94</f>
        <v/>
      </c>
      <c r="AT530" s="72">
        <f>AI531/24</f>
        <v/>
      </c>
      <c r="AU530" s="72">
        <f>AJ531/24</f>
        <v/>
      </c>
      <c r="AV530" s="73">
        <f>AI531/125</f>
        <v/>
      </c>
      <c r="AW530" s="73">
        <f>AJ531/125</f>
        <v/>
      </c>
    </row>
    <row r="531" ht="15.75" customHeight="1" s="258">
      <c r="A531" s="2" t="n"/>
      <c r="B531" s="2" t="inlineStr">
        <is>
          <t>Pink / Superior</t>
        </is>
      </c>
      <c r="C531" s="91" t="inlineStr">
        <is>
          <t>YO-YMA-P-S</t>
        </is>
      </c>
      <c r="D531" s="118" t="n">
        <v>1100</v>
      </c>
      <c r="F531" s="2" t="n">
        <v>85</v>
      </c>
      <c r="G531" s="118" t="n">
        <v>5705</v>
      </c>
      <c r="H531" s="255" t="n">
        <v>0.05</v>
      </c>
      <c r="I531" s="2">
        <f>D532*H532</f>
        <v/>
      </c>
      <c r="K531" s="2" t="n">
        <v>100</v>
      </c>
      <c r="L531" s="4">
        <f>K532+J532+I532+F532+E532+D532</f>
        <v/>
      </c>
      <c r="M531" s="2">
        <f>D532*1%</f>
        <v/>
      </c>
      <c r="N531" s="12">
        <f>L532*8%</f>
        <v/>
      </c>
      <c r="O531" s="12">
        <f>L532*10%</f>
        <v/>
      </c>
      <c r="P531" s="12">
        <f>L532*5%</f>
        <v/>
      </c>
      <c r="Q531" s="12">
        <f>L532*2%</f>
        <v/>
      </c>
      <c r="R531" s="12">
        <f>AC532*0.5%</f>
        <v/>
      </c>
      <c r="S531" s="12">
        <f>L532*1%</f>
        <v/>
      </c>
      <c r="T531" s="60">
        <f>S532+Q532+P532+O532+N532+M532</f>
        <v/>
      </c>
      <c r="U531" s="2">
        <f>AC532*1%</f>
        <v/>
      </c>
      <c r="V531" s="44">
        <f>AC532*5%</f>
        <v/>
      </c>
      <c r="W531" s="2">
        <f>AC532*1%</f>
        <v/>
      </c>
      <c r="X531" s="2">
        <f>AC532*8%</f>
        <v/>
      </c>
      <c r="Y531" s="2">
        <f>U532+V532+W532+X532</f>
        <v/>
      </c>
      <c r="Z531" s="60">
        <f>Y532+T532+L532</f>
        <v/>
      </c>
      <c r="AA531" s="11">
        <f>Z532*20%</f>
        <v/>
      </c>
      <c r="AB531" s="12">
        <f>Z532+AA532</f>
        <v/>
      </c>
      <c r="AC531" s="2">
        <f>D532*2.1</f>
        <v/>
      </c>
      <c r="AD531" s="12">
        <f>AB532-AC532</f>
        <v/>
      </c>
      <c r="AE531" s="12">
        <f>AD532/AB532*100</f>
        <v/>
      </c>
      <c r="AG531" s="62">
        <f>((AF532-L532)/L532)*100</f>
        <v/>
      </c>
      <c r="AH531" s="106">
        <f>AJ532-AF532</f>
        <v/>
      </c>
      <c r="AI531" s="65">
        <f>AB532</f>
        <v/>
      </c>
      <c r="AJ531" s="65" t="n">
        <v>1490</v>
      </c>
      <c r="AK531" s="66">
        <f>(AJ532-L532)/L532*100</f>
        <v/>
      </c>
      <c r="AL531" s="66" t="n"/>
      <c r="AM531" s="14">
        <f>AH532/AJ532%</f>
        <v/>
      </c>
      <c r="AN531" s="67">
        <f>AK532-AG532</f>
        <v/>
      </c>
      <c r="AO531" s="68">
        <f>AJ532/L532</f>
        <v/>
      </c>
      <c r="AP531" s="69">
        <f>(AJ532-AB532)/100</f>
        <v/>
      </c>
      <c r="AQ531" s="70">
        <f>(AJ532-AC532)/100</f>
        <v/>
      </c>
      <c r="AR531" s="71">
        <f>AI532/94</f>
        <v/>
      </c>
      <c r="AS531" s="71">
        <f>AJ532/94</f>
        <v/>
      </c>
      <c r="AT531" s="72">
        <f>AI532/24</f>
        <v/>
      </c>
      <c r="AU531" s="72">
        <f>AJ532/24</f>
        <v/>
      </c>
      <c r="AV531" s="73">
        <f>AI532/125</f>
        <v/>
      </c>
      <c r="AW531" s="73">
        <f>AJ532/125</f>
        <v/>
      </c>
    </row>
    <row r="532" ht="15.75" customHeight="1" s="258">
      <c r="A532" s="44" t="inlineStr">
        <is>
          <t>Mayura Morchang Set</t>
        </is>
      </c>
      <c r="B532" s="44" t="inlineStr">
        <is>
          <t>Sharp</t>
        </is>
      </c>
      <c r="C532" s="111" t="inlineStr">
        <is>
          <t>MI-MM-S</t>
        </is>
      </c>
      <c r="D532" s="45" t="n">
        <v>1500</v>
      </c>
      <c r="E532" s="113" t="n"/>
      <c r="F532" s="44" t="n">
        <v>50</v>
      </c>
      <c r="G532" s="45" t="n">
        <v>93030010</v>
      </c>
      <c r="H532" s="115" t="n">
        <v>0</v>
      </c>
      <c r="I532" s="44">
        <f>D533*H533</f>
        <v/>
      </c>
      <c r="J532" s="113" t="n"/>
      <c r="K532" s="44">
        <f>D533*4%</f>
        <v/>
      </c>
      <c r="L532" s="48">
        <f>K533+J533+I533+F533+E533+D533</f>
        <v/>
      </c>
      <c r="M532" s="44">
        <f>D533*1%</f>
        <v/>
      </c>
      <c r="N532" s="49">
        <f>L533*8%</f>
        <v/>
      </c>
      <c r="O532" s="49">
        <f>L533*10%</f>
        <v/>
      </c>
      <c r="P532" s="49">
        <f>L533*5%</f>
        <v/>
      </c>
      <c r="Q532" s="49">
        <f>L533*2%</f>
        <v/>
      </c>
      <c r="R532" s="49">
        <f>AC533*0.5%</f>
        <v/>
      </c>
      <c r="S532" s="49">
        <f>L533*1%</f>
        <v/>
      </c>
      <c r="T532" s="50">
        <f>S533+Q533+P533+O533+N533+M533</f>
        <v/>
      </c>
      <c r="U532" s="44">
        <f>AC533*1%</f>
        <v/>
      </c>
      <c r="V532" s="44">
        <f>AC533*5%</f>
        <v/>
      </c>
      <c r="W532" s="44">
        <f>AC533*1%</f>
        <v/>
      </c>
      <c r="X532" s="44">
        <f>AC533*8%</f>
        <v/>
      </c>
      <c r="Y532" s="44">
        <f>U533+V533+W533+X533</f>
        <v/>
      </c>
      <c r="Z532" s="50">
        <f>Y533+T533+L533</f>
        <v/>
      </c>
      <c r="AA532" s="51">
        <f>Z533*20%</f>
        <v/>
      </c>
      <c r="AB532" s="49">
        <f>Z533+AA533</f>
        <v/>
      </c>
      <c r="AC532" s="44">
        <f>D533*2.1</f>
        <v/>
      </c>
      <c r="AD532" s="49">
        <f>AB533-AC533</f>
        <v/>
      </c>
      <c r="AE532" s="49">
        <f>AD533/AB533*100</f>
        <v/>
      </c>
      <c r="AF532" s="113" t="n"/>
      <c r="AG532" s="116">
        <f>((AF533-L533)/L533)*100</f>
        <v/>
      </c>
      <c r="AH532" s="54">
        <f>AJ533-AF533</f>
        <v/>
      </c>
      <c r="AI532" s="54" t="n">
        <v>3290</v>
      </c>
      <c r="AJ532" s="54" t="n">
        <v>3090</v>
      </c>
      <c r="AK532" s="55">
        <f>(AJ533-L533)/L533*100</f>
        <v/>
      </c>
      <c r="AL532" s="55" t="n"/>
      <c r="AM532" s="55">
        <f>AH533/AJ533%</f>
        <v/>
      </c>
      <c r="AN532" s="55">
        <f>AK533-AG533</f>
        <v/>
      </c>
      <c r="AO532" s="56">
        <f>AJ533/L533</f>
        <v/>
      </c>
      <c r="AP532" s="55">
        <f>(AJ533-AB533)/100</f>
        <v/>
      </c>
      <c r="AQ532" s="55">
        <f>(AJ533-AC533)/100</f>
        <v/>
      </c>
      <c r="AR532" s="57">
        <f>AI533/94</f>
        <v/>
      </c>
      <c r="AS532" s="57">
        <f>AJ533/94</f>
        <v/>
      </c>
      <c r="AT532" s="58">
        <f>AI533/24</f>
        <v/>
      </c>
      <c r="AU532" s="58">
        <f>AJ533/24</f>
        <v/>
      </c>
      <c r="AV532" s="58">
        <f>AI533/125</f>
        <v/>
      </c>
      <c r="AW532" s="58">
        <f>AJ533/125</f>
        <v/>
      </c>
      <c r="AX532" s="113" t="n"/>
      <c r="AY532" s="113" t="n"/>
    </row>
    <row r="533" ht="15" customHeight="1" s="258">
      <c r="A533" s="44" t="n"/>
      <c r="B533" s="44" t="inlineStr">
        <is>
          <t>Middle</t>
        </is>
      </c>
      <c r="C533" s="111" t="inlineStr">
        <is>
          <t>MI-MM-M</t>
        </is>
      </c>
      <c r="D533" s="45" t="n">
        <v>1500</v>
      </c>
      <c r="E533" s="113" t="n"/>
      <c r="F533" s="44" t="n">
        <v>50</v>
      </c>
      <c r="G533" s="45" t="n">
        <v>93030010</v>
      </c>
      <c r="H533" s="115" t="n">
        <v>0</v>
      </c>
      <c r="I533" s="44">
        <f>D534*H534</f>
        <v/>
      </c>
      <c r="J533" s="113" t="n"/>
      <c r="K533" s="44">
        <f>D534*4%</f>
        <v/>
      </c>
      <c r="L533" s="48">
        <f>K534+J534+I534+F534+E534+D534</f>
        <v/>
      </c>
      <c r="M533" s="44">
        <f>D534*1%</f>
        <v/>
      </c>
      <c r="N533" s="49">
        <f>L534*8%</f>
        <v/>
      </c>
      <c r="O533" s="49">
        <f>L534*10%</f>
        <v/>
      </c>
      <c r="P533" s="49">
        <f>L534*5%</f>
        <v/>
      </c>
      <c r="Q533" s="49">
        <f>L534*2%</f>
        <v/>
      </c>
      <c r="R533" s="49">
        <f>AC534*0.5%</f>
        <v/>
      </c>
      <c r="S533" s="49">
        <f>L534*1%</f>
        <v/>
      </c>
      <c r="T533" s="50">
        <f>S534+Q534+P534+O534+N534+M534</f>
        <v/>
      </c>
      <c r="U533" s="44">
        <f>AC534*1%</f>
        <v/>
      </c>
      <c r="V533" s="44">
        <f>AC534*5%</f>
        <v/>
      </c>
      <c r="W533" s="44">
        <f>AC534*1%</f>
        <v/>
      </c>
      <c r="X533" s="44">
        <f>AC534*8%</f>
        <v/>
      </c>
      <c r="Y533" s="44">
        <f>U534+V534+W534+X534</f>
        <v/>
      </c>
      <c r="Z533" s="50">
        <f>Y534+T534+L534</f>
        <v/>
      </c>
      <c r="AA533" s="51">
        <f>Z534*20%</f>
        <v/>
      </c>
      <c r="AB533" s="49">
        <f>Z534+AA534</f>
        <v/>
      </c>
      <c r="AC533" s="44">
        <f>D534*2.1</f>
        <v/>
      </c>
      <c r="AD533" s="49">
        <f>AB534-AC534</f>
        <v/>
      </c>
      <c r="AE533" s="49">
        <f>AD534/AB534*100</f>
        <v/>
      </c>
      <c r="AF533" s="113" t="n"/>
      <c r="AG533" s="116">
        <f>((AF534-L534)/L534)*100</f>
        <v/>
      </c>
      <c r="AH533" s="54">
        <f>AJ534-AF534</f>
        <v/>
      </c>
      <c r="AI533" s="54" t="n">
        <v>3290</v>
      </c>
      <c r="AJ533" s="54" t="n">
        <v>3090</v>
      </c>
      <c r="AK533" s="55">
        <f>(AJ534-L534)/L534*100</f>
        <v/>
      </c>
      <c r="AL533" s="55" t="n"/>
      <c r="AM533" s="55">
        <f>AH534/AJ534%</f>
        <v/>
      </c>
      <c r="AN533" s="55">
        <f>AK534-AG534</f>
        <v/>
      </c>
      <c r="AO533" s="56">
        <f>AJ534/L534</f>
        <v/>
      </c>
      <c r="AP533" s="55">
        <f>(AJ534-AB534)/100</f>
        <v/>
      </c>
      <c r="AQ533" s="55">
        <f>(AJ534-AC534)/100</f>
        <v/>
      </c>
      <c r="AR533" s="57">
        <f>AI534/94</f>
        <v/>
      </c>
      <c r="AS533" s="57">
        <f>AJ534/94</f>
        <v/>
      </c>
      <c r="AT533" s="58">
        <f>AI534/24</f>
        <v/>
      </c>
      <c r="AU533" s="58">
        <f>AJ534/24</f>
        <v/>
      </c>
      <c r="AV533" s="58">
        <f>AI534/125</f>
        <v/>
      </c>
      <c r="AW533" s="58">
        <f>AJ534/125</f>
        <v/>
      </c>
      <c r="AX533" s="113" t="n"/>
      <c r="AY533" s="113" t="n"/>
    </row>
    <row r="534" ht="15.75" customHeight="1" s="258">
      <c r="A534" s="44" t="n"/>
      <c r="B534" s="44" t="inlineStr">
        <is>
          <t>Bass</t>
        </is>
      </c>
      <c r="C534" s="111" t="inlineStr">
        <is>
          <t>MI-MM-B</t>
        </is>
      </c>
      <c r="D534" s="45" t="n">
        <v>1500</v>
      </c>
      <c r="E534" s="113" t="n"/>
      <c r="F534" s="44" t="n">
        <v>50</v>
      </c>
      <c r="G534" s="45" t="n">
        <v>93030010</v>
      </c>
      <c r="H534" s="115" t="n">
        <v>0</v>
      </c>
      <c r="I534" s="44">
        <f>D535*H535</f>
        <v/>
      </c>
      <c r="J534" s="113" t="n"/>
      <c r="K534" s="44">
        <f>D535*4%</f>
        <v/>
      </c>
      <c r="L534" s="48">
        <f>K535+J535+I535+F535+E535+D535</f>
        <v/>
      </c>
      <c r="M534" s="44">
        <f>D535*1%</f>
        <v/>
      </c>
      <c r="N534" s="49">
        <f>L535*8%</f>
        <v/>
      </c>
      <c r="O534" s="49">
        <f>L535*10%</f>
        <v/>
      </c>
      <c r="P534" s="49">
        <f>L535*5%</f>
        <v/>
      </c>
      <c r="Q534" s="49">
        <f>L535*2%</f>
        <v/>
      </c>
      <c r="R534" s="49">
        <f>AC535*0.5%</f>
        <v/>
      </c>
      <c r="S534" s="49">
        <f>L535*1%</f>
        <v/>
      </c>
      <c r="T534" s="50">
        <f>S535+Q535+P535+O535+N535+M535</f>
        <v/>
      </c>
      <c r="U534" s="44">
        <f>AC535*1%</f>
        <v/>
      </c>
      <c r="V534" s="44">
        <f>AC535*5%</f>
        <v/>
      </c>
      <c r="W534" s="44">
        <f>AC535*1%</f>
        <v/>
      </c>
      <c r="X534" s="44">
        <f>AC535*8%</f>
        <v/>
      </c>
      <c r="Y534" s="44">
        <f>U535+V535+W535+X535</f>
        <v/>
      </c>
      <c r="Z534" s="50">
        <f>Y535+T535+L535</f>
        <v/>
      </c>
      <c r="AA534" s="51">
        <f>Z535*20%</f>
        <v/>
      </c>
      <c r="AB534" s="49">
        <f>Z535+AA535</f>
        <v/>
      </c>
      <c r="AC534" s="44">
        <f>D535*2.1</f>
        <v/>
      </c>
      <c r="AD534" s="49">
        <f>AB535-AC535</f>
        <v/>
      </c>
      <c r="AE534" s="49">
        <f>AD535/AB535*100</f>
        <v/>
      </c>
      <c r="AF534" s="113" t="n"/>
      <c r="AG534" s="116">
        <f>((AF535-L535)/L535)*100</f>
        <v/>
      </c>
      <c r="AH534" s="54">
        <f>AJ535-AF535</f>
        <v/>
      </c>
      <c r="AI534" s="54" t="n">
        <v>3290</v>
      </c>
      <c r="AJ534" s="54" t="n">
        <v>3090</v>
      </c>
      <c r="AK534" s="55">
        <f>(AJ535-L535)/L535*100</f>
        <v/>
      </c>
      <c r="AL534" s="55" t="n"/>
      <c r="AM534" s="55">
        <f>AH535/AJ535%</f>
        <v/>
      </c>
      <c r="AN534" s="55">
        <f>AK535-AG535</f>
        <v/>
      </c>
      <c r="AO534" s="56">
        <f>AJ535/L535</f>
        <v/>
      </c>
      <c r="AP534" s="55">
        <f>(AJ535-AB535)/100</f>
        <v/>
      </c>
      <c r="AQ534" s="55">
        <f>(AJ535-AC535)/100</f>
        <v/>
      </c>
      <c r="AR534" s="57">
        <f>AI535/94</f>
        <v/>
      </c>
      <c r="AS534" s="57">
        <f>AJ535/94</f>
        <v/>
      </c>
      <c r="AT534" s="58">
        <f>AI535/24</f>
        <v/>
      </c>
      <c r="AU534" s="58">
        <f>AJ535/24</f>
        <v/>
      </c>
      <c r="AV534" s="58">
        <f>AI535/125</f>
        <v/>
      </c>
      <c r="AW534" s="58">
        <f>AJ535/125</f>
        <v/>
      </c>
      <c r="AX534" s="113" t="n"/>
      <c r="AY534" s="113" t="n"/>
    </row>
    <row r="535" ht="15.75" customHeight="1" s="258">
      <c r="A535" s="44" t="n"/>
      <c r="B535" s="44" t="inlineStr">
        <is>
          <t>Full Set</t>
        </is>
      </c>
      <c r="C535" s="111" t="inlineStr">
        <is>
          <t>MI-MM-F</t>
        </is>
      </c>
      <c r="D535" s="45" t="n">
        <v>4500</v>
      </c>
      <c r="E535" s="113" t="n"/>
      <c r="F535" s="44" t="n">
        <v>100</v>
      </c>
      <c r="G535" s="45" t="n">
        <v>93030010</v>
      </c>
      <c r="H535" s="115" t="n">
        <v>0</v>
      </c>
      <c r="I535" s="44">
        <f>D536*H536</f>
        <v/>
      </c>
      <c r="J535" s="113" t="n"/>
      <c r="K535" s="44">
        <f>D536*4%</f>
        <v/>
      </c>
      <c r="L535" s="48">
        <f>K536+J536+I536+F536+E536+D536</f>
        <v/>
      </c>
      <c r="M535" s="44">
        <f>D536*1%</f>
        <v/>
      </c>
      <c r="N535" s="49">
        <f>L536*8%</f>
        <v/>
      </c>
      <c r="O535" s="49">
        <f>L536*10%</f>
        <v/>
      </c>
      <c r="P535" s="49">
        <f>L536*5%</f>
        <v/>
      </c>
      <c r="Q535" s="49">
        <f>L536*2%</f>
        <v/>
      </c>
      <c r="R535" s="49">
        <f>AC536*0.5%</f>
        <v/>
      </c>
      <c r="S535" s="49">
        <f>L536*1%</f>
        <v/>
      </c>
      <c r="T535" s="50">
        <f>S536+Q536+P536+O536+N536+M536</f>
        <v/>
      </c>
      <c r="U535" s="44">
        <f>AC536*1%</f>
        <v/>
      </c>
      <c r="V535" s="44">
        <f>AC536*5%</f>
        <v/>
      </c>
      <c r="W535" s="44">
        <f>AC536*1%</f>
        <v/>
      </c>
      <c r="X535" s="44">
        <f>AC536*8%</f>
        <v/>
      </c>
      <c r="Y535" s="44">
        <f>U536+V536+W536+X536</f>
        <v/>
      </c>
      <c r="Z535" s="50">
        <f>Y536+T536+L536</f>
        <v/>
      </c>
      <c r="AA535" s="51">
        <f>Z536*20%</f>
        <v/>
      </c>
      <c r="AB535" s="49">
        <f>Z536+AA536</f>
        <v/>
      </c>
      <c r="AC535" s="44">
        <f>D536*2.1</f>
        <v/>
      </c>
      <c r="AD535" s="49">
        <f>AB536-AC536</f>
        <v/>
      </c>
      <c r="AE535" s="49">
        <f>AD536/AB536*100</f>
        <v/>
      </c>
      <c r="AF535" s="113" t="n"/>
      <c r="AG535" s="116">
        <f>((AF536-L536)/L536)*100</f>
        <v/>
      </c>
      <c r="AH535" s="54">
        <f>AJ536-AF536</f>
        <v/>
      </c>
      <c r="AI535" s="54" t="n">
        <v>9990</v>
      </c>
      <c r="AJ535" s="54" t="n">
        <v>9490</v>
      </c>
      <c r="AK535" s="55">
        <f>(AJ536-L536)/L536*100</f>
        <v/>
      </c>
      <c r="AL535" s="55" t="n"/>
      <c r="AM535" s="55">
        <f>AH536/AJ536%</f>
        <v/>
      </c>
      <c r="AN535" s="55">
        <f>AK536-AG536</f>
        <v/>
      </c>
      <c r="AO535" s="56">
        <f>AJ536/L536</f>
        <v/>
      </c>
      <c r="AP535" s="55">
        <f>(AJ536-AB536)/100</f>
        <v/>
      </c>
      <c r="AQ535" s="55">
        <f>(AJ536-AC536)/100</f>
        <v/>
      </c>
      <c r="AR535" s="57">
        <f>AI536/94</f>
        <v/>
      </c>
      <c r="AS535" s="57">
        <f>AJ536/94</f>
        <v/>
      </c>
      <c r="AT535" s="58">
        <f>AI536/24</f>
        <v/>
      </c>
      <c r="AU535" s="58">
        <f>AJ536/24</f>
        <v/>
      </c>
      <c r="AV535" s="58">
        <f>AI536/125</f>
        <v/>
      </c>
      <c r="AW535" s="58">
        <f>AJ536/125</f>
        <v/>
      </c>
      <c r="AX535" s="113" t="n"/>
      <c r="AY535" s="113" t="n"/>
    </row>
    <row r="536" ht="15.75" customHeight="1" s="258">
      <c r="A536" s="2" t="inlineStr">
        <is>
          <t xml:space="preserve">Classic Morchang </t>
        </is>
      </c>
      <c r="B536" s="2" t="inlineStr">
        <is>
          <t>Sharp</t>
        </is>
      </c>
      <c r="C536" s="2" t="inlineStr">
        <is>
          <t>MI-CM-S</t>
        </is>
      </c>
      <c r="D536" s="118" t="n">
        <v>1050</v>
      </c>
      <c r="F536" s="2" t="n">
        <v>50</v>
      </c>
      <c r="G536" s="118" t="n">
        <v>93030010</v>
      </c>
      <c r="H536" s="118" t="n">
        <v>0</v>
      </c>
      <c r="I536" s="2" t="n">
        <v>0</v>
      </c>
      <c r="K536" s="2" t="n">
        <v>60</v>
      </c>
      <c r="L536" s="4">
        <f>K537+J537+I537+F537+E537+D537</f>
        <v/>
      </c>
      <c r="M536" s="2">
        <f>D537*1%</f>
        <v/>
      </c>
      <c r="N536" s="12">
        <f>L537*8%</f>
        <v/>
      </c>
      <c r="O536" s="12">
        <f>L537*10%</f>
        <v/>
      </c>
      <c r="P536" s="12">
        <f>L537*5%</f>
        <v/>
      </c>
      <c r="Q536" s="12">
        <f>L537*2%</f>
        <v/>
      </c>
      <c r="R536" s="12">
        <f>AC537*0.5%</f>
        <v/>
      </c>
      <c r="S536" s="12">
        <f>L537*1%</f>
        <v/>
      </c>
      <c r="T536" s="60">
        <f>S537+Q537+P537+O537+N537+M537</f>
        <v/>
      </c>
      <c r="U536" s="2">
        <f>AC537*1%</f>
        <v/>
      </c>
      <c r="V536" s="44">
        <f>AC537*5%</f>
        <v/>
      </c>
      <c r="W536" s="2">
        <f>AC537*1%</f>
        <v/>
      </c>
      <c r="X536" s="2">
        <f>AC537*8%</f>
        <v/>
      </c>
      <c r="Y536" s="2">
        <f>U537+V537+W537+X537</f>
        <v/>
      </c>
      <c r="Z536" s="60">
        <f>Y537+T537+L537</f>
        <v/>
      </c>
      <c r="AA536" s="11">
        <f>Z537*20%</f>
        <v/>
      </c>
      <c r="AB536" s="12">
        <f>Z537+AA537</f>
        <v/>
      </c>
      <c r="AC536" s="2">
        <f>D537*2.1</f>
        <v/>
      </c>
      <c r="AD536" s="12">
        <f>AB537-AC537</f>
        <v/>
      </c>
      <c r="AE536" s="12">
        <f>AD537/AB537*100</f>
        <v/>
      </c>
      <c r="AF536" s="92" t="n">
        <v>2350</v>
      </c>
      <c r="AG536" s="62">
        <f>((AF537-L537)/L537)*100</f>
        <v/>
      </c>
      <c r="AH536" s="106">
        <f>AJ537-AF537</f>
        <v/>
      </c>
      <c r="AI536" s="65" t="n">
        <v>2490</v>
      </c>
      <c r="AJ536" s="65" t="n">
        <v>2390</v>
      </c>
      <c r="AK536" s="66">
        <f>(AJ537-L537)/L537*100</f>
        <v/>
      </c>
      <c r="AL536" s="66" t="n"/>
      <c r="AM536" s="14">
        <f>(AH537/AJ537)*100</f>
        <v/>
      </c>
      <c r="AN536" s="67">
        <f>AK537-AG537</f>
        <v/>
      </c>
      <c r="AO536" s="68">
        <f>AJ537/L537</f>
        <v/>
      </c>
      <c r="AP536" s="69">
        <f>(AJ537-AB537)/100</f>
        <v/>
      </c>
      <c r="AQ536" s="70">
        <f>(AJ537-AC537)/100</f>
        <v/>
      </c>
      <c r="AR536" s="71">
        <f>AI537/94</f>
        <v/>
      </c>
      <c r="AS536" s="71">
        <f>AJ537/94</f>
        <v/>
      </c>
      <c r="AT536" s="72">
        <f>AI537/24</f>
        <v/>
      </c>
      <c r="AU536" s="72">
        <f>AJ537/24</f>
        <v/>
      </c>
      <c r="AV536" s="73">
        <f>AI537/125</f>
        <v/>
      </c>
      <c r="AW536" s="73">
        <f>AJ537/125</f>
        <v/>
      </c>
    </row>
    <row r="537" ht="15" customHeight="1" s="258">
      <c r="A537" s="2" t="n"/>
      <c r="B537" s="2" t="inlineStr">
        <is>
          <t>Middle</t>
        </is>
      </c>
      <c r="C537" s="2" t="inlineStr">
        <is>
          <t>MI-CM-M</t>
        </is>
      </c>
      <c r="D537" s="118" t="n">
        <v>1050</v>
      </c>
      <c r="F537" s="2" t="n">
        <v>50</v>
      </c>
      <c r="G537" s="118" t="n">
        <v>93030010</v>
      </c>
      <c r="H537" s="118" t="n">
        <v>0</v>
      </c>
      <c r="I537" s="2" t="n">
        <v>0</v>
      </c>
      <c r="K537" s="2" t="n">
        <v>60</v>
      </c>
      <c r="L537" s="4">
        <f>K538+J538+I538+F538+E538+D538</f>
        <v/>
      </c>
      <c r="M537" s="2">
        <f>D538*1%</f>
        <v/>
      </c>
      <c r="N537" s="12">
        <f>L538*8%</f>
        <v/>
      </c>
      <c r="O537" s="12">
        <f>L538*10%</f>
        <v/>
      </c>
      <c r="P537" s="12">
        <f>L538*5%</f>
        <v/>
      </c>
      <c r="Q537" s="12">
        <f>L538*2%</f>
        <v/>
      </c>
      <c r="R537" s="12">
        <f>AC538*0.5%</f>
        <v/>
      </c>
      <c r="S537" s="12">
        <f>L538*1%</f>
        <v/>
      </c>
      <c r="T537" s="60">
        <f>S538+Q538+P538+O538+N538+M538</f>
        <v/>
      </c>
      <c r="U537" s="2">
        <f>AC538*1%</f>
        <v/>
      </c>
      <c r="V537" s="44">
        <f>AC538*5%</f>
        <v/>
      </c>
      <c r="W537" s="2">
        <f>AC538*1%</f>
        <v/>
      </c>
      <c r="X537" s="2">
        <f>AC538*8%</f>
        <v/>
      </c>
      <c r="Y537" s="2">
        <f>U538+V538+W538+X538</f>
        <v/>
      </c>
      <c r="Z537" s="60">
        <f>Y538+T538+L538</f>
        <v/>
      </c>
      <c r="AA537" s="11">
        <f>Z538*20%</f>
        <v/>
      </c>
      <c r="AB537" s="12">
        <f>Z538+AA538</f>
        <v/>
      </c>
      <c r="AC537" s="2">
        <f>D538*2.1</f>
        <v/>
      </c>
      <c r="AD537" s="12">
        <f>AB538-AC538</f>
        <v/>
      </c>
      <c r="AE537" s="12">
        <f>AD538/AB538*100</f>
        <v/>
      </c>
      <c r="AF537" s="92" t="n">
        <v>2350</v>
      </c>
      <c r="AG537" s="62">
        <f>((AF538-L538)/L538)*100</f>
        <v/>
      </c>
      <c r="AH537" s="106">
        <f>AJ538-AF538</f>
        <v/>
      </c>
      <c r="AI537" s="65" t="n">
        <v>2490</v>
      </c>
      <c r="AJ537" s="65" t="n">
        <v>2390</v>
      </c>
      <c r="AK537" s="66">
        <f>(AJ538-L538)/L538*100</f>
        <v/>
      </c>
      <c r="AL537" s="66" t="n"/>
      <c r="AM537" s="14">
        <f>AH538/AJ538%</f>
        <v/>
      </c>
      <c r="AN537" s="67">
        <f>AK538-AG538</f>
        <v/>
      </c>
      <c r="AO537" s="68">
        <f>AJ538/L538</f>
        <v/>
      </c>
      <c r="AP537" s="69">
        <f>(AJ538-AB538)/100</f>
        <v/>
      </c>
      <c r="AQ537" s="70">
        <f>(AJ538-AC538)/100</f>
        <v/>
      </c>
      <c r="AR537" s="71">
        <f>AI538/94</f>
        <v/>
      </c>
      <c r="AS537" s="71">
        <f>AJ538/94</f>
        <v/>
      </c>
      <c r="AT537" s="72">
        <f>AI538/24</f>
        <v/>
      </c>
      <c r="AU537" s="72">
        <f>AJ538/24</f>
        <v/>
      </c>
      <c r="AV537" s="73">
        <f>AI538/125</f>
        <v/>
      </c>
      <c r="AW537" s="73">
        <f>AJ538/125</f>
        <v/>
      </c>
    </row>
    <row r="538" ht="15.75" customHeight="1" s="258">
      <c r="A538" s="2" t="n"/>
      <c r="B538" s="2" t="inlineStr">
        <is>
          <t>Bass</t>
        </is>
      </c>
      <c r="C538" s="2" t="inlineStr">
        <is>
          <t>MI-CM-B</t>
        </is>
      </c>
      <c r="D538" s="118" t="n">
        <v>1050</v>
      </c>
      <c r="F538" s="2" t="n">
        <v>50</v>
      </c>
      <c r="G538" s="118" t="n">
        <v>93030010</v>
      </c>
      <c r="H538" s="118" t="n">
        <v>0</v>
      </c>
      <c r="I538" s="2" t="n">
        <v>0</v>
      </c>
      <c r="K538" s="2" t="n">
        <v>60</v>
      </c>
      <c r="L538" s="4">
        <f>K539+J539+I539+F539+E539+D539</f>
        <v/>
      </c>
      <c r="M538" s="2">
        <f>D539*1%</f>
        <v/>
      </c>
      <c r="N538" s="12">
        <f>L539*8%</f>
        <v/>
      </c>
      <c r="O538" s="12">
        <f>L539*10%</f>
        <v/>
      </c>
      <c r="P538" s="12">
        <f>L539*5%</f>
        <v/>
      </c>
      <c r="Q538" s="12">
        <f>L539*2%</f>
        <v/>
      </c>
      <c r="R538" s="12">
        <f>AC539*0.5%</f>
        <v/>
      </c>
      <c r="S538" s="12">
        <f>L539*1%</f>
        <v/>
      </c>
      <c r="T538" s="60">
        <f>S539+Q539+P539+O539+N539+M539</f>
        <v/>
      </c>
      <c r="U538" s="2">
        <f>AC539*1%</f>
        <v/>
      </c>
      <c r="V538" s="44">
        <f>AC539*5%</f>
        <v/>
      </c>
      <c r="W538" s="2">
        <f>AC539*1%</f>
        <v/>
      </c>
      <c r="X538" s="2">
        <f>AC539*8%</f>
        <v/>
      </c>
      <c r="Y538" s="2">
        <f>U539+V539+W539+X539</f>
        <v/>
      </c>
      <c r="Z538" s="60">
        <f>Y539+T539+L539</f>
        <v/>
      </c>
      <c r="AA538" s="11">
        <f>Z539*20%</f>
        <v/>
      </c>
      <c r="AB538" s="12">
        <f>Z539+AA539</f>
        <v/>
      </c>
      <c r="AC538" s="2">
        <f>D539*2.1</f>
        <v/>
      </c>
      <c r="AD538" s="12">
        <f>AB539-AC539</f>
        <v/>
      </c>
      <c r="AE538" s="12">
        <f>AD539/AB539*100</f>
        <v/>
      </c>
      <c r="AF538" s="92" t="n">
        <v>2350</v>
      </c>
      <c r="AG538" s="62">
        <f>((AF539-L539)/L539)*100</f>
        <v/>
      </c>
      <c r="AH538" s="106">
        <f>AJ539-AF539</f>
        <v/>
      </c>
      <c r="AI538" s="65" t="n">
        <v>2490</v>
      </c>
      <c r="AJ538" s="65" t="n">
        <v>2390</v>
      </c>
      <c r="AK538" s="66">
        <f>(AJ539-L539)/L539*100</f>
        <v/>
      </c>
      <c r="AL538" s="66" t="n"/>
      <c r="AM538" s="14">
        <f>AH539/AJ539%</f>
        <v/>
      </c>
      <c r="AN538" s="67">
        <f>AK539-AG539</f>
        <v/>
      </c>
      <c r="AO538" s="68">
        <f>AJ539/L539</f>
        <v/>
      </c>
      <c r="AP538" s="69">
        <f>(AJ539-AB539)/100</f>
        <v/>
      </c>
      <c r="AQ538" s="70">
        <f>(AJ539-AC539)/100</f>
        <v/>
      </c>
      <c r="AR538" s="71">
        <f>AI539/94</f>
        <v/>
      </c>
      <c r="AS538" s="71">
        <f>AJ539/94</f>
        <v/>
      </c>
      <c r="AT538" s="72">
        <f>AI539/24</f>
        <v/>
      </c>
      <c r="AU538" s="72">
        <f>AJ539/24</f>
        <v/>
      </c>
      <c r="AV538" s="73">
        <f>AI539/125</f>
        <v/>
      </c>
      <c r="AW538" s="73">
        <f>AJ539/125</f>
        <v/>
      </c>
    </row>
    <row r="539" ht="15.75" customHeight="1" s="258">
      <c r="A539" s="2" t="n"/>
      <c r="B539" s="2" t="inlineStr">
        <is>
          <t>Full Set</t>
        </is>
      </c>
      <c r="C539" s="2" t="inlineStr">
        <is>
          <t>MI-CM-ST</t>
        </is>
      </c>
      <c r="D539" s="118" t="n">
        <v>3150</v>
      </c>
      <c r="F539" s="2" t="n">
        <v>100</v>
      </c>
      <c r="G539" s="118" t="n">
        <v>93030010</v>
      </c>
      <c r="H539" s="118" t="n">
        <v>0</v>
      </c>
      <c r="I539" s="2">
        <f>D540*H540</f>
        <v/>
      </c>
      <c r="K539" s="2" t="n">
        <v>180</v>
      </c>
      <c r="L539" s="4">
        <f>K540+J540+I540+F540+E540+D540</f>
        <v/>
      </c>
      <c r="M539" s="2">
        <f>D540*1%</f>
        <v/>
      </c>
      <c r="N539" s="12">
        <f>L540*8%</f>
        <v/>
      </c>
      <c r="O539" s="12">
        <f>L540*10%</f>
        <v/>
      </c>
      <c r="P539" s="12">
        <f>L540*5%</f>
        <v/>
      </c>
      <c r="Q539" s="12">
        <f>L540*2%</f>
        <v/>
      </c>
      <c r="R539" s="12">
        <f>AC540*0.5%</f>
        <v/>
      </c>
      <c r="S539" s="12">
        <f>L540*1%</f>
        <v/>
      </c>
      <c r="T539" s="60">
        <f>S540+Q540+P540+O540+N540+M540</f>
        <v/>
      </c>
      <c r="U539" s="2">
        <f>AC540*1%</f>
        <v/>
      </c>
      <c r="V539" s="44">
        <f>AC540*5%</f>
        <v/>
      </c>
      <c r="W539" s="2">
        <f>AC540*1%</f>
        <v/>
      </c>
      <c r="X539" s="2">
        <f>AC540*8%</f>
        <v/>
      </c>
      <c r="Y539" s="2">
        <f>U540+V540+W540+X540</f>
        <v/>
      </c>
      <c r="Z539" s="60">
        <f>Y540+T540+L540</f>
        <v/>
      </c>
      <c r="AA539" s="11">
        <f>Z540*20%</f>
        <v/>
      </c>
      <c r="AB539" s="12">
        <f>Z540+AA540</f>
        <v/>
      </c>
      <c r="AC539" s="2">
        <f>D540*2.1</f>
        <v/>
      </c>
      <c r="AD539" s="12">
        <f>AB540-AC540</f>
        <v/>
      </c>
      <c r="AE539" s="12">
        <f>AD540/AB540*100</f>
        <v/>
      </c>
      <c r="AF539" s="92" t="n">
        <v>7000</v>
      </c>
      <c r="AG539" s="62">
        <f>((AF540-L540)/L540)*100</f>
        <v/>
      </c>
      <c r="AH539" s="106">
        <f>AJ540-AF540</f>
        <v/>
      </c>
      <c r="AI539" s="65" t="n">
        <v>7490</v>
      </c>
      <c r="AJ539" s="65" t="n">
        <v>6990</v>
      </c>
      <c r="AK539" s="66">
        <f>(AJ540-L540)/L540*100</f>
        <v/>
      </c>
      <c r="AL539" s="66" t="n"/>
      <c r="AM539" s="14">
        <f>AH540/AJ540%</f>
        <v/>
      </c>
      <c r="AN539" s="67">
        <f>AK540-AG540</f>
        <v/>
      </c>
      <c r="AO539" s="68">
        <f>AJ540/L540</f>
        <v/>
      </c>
      <c r="AP539" s="69">
        <f>(AJ540-AB540)/100</f>
        <v/>
      </c>
      <c r="AQ539" s="70">
        <f>(AJ540-AC540)/100</f>
        <v/>
      </c>
      <c r="AR539" s="71">
        <f>AI540/94</f>
        <v/>
      </c>
      <c r="AS539" s="71">
        <f>AJ540/94</f>
        <v/>
      </c>
      <c r="AT539" s="72">
        <f>AI540/24</f>
        <v/>
      </c>
      <c r="AU539" s="72">
        <f>AJ540/24</f>
        <v/>
      </c>
      <c r="AV539" s="73">
        <f>AI540/125</f>
        <v/>
      </c>
      <c r="AW539" s="73">
        <f>AJ540/125</f>
        <v/>
      </c>
    </row>
    <row r="540" ht="15.75" customHeight="1" s="258">
      <c r="A540" s="2" t="inlineStr">
        <is>
          <t xml:space="preserve">7 Chakra Morchang </t>
        </is>
      </c>
      <c r="B540" s="2" t="inlineStr">
        <is>
          <t>C Tune</t>
        </is>
      </c>
      <c r="C540" s="2" t="inlineStr">
        <is>
          <t>MI-MO-C</t>
        </is>
      </c>
      <c r="D540" s="118" t="n">
        <v>1500</v>
      </c>
      <c r="F540" s="2" t="n">
        <v>50</v>
      </c>
      <c r="G540" s="118" t="n">
        <v>93030010</v>
      </c>
      <c r="H540" s="118" t="n">
        <v>0</v>
      </c>
      <c r="I540" s="2">
        <f>D541*H541</f>
        <v/>
      </c>
      <c r="K540" s="2">
        <f>D541*4%</f>
        <v/>
      </c>
      <c r="L540" s="123">
        <f>K541+J541+I541+F541+E541+D541</f>
        <v/>
      </c>
      <c r="M540" s="2">
        <f>D541*1%</f>
        <v/>
      </c>
      <c r="N540" s="12">
        <f>L541*8%</f>
        <v/>
      </c>
      <c r="O540" s="12">
        <f>L541*10%</f>
        <v/>
      </c>
      <c r="P540" s="12">
        <f>L541*5%</f>
        <v/>
      </c>
      <c r="Q540" s="12">
        <f>L541*2%</f>
        <v/>
      </c>
      <c r="R540" s="12">
        <f>AC541*0.5%</f>
        <v/>
      </c>
      <c r="S540" s="12">
        <f>L541*1%</f>
        <v/>
      </c>
      <c r="T540" s="124">
        <f>S541+Q541+P541+O541+N541+M541</f>
        <v/>
      </c>
      <c r="U540" s="2">
        <f>AC541*1%</f>
        <v/>
      </c>
      <c r="V540" s="44">
        <f>AC541*5%</f>
        <v/>
      </c>
      <c r="W540" s="2">
        <f>AC541*1%</f>
        <v/>
      </c>
      <c r="X540" s="2">
        <f>AC541*8%</f>
        <v/>
      </c>
      <c r="Y540" s="2">
        <f>U541+V541+W541+X541</f>
        <v/>
      </c>
      <c r="Z540" s="124">
        <f>Y541+T541+L541</f>
        <v/>
      </c>
      <c r="AA540" s="125">
        <f>Z541*20%</f>
        <v/>
      </c>
      <c r="AB540" s="12">
        <f>Z541+AA541</f>
        <v/>
      </c>
      <c r="AC540" s="2">
        <f>D541*2.1</f>
        <v/>
      </c>
      <c r="AD540" s="12">
        <f>AB541-AC541</f>
        <v/>
      </c>
      <c r="AE540" s="12">
        <f>AD541/AB541*100</f>
        <v/>
      </c>
      <c r="AF540" s="92" t="n">
        <v>2650</v>
      </c>
      <c r="AG540" s="126">
        <f>((AF541-L541)/L541)*100</f>
        <v/>
      </c>
      <c r="AH540" s="132">
        <f>AJ541-AF541</f>
        <v/>
      </c>
      <c r="AI540" s="132" t="n">
        <v>3290</v>
      </c>
      <c r="AJ540" s="92" t="n">
        <v>2650</v>
      </c>
      <c r="AK540" s="128">
        <f>(AJ541-L541)/L541*100</f>
        <v/>
      </c>
      <c r="AL540" s="128" t="n"/>
      <c r="AM540" s="128">
        <f>(AH541/AJ541)*100</f>
        <v/>
      </c>
      <c r="AN540" s="128">
        <f>AK541-AG541</f>
        <v/>
      </c>
      <c r="AO540" s="129">
        <f>AJ541/L541</f>
        <v/>
      </c>
      <c r="AP540" s="128">
        <f>(AJ541-AB541)/100</f>
        <v/>
      </c>
      <c r="AQ540" s="128">
        <f>(AJ541-AC541)/100</f>
        <v/>
      </c>
      <c r="AR540" s="130">
        <f>AI541/94</f>
        <v/>
      </c>
      <c r="AS540" s="130">
        <f>AJ541/94</f>
        <v/>
      </c>
      <c r="AT540" s="131">
        <f>AI541/24</f>
        <v/>
      </c>
      <c r="AU540" s="131">
        <f>AJ541/24</f>
        <v/>
      </c>
      <c r="AV540" s="131">
        <f>AI541/125</f>
        <v/>
      </c>
      <c r="AW540" s="131">
        <f>AJ541/125</f>
        <v/>
      </c>
    </row>
    <row r="541" ht="15" customHeight="1" s="258">
      <c r="A541" s="2" t="n"/>
      <c r="B541" s="2" t="inlineStr">
        <is>
          <t>D Tune</t>
        </is>
      </c>
      <c r="C541" s="2" t="inlineStr">
        <is>
          <t>MI-MO-D</t>
        </is>
      </c>
      <c r="D541" s="118" t="n">
        <v>1500</v>
      </c>
      <c r="F541" s="2" t="n">
        <v>50</v>
      </c>
      <c r="G541" s="118" t="n">
        <v>93030010</v>
      </c>
      <c r="H541" s="118" t="n">
        <v>0</v>
      </c>
      <c r="I541" s="2">
        <f>D542*H542</f>
        <v/>
      </c>
      <c r="K541" s="2">
        <f>D542*4%</f>
        <v/>
      </c>
      <c r="L541" s="123">
        <f>K542+J542+I542+F542+E542+D542</f>
        <v/>
      </c>
      <c r="M541" s="2">
        <f>D542*1%</f>
        <v/>
      </c>
      <c r="N541" s="12">
        <f>L542*8%</f>
        <v/>
      </c>
      <c r="O541" s="12">
        <f>L542*10%</f>
        <v/>
      </c>
      <c r="P541" s="12">
        <f>L542*5%</f>
        <v/>
      </c>
      <c r="Q541" s="12">
        <f>L542*2%</f>
        <v/>
      </c>
      <c r="R541" s="12">
        <f>AC542*0.5%</f>
        <v/>
      </c>
      <c r="S541" s="12">
        <f>L542*1%</f>
        <v/>
      </c>
      <c r="T541" s="124">
        <f>S542+Q542+P542+O542+N542+M542</f>
        <v/>
      </c>
      <c r="U541" s="2">
        <f>AC542*1%</f>
        <v/>
      </c>
      <c r="V541" s="44">
        <f>AC542*5%</f>
        <v/>
      </c>
      <c r="W541" s="2">
        <f>AC542*1%</f>
        <v/>
      </c>
      <c r="X541" s="2">
        <f>AC542*8%</f>
        <v/>
      </c>
      <c r="Y541" s="2">
        <f>U542+V542+W542+X542</f>
        <v/>
      </c>
      <c r="Z541" s="124">
        <f>Y542+T542+L542</f>
        <v/>
      </c>
      <c r="AA541" s="125">
        <f>Z542*20%</f>
        <v/>
      </c>
      <c r="AB541" s="12">
        <f>Z542+AA542</f>
        <v/>
      </c>
      <c r="AC541" s="2">
        <f>D542*2.1</f>
        <v/>
      </c>
      <c r="AD541" s="12">
        <f>AB542-AC542</f>
        <v/>
      </c>
      <c r="AE541" s="12">
        <f>AD542/AB542*100</f>
        <v/>
      </c>
      <c r="AF541" s="92" t="n">
        <v>2650</v>
      </c>
      <c r="AG541" s="126">
        <f>((AF542-L542)/L542)*100</f>
        <v/>
      </c>
      <c r="AH541" s="132">
        <f>AJ542-AF542</f>
        <v/>
      </c>
      <c r="AI541" s="132" t="n">
        <v>3190</v>
      </c>
      <c r="AJ541" s="92" t="n">
        <v>2650</v>
      </c>
      <c r="AK541" s="128">
        <f>(AJ542-L542)/L542*100</f>
        <v/>
      </c>
      <c r="AL541" s="128" t="n"/>
      <c r="AM541" s="128">
        <f>(AH542/AJ542)*100</f>
        <v/>
      </c>
      <c r="AN541" s="128">
        <f>AK542-AG542</f>
        <v/>
      </c>
      <c r="AO541" s="129">
        <f>AJ542/L542</f>
        <v/>
      </c>
      <c r="AP541" s="128">
        <f>(AJ542-AB542)/100</f>
        <v/>
      </c>
      <c r="AQ541" s="128">
        <f>(AJ542-AC542)/100</f>
        <v/>
      </c>
      <c r="AR541" s="130">
        <f>AI542/94</f>
        <v/>
      </c>
      <c r="AS541" s="130">
        <f>AJ542/94</f>
        <v/>
      </c>
      <c r="AT541" s="131">
        <f>AI542/24</f>
        <v/>
      </c>
      <c r="AU541" s="131">
        <f>AJ542/24</f>
        <v/>
      </c>
      <c r="AV541" s="131">
        <f>AI542/125</f>
        <v/>
      </c>
      <c r="AW541" s="131">
        <f>AJ542/125</f>
        <v/>
      </c>
    </row>
    <row r="542">
      <c r="A542" s="2" t="n"/>
      <c r="B542" s="2" t="inlineStr">
        <is>
          <t>E Tune</t>
        </is>
      </c>
      <c r="C542" s="2" t="inlineStr">
        <is>
          <t>MI-MO-E</t>
        </is>
      </c>
      <c r="D542" s="118" t="n">
        <v>1500</v>
      </c>
      <c r="F542" s="2" t="n">
        <v>50</v>
      </c>
      <c r="G542" s="118" t="n">
        <v>93030010</v>
      </c>
      <c r="H542" s="118" t="n">
        <v>0</v>
      </c>
      <c r="I542" s="2">
        <f>D543*H543</f>
        <v/>
      </c>
      <c r="K542" s="2">
        <f>D543*4%</f>
        <v/>
      </c>
      <c r="L542" s="123">
        <f>K543+J543+I543+F543+E543+D543</f>
        <v/>
      </c>
      <c r="M542" s="2">
        <f>D543*1%</f>
        <v/>
      </c>
      <c r="N542" s="12">
        <f>L543*8%</f>
        <v/>
      </c>
      <c r="O542" s="12">
        <f>L543*10%</f>
        <v/>
      </c>
      <c r="P542" s="12">
        <f>L543*5%</f>
        <v/>
      </c>
      <c r="Q542" s="12">
        <f>L543*2%</f>
        <v/>
      </c>
      <c r="R542" s="12">
        <f>AC543*0.5%</f>
        <v/>
      </c>
      <c r="S542" s="12">
        <f>L543*1%</f>
        <v/>
      </c>
      <c r="T542" s="124">
        <f>S543+Q543+P543+O543+N543+M543</f>
        <v/>
      </c>
      <c r="U542" s="2">
        <f>AC543*1%</f>
        <v/>
      </c>
      <c r="V542" s="44">
        <f>AC543*5%</f>
        <v/>
      </c>
      <c r="W542" s="2">
        <f>AC543*1%</f>
        <v/>
      </c>
      <c r="X542" s="2">
        <f>AC543*8%</f>
        <v/>
      </c>
      <c r="Y542" s="2">
        <f>U543+V543+W543+X543</f>
        <v/>
      </c>
      <c r="Z542" s="124">
        <f>Y543+T543+L543</f>
        <v/>
      </c>
      <c r="AA542" s="125">
        <f>Z543*20%</f>
        <v/>
      </c>
      <c r="AB542" s="12">
        <f>Z543+AA543</f>
        <v/>
      </c>
      <c r="AC542" s="2">
        <f>D543*2.1</f>
        <v/>
      </c>
      <c r="AD542" s="12">
        <f>AB543-AC543</f>
        <v/>
      </c>
      <c r="AE542" s="12">
        <f>AD543/AB543*100</f>
        <v/>
      </c>
      <c r="AF542" s="92" t="n">
        <v>2650</v>
      </c>
      <c r="AG542" s="126">
        <f>((AF543-L543)/L543)*100</f>
        <v/>
      </c>
      <c r="AH542" s="132">
        <f>AJ543-AF543</f>
        <v/>
      </c>
      <c r="AI542" s="132" t="n">
        <v>3190</v>
      </c>
      <c r="AJ542" s="92" t="n">
        <v>2650</v>
      </c>
      <c r="AK542" s="128">
        <f>(AJ543-L543)/L543*100</f>
        <v/>
      </c>
      <c r="AL542" s="128" t="n"/>
      <c r="AM542" s="128">
        <f>(AH543/AJ543)*100</f>
        <v/>
      </c>
      <c r="AN542" s="128">
        <f>AK543-AG543</f>
        <v/>
      </c>
      <c r="AO542" s="129">
        <f>AJ543/L543</f>
        <v/>
      </c>
      <c r="AP542" s="128">
        <f>(AJ543-AB543)/100</f>
        <v/>
      </c>
      <c r="AQ542" s="128">
        <f>(AJ543-AC543)/100</f>
        <v/>
      </c>
      <c r="AR542" s="130">
        <f>AI543/94</f>
        <v/>
      </c>
      <c r="AS542" s="130">
        <f>AJ543/94</f>
        <v/>
      </c>
      <c r="AT542" s="131">
        <f>AI543/24</f>
        <v/>
      </c>
      <c r="AU542" s="131">
        <f>AJ543/24</f>
        <v/>
      </c>
      <c r="AV542" s="131">
        <f>AI543/125</f>
        <v/>
      </c>
      <c r="AW542" s="131">
        <f>AJ543/125</f>
        <v/>
      </c>
    </row>
    <row r="543">
      <c r="A543" s="2" t="n"/>
      <c r="B543" s="2" t="inlineStr">
        <is>
          <t>F Tune</t>
        </is>
      </c>
      <c r="C543" s="2" t="inlineStr">
        <is>
          <t>MI-MO-F</t>
        </is>
      </c>
      <c r="D543" s="118" t="n">
        <v>1500</v>
      </c>
      <c r="F543" s="2" t="n">
        <v>50</v>
      </c>
      <c r="G543" s="118" t="n">
        <v>93030010</v>
      </c>
      <c r="H543" s="118" t="n">
        <v>0</v>
      </c>
      <c r="I543" s="2">
        <f>D544*H544</f>
        <v/>
      </c>
      <c r="K543" s="2">
        <f>D544*4%</f>
        <v/>
      </c>
      <c r="L543" s="123">
        <f>K544+J544+I544+F544+E544+D544</f>
        <v/>
      </c>
      <c r="M543" s="2">
        <f>D544*1%</f>
        <v/>
      </c>
      <c r="N543" s="12">
        <f>L544*8%</f>
        <v/>
      </c>
      <c r="O543" s="12">
        <f>L544*10%</f>
        <v/>
      </c>
      <c r="P543" s="12">
        <f>L544*5%</f>
        <v/>
      </c>
      <c r="Q543" s="12">
        <f>L544*2%</f>
        <v/>
      </c>
      <c r="R543" s="12">
        <f>AC544*0.5%</f>
        <v/>
      </c>
      <c r="S543" s="12">
        <f>L544*1%</f>
        <v/>
      </c>
      <c r="T543" s="124">
        <f>S544+Q544+P544+O544+N544+M544</f>
        <v/>
      </c>
      <c r="U543" s="2">
        <f>AC544*1%</f>
        <v/>
      </c>
      <c r="V543" s="44">
        <f>AC544*5%</f>
        <v/>
      </c>
      <c r="W543" s="2">
        <f>AC544*1%</f>
        <v/>
      </c>
      <c r="X543" s="2">
        <f>AC544*8%</f>
        <v/>
      </c>
      <c r="Y543" s="2">
        <f>U544+V544+W544+X544</f>
        <v/>
      </c>
      <c r="Z543" s="124">
        <f>Y544+T544+L544</f>
        <v/>
      </c>
      <c r="AA543" s="125">
        <f>Z544*20%</f>
        <v/>
      </c>
      <c r="AB543" s="12">
        <f>Z544+AA544</f>
        <v/>
      </c>
      <c r="AC543" s="2">
        <f>D544*2.1</f>
        <v/>
      </c>
      <c r="AD543" s="12">
        <f>AB544-AC544</f>
        <v/>
      </c>
      <c r="AE543" s="12">
        <f>AD544/AB544*100</f>
        <v/>
      </c>
      <c r="AF543" s="92" t="n">
        <v>2650</v>
      </c>
      <c r="AG543" s="126">
        <f>((AF544-L544)/L544)*100</f>
        <v/>
      </c>
      <c r="AH543" s="132">
        <f>AJ544-AF544</f>
        <v/>
      </c>
      <c r="AI543" s="132" t="n">
        <v>3190</v>
      </c>
      <c r="AJ543" s="92" t="n">
        <v>2650</v>
      </c>
      <c r="AK543" s="128">
        <f>(AJ544-L544)/L544*100</f>
        <v/>
      </c>
      <c r="AL543" s="128" t="n"/>
      <c r="AM543" s="128">
        <f>(AH544/AJ544)*100</f>
        <v/>
      </c>
      <c r="AN543" s="128">
        <f>AK544-AG544</f>
        <v/>
      </c>
      <c r="AO543" s="129">
        <f>AJ544/L544</f>
        <v/>
      </c>
      <c r="AP543" s="128">
        <f>(AJ544-AB544)/100</f>
        <v/>
      </c>
      <c r="AQ543" s="128">
        <f>(AJ544-AC544)/100</f>
        <v/>
      </c>
      <c r="AR543" s="130">
        <f>AI544/94</f>
        <v/>
      </c>
      <c r="AS543" s="130">
        <f>AJ544/94</f>
        <v/>
      </c>
      <c r="AT543" s="131">
        <f>AI544/24</f>
        <v/>
      </c>
      <c r="AU543" s="131">
        <f>AJ544/24</f>
        <v/>
      </c>
      <c r="AV543" s="131">
        <f>AI544/125</f>
        <v/>
      </c>
      <c r="AW543" s="131">
        <f>AJ544/125</f>
        <v/>
      </c>
    </row>
    <row r="544">
      <c r="A544" s="2" t="n"/>
      <c r="B544" s="2" t="inlineStr">
        <is>
          <t>G Tune</t>
        </is>
      </c>
      <c r="C544" s="2" t="inlineStr">
        <is>
          <t>MI-MO-G</t>
        </is>
      </c>
      <c r="D544" s="118" t="n">
        <v>1500</v>
      </c>
      <c r="F544" s="2" t="n">
        <v>50</v>
      </c>
      <c r="G544" s="118" t="n">
        <v>93030010</v>
      </c>
      <c r="H544" s="118" t="n">
        <v>0</v>
      </c>
      <c r="I544" s="2">
        <f>D545*H545</f>
        <v/>
      </c>
      <c r="K544" s="2">
        <f>D545*4%</f>
        <v/>
      </c>
      <c r="L544" s="123">
        <f>K545+J545+I545+F545+E545+D545</f>
        <v/>
      </c>
      <c r="M544" s="2">
        <f>D545*1%</f>
        <v/>
      </c>
      <c r="N544" s="12">
        <f>L545*8%</f>
        <v/>
      </c>
      <c r="O544" s="12">
        <f>L545*10%</f>
        <v/>
      </c>
      <c r="P544" s="12">
        <f>L545*5%</f>
        <v/>
      </c>
      <c r="Q544" s="12">
        <f>L545*2%</f>
        <v/>
      </c>
      <c r="R544" s="12">
        <f>AC545*0.5%</f>
        <v/>
      </c>
      <c r="S544" s="12">
        <f>L545*1%</f>
        <v/>
      </c>
      <c r="T544" s="124">
        <f>S545+Q545+P545+O545+N545+M545</f>
        <v/>
      </c>
      <c r="U544" s="2">
        <f>AC545*1%</f>
        <v/>
      </c>
      <c r="V544" s="44">
        <f>AC545*5%</f>
        <v/>
      </c>
      <c r="W544" s="2">
        <f>AC545*1%</f>
        <v/>
      </c>
      <c r="X544" s="2">
        <f>AC545*8%</f>
        <v/>
      </c>
      <c r="Y544" s="2">
        <f>U545+V545+W545+X545</f>
        <v/>
      </c>
      <c r="Z544" s="124">
        <f>Y545+T545+L545</f>
        <v/>
      </c>
      <c r="AA544" s="125">
        <f>Z545*20%</f>
        <v/>
      </c>
      <c r="AB544" s="12">
        <f>Z545+AA545</f>
        <v/>
      </c>
      <c r="AC544" s="2">
        <f>D545*2.1</f>
        <v/>
      </c>
      <c r="AD544" s="12">
        <f>AB545-AC545</f>
        <v/>
      </c>
      <c r="AE544" s="12">
        <f>AD545/AB545*100</f>
        <v/>
      </c>
      <c r="AF544" s="92" t="n">
        <v>2650</v>
      </c>
      <c r="AG544" s="126">
        <f>((AF545-L545)/L545)*100</f>
        <v/>
      </c>
      <c r="AH544" s="132">
        <f>AJ545-AF545</f>
        <v/>
      </c>
      <c r="AI544" s="132" t="n">
        <v>3190</v>
      </c>
      <c r="AJ544" s="92" t="n">
        <v>2650</v>
      </c>
      <c r="AK544" s="128">
        <f>(AJ545-L545)/L545*100</f>
        <v/>
      </c>
      <c r="AL544" s="128" t="n"/>
      <c r="AM544" s="128">
        <f>(AH545/AJ545)*100</f>
        <v/>
      </c>
      <c r="AN544" s="128">
        <f>AK545-AG545</f>
        <v/>
      </c>
      <c r="AO544" s="129">
        <f>AJ545/L545</f>
        <v/>
      </c>
      <c r="AP544" s="128">
        <f>(AJ545-AB545)/100</f>
        <v/>
      </c>
      <c r="AQ544" s="128">
        <f>(AJ545-AC545)/100</f>
        <v/>
      </c>
      <c r="AR544" s="130">
        <f>AI545/94</f>
        <v/>
      </c>
      <c r="AS544" s="130">
        <f>AJ545/94</f>
        <v/>
      </c>
      <c r="AT544" s="131">
        <f>AI545/24</f>
        <v/>
      </c>
      <c r="AU544" s="131">
        <f>AJ545/24</f>
        <v/>
      </c>
      <c r="AV544" s="131">
        <f>AI545/125</f>
        <v/>
      </c>
      <c r="AW544" s="131">
        <f>AJ545/125</f>
        <v/>
      </c>
    </row>
    <row r="545">
      <c r="A545" s="2" t="n"/>
      <c r="B545" s="2" t="inlineStr">
        <is>
          <t>A Tune</t>
        </is>
      </c>
      <c r="C545" s="2" t="inlineStr">
        <is>
          <t>MI-MO-A</t>
        </is>
      </c>
      <c r="D545" s="118" t="n">
        <v>1500</v>
      </c>
      <c r="F545" s="2" t="n">
        <v>50</v>
      </c>
      <c r="G545" s="118" t="n">
        <v>93030010</v>
      </c>
      <c r="H545" s="118" t="n">
        <v>0</v>
      </c>
      <c r="I545" s="2">
        <f>D546*H546</f>
        <v/>
      </c>
      <c r="K545" s="2">
        <f>D546*4%</f>
        <v/>
      </c>
      <c r="L545" s="123">
        <f>K546+J546+I546+F546+E546+D546</f>
        <v/>
      </c>
      <c r="M545" s="2">
        <f>D546*1%</f>
        <v/>
      </c>
      <c r="N545" s="12">
        <f>L546*8%</f>
        <v/>
      </c>
      <c r="O545" s="12">
        <f>L546*10%</f>
        <v/>
      </c>
      <c r="P545" s="12">
        <f>L546*5%</f>
        <v/>
      </c>
      <c r="Q545" s="12">
        <f>L546*2%</f>
        <v/>
      </c>
      <c r="R545" s="12">
        <f>AC546*0.5%</f>
        <v/>
      </c>
      <c r="S545" s="12">
        <f>L546*1%</f>
        <v/>
      </c>
      <c r="T545" s="124">
        <f>S546+Q546+P546+O546+N546+M546</f>
        <v/>
      </c>
      <c r="U545" s="2">
        <f>AC546*1%</f>
        <v/>
      </c>
      <c r="V545" s="44">
        <f>AC546*5%</f>
        <v/>
      </c>
      <c r="W545" s="2">
        <f>AC546*1%</f>
        <v/>
      </c>
      <c r="X545" s="2">
        <f>AC546*8%</f>
        <v/>
      </c>
      <c r="Y545" s="2">
        <f>U546+V546+W546+X546</f>
        <v/>
      </c>
      <c r="Z545" s="124">
        <f>Y546+T546+L546</f>
        <v/>
      </c>
      <c r="AA545" s="125">
        <f>Z546*20%</f>
        <v/>
      </c>
      <c r="AB545" s="12">
        <f>Z546+AA546</f>
        <v/>
      </c>
      <c r="AC545" s="2">
        <f>D546*2.1</f>
        <v/>
      </c>
      <c r="AD545" s="12">
        <f>AB546-AC546</f>
        <v/>
      </c>
      <c r="AE545" s="12">
        <f>AD546/AB546*100</f>
        <v/>
      </c>
      <c r="AF545" s="92" t="n">
        <v>2650</v>
      </c>
      <c r="AG545" s="126">
        <f>((AF546-L546)/L546)*100</f>
        <v/>
      </c>
      <c r="AH545" s="132">
        <f>AJ546-AF546</f>
        <v/>
      </c>
      <c r="AI545" s="132" t="n">
        <v>3190</v>
      </c>
      <c r="AJ545" s="92" t="n">
        <v>2650</v>
      </c>
      <c r="AK545" s="128">
        <f>(AJ546-L546)/L546*100</f>
        <v/>
      </c>
      <c r="AL545" s="128" t="n"/>
      <c r="AM545" s="128">
        <f>(AH546/AJ546)*100</f>
        <v/>
      </c>
      <c r="AN545" s="128">
        <f>AK546-AG546</f>
        <v/>
      </c>
      <c r="AO545" s="129">
        <f>AJ546/L546</f>
        <v/>
      </c>
      <c r="AP545" s="128">
        <f>(AJ546-AB546)/100</f>
        <v/>
      </c>
      <c r="AQ545" s="128">
        <f>(AJ546-AC546)/100</f>
        <v/>
      </c>
      <c r="AR545" s="130">
        <f>AI546/94</f>
        <v/>
      </c>
      <c r="AS545" s="130">
        <f>AJ546/94</f>
        <v/>
      </c>
      <c r="AT545" s="131">
        <f>AI546/24</f>
        <v/>
      </c>
      <c r="AU545" s="131">
        <f>AJ546/24</f>
        <v/>
      </c>
      <c r="AV545" s="131">
        <f>AI546/125</f>
        <v/>
      </c>
      <c r="AW545" s="131">
        <f>AJ546/125</f>
        <v/>
      </c>
    </row>
    <row r="546">
      <c r="A546" s="2" t="n"/>
      <c r="B546" s="2" t="inlineStr">
        <is>
          <t>B Tune</t>
        </is>
      </c>
      <c r="C546" s="2" t="inlineStr">
        <is>
          <t>MI-MO-B</t>
        </is>
      </c>
      <c r="D546" s="118" t="n">
        <v>1500</v>
      </c>
      <c r="F546" s="2" t="n">
        <v>50</v>
      </c>
      <c r="G546" s="118" t="n">
        <v>93030010</v>
      </c>
      <c r="H546" s="118" t="n">
        <v>0</v>
      </c>
      <c r="I546" s="2">
        <f>D547*H547</f>
        <v/>
      </c>
      <c r="K546" s="2">
        <f>D547*4%</f>
        <v/>
      </c>
      <c r="L546" s="123">
        <f>K547+J547+I547+F547+E547+D547</f>
        <v/>
      </c>
      <c r="M546" s="2">
        <f>D547*1%</f>
        <v/>
      </c>
      <c r="N546" s="12">
        <f>L547*8%</f>
        <v/>
      </c>
      <c r="O546" s="12">
        <f>L547*10%</f>
        <v/>
      </c>
      <c r="P546" s="12">
        <f>L547*5%</f>
        <v/>
      </c>
      <c r="Q546" s="12">
        <f>L547*2%</f>
        <v/>
      </c>
      <c r="R546" s="12">
        <f>AC547*0.5%</f>
        <v/>
      </c>
      <c r="S546" s="12">
        <f>L547*1%</f>
        <v/>
      </c>
      <c r="T546" s="124">
        <f>S547+Q547+P547+O547+N547+M547</f>
        <v/>
      </c>
      <c r="U546" s="2">
        <f>AC547*1%</f>
        <v/>
      </c>
      <c r="V546" s="44">
        <f>AC547*5%</f>
        <v/>
      </c>
      <c r="W546" s="2">
        <f>AC547*1%</f>
        <v/>
      </c>
      <c r="X546" s="2">
        <f>AC547*8%</f>
        <v/>
      </c>
      <c r="Y546" s="2">
        <f>U547+V547+W547+X547</f>
        <v/>
      </c>
      <c r="Z546" s="124">
        <f>Y547+T547+L547</f>
        <v/>
      </c>
      <c r="AA546" s="125">
        <f>Z547*20%</f>
        <v/>
      </c>
      <c r="AB546" s="12">
        <f>Z547+AA547</f>
        <v/>
      </c>
      <c r="AC546" s="2">
        <f>D547*2.1</f>
        <v/>
      </c>
      <c r="AD546" s="12">
        <f>AB547-AC547</f>
        <v/>
      </c>
      <c r="AE546" s="12">
        <f>AD547/AB547*100</f>
        <v/>
      </c>
      <c r="AF546" s="92" t="n">
        <v>2650</v>
      </c>
      <c r="AG546" s="126">
        <f>((AF547-L547)/L547)*100</f>
        <v/>
      </c>
      <c r="AH546" s="132">
        <f>AJ547-AF547</f>
        <v/>
      </c>
      <c r="AI546" s="132" t="n">
        <v>3190</v>
      </c>
      <c r="AJ546" s="92" t="n">
        <v>2650</v>
      </c>
      <c r="AK546" s="128">
        <f>(AJ547-L547)/L547*100</f>
        <v/>
      </c>
      <c r="AL546" s="128" t="n"/>
      <c r="AM546" s="128">
        <f>(AH547/AJ547)*100</f>
        <v/>
      </c>
      <c r="AN546" s="128">
        <f>AK547-AG547</f>
        <v/>
      </c>
      <c r="AO546" s="129">
        <f>AJ547/L547</f>
        <v/>
      </c>
      <c r="AP546" s="128">
        <f>(AJ547-AB547)/100</f>
        <v/>
      </c>
      <c r="AQ546" s="128">
        <f>(AJ547-AC547)/100</f>
        <v/>
      </c>
      <c r="AR546" s="130">
        <f>AI547/94</f>
        <v/>
      </c>
      <c r="AS546" s="130">
        <f>AJ547/94</f>
        <v/>
      </c>
      <c r="AT546" s="131">
        <f>AI547/24</f>
        <v/>
      </c>
      <c r="AU546" s="131">
        <f>AJ547/24</f>
        <v/>
      </c>
      <c r="AV546" s="131">
        <f>AI547/125</f>
        <v/>
      </c>
      <c r="AW546" s="131">
        <f>AJ547/125</f>
        <v/>
      </c>
    </row>
    <row r="547">
      <c r="A547" s="2" t="n"/>
      <c r="B547" s="2" t="inlineStr">
        <is>
          <t>Full Set</t>
        </is>
      </c>
      <c r="C547" s="2" t="inlineStr">
        <is>
          <t>MI-MO-ST</t>
        </is>
      </c>
      <c r="D547" s="118" t="n">
        <v>10500</v>
      </c>
      <c r="F547" s="2" t="n">
        <v>75</v>
      </c>
      <c r="G547" s="118" t="n">
        <v>93030010</v>
      </c>
      <c r="H547" s="118" t="n">
        <v>0</v>
      </c>
      <c r="I547" s="2">
        <f>D548*H548</f>
        <v/>
      </c>
      <c r="K547" s="2">
        <f>D548*4%</f>
        <v/>
      </c>
      <c r="L547" s="123">
        <f>K548+J548+I548+F548+E548+D548</f>
        <v/>
      </c>
      <c r="M547" s="2">
        <f>D548*1%</f>
        <v/>
      </c>
      <c r="N547" s="12">
        <f>L548*8%</f>
        <v/>
      </c>
      <c r="O547" s="12">
        <f>L548*10%</f>
        <v/>
      </c>
      <c r="P547" s="12">
        <f>L548*5%</f>
        <v/>
      </c>
      <c r="Q547" s="12">
        <f>L548*2%</f>
        <v/>
      </c>
      <c r="R547" s="12">
        <f>AC548*0.5%</f>
        <v/>
      </c>
      <c r="S547" s="12">
        <f>L548*1%</f>
        <v/>
      </c>
      <c r="T547" s="124">
        <f>S548+Q548+P548+O548+N548+M548</f>
        <v/>
      </c>
      <c r="U547" s="2">
        <f>AC548*1%</f>
        <v/>
      </c>
      <c r="V547" s="44">
        <f>AC548*5%</f>
        <v/>
      </c>
      <c r="W547" s="2">
        <f>AC548*1%</f>
        <v/>
      </c>
      <c r="X547" s="2">
        <f>AC548*8%</f>
        <v/>
      </c>
      <c r="Y547" s="2">
        <f>U548+V548+W548+X548</f>
        <v/>
      </c>
      <c r="Z547" s="124">
        <f>Y548+T548+L548</f>
        <v/>
      </c>
      <c r="AA547" s="125">
        <f>Z548*20%</f>
        <v/>
      </c>
      <c r="AB547" s="12">
        <f>Z548+AA548</f>
        <v/>
      </c>
      <c r="AC547" s="2">
        <f>D548*2.1</f>
        <v/>
      </c>
      <c r="AD547" s="12">
        <f>AB548-AC548</f>
        <v/>
      </c>
      <c r="AE547" s="12">
        <f>AD548/AB548*100</f>
        <v/>
      </c>
      <c r="AF547" s="92" t="n">
        <v>16500</v>
      </c>
      <c r="AG547" s="126">
        <f>((AF548-L548)/L548)*100</f>
        <v/>
      </c>
      <c r="AH547" s="132">
        <f>AJ548-AF548</f>
        <v/>
      </c>
      <c r="AI547" s="132" t="n">
        <v>19990</v>
      </c>
      <c r="AJ547" s="92" t="n">
        <v>16500</v>
      </c>
      <c r="AK547" s="128">
        <f>(AJ548-L548)/L548*100</f>
        <v/>
      </c>
      <c r="AL547" s="128" t="n"/>
      <c r="AM547" s="128">
        <f>(AH548/AJ548)*100</f>
        <v/>
      </c>
      <c r="AN547" s="128">
        <f>AK548-AG548</f>
        <v/>
      </c>
      <c r="AO547" s="129">
        <f>AJ548/L548</f>
        <v/>
      </c>
      <c r="AP547" s="128">
        <f>(AJ548-AB548)/100</f>
        <v/>
      </c>
      <c r="AQ547" s="128">
        <f>(AJ548-AC548)/100</f>
        <v/>
      </c>
      <c r="AR547" s="130">
        <f>AI548/94</f>
        <v/>
      </c>
      <c r="AS547" s="130">
        <f>AJ548/94</f>
        <v/>
      </c>
      <c r="AT547" s="131">
        <f>AI548/24</f>
        <v/>
      </c>
      <c r="AU547" s="131">
        <f>AJ548/24</f>
        <v/>
      </c>
      <c r="AV547" s="131">
        <f>AI548/125</f>
        <v/>
      </c>
      <c r="AW547" s="131">
        <f>AJ548/125</f>
        <v/>
      </c>
    </row>
    <row r="548">
      <c r="A548" s="2" t="inlineStr">
        <is>
          <t>Mini Coconut Shakers - 3 Types</t>
        </is>
      </c>
      <c r="B548" s="2" t="inlineStr">
        <is>
          <t>Round Shaped</t>
        </is>
      </c>
      <c r="C548" s="2" t="inlineStr">
        <is>
          <t>MI-CS-R</t>
        </is>
      </c>
      <c r="D548" s="118" t="n">
        <v>250</v>
      </c>
      <c r="E548" s="2" t="n">
        <v>50</v>
      </c>
      <c r="F548" s="2" t="n">
        <v>50</v>
      </c>
      <c r="G548" s="118" t="inlineStr">
        <is>
          <t>9503 00 90</t>
        </is>
      </c>
      <c r="H548" s="255" t="n">
        <v>0.18</v>
      </c>
      <c r="I548" s="2">
        <f>D549*H549</f>
        <v/>
      </c>
      <c r="K548" s="2" t="n">
        <v>40</v>
      </c>
      <c r="L548" s="123">
        <f>K549+J549+I549+F549+E549+D549</f>
        <v/>
      </c>
      <c r="M548" s="2">
        <f>D549*1%</f>
        <v/>
      </c>
      <c r="N548" s="12">
        <f>L549*8%</f>
        <v/>
      </c>
      <c r="O548" s="12">
        <f>L549*10%</f>
        <v/>
      </c>
      <c r="P548" s="12">
        <f>L549*5%</f>
        <v/>
      </c>
      <c r="Q548" s="12">
        <f>L549*2%</f>
        <v/>
      </c>
      <c r="R548" s="12">
        <f>AC549*0.5%</f>
        <v/>
      </c>
      <c r="S548" s="12">
        <f>L549*1%</f>
        <v/>
      </c>
      <c r="T548" s="124">
        <f>S549+Q549+P549+O549+N549+M549</f>
        <v/>
      </c>
      <c r="U548" s="2">
        <f>AC549*1%</f>
        <v/>
      </c>
      <c r="V548" s="44">
        <f>AC549*5%</f>
        <v/>
      </c>
      <c r="W548" s="2">
        <f>AC549*1%</f>
        <v/>
      </c>
      <c r="X548" s="2">
        <f>AC549*8%</f>
        <v/>
      </c>
      <c r="Y548" s="2">
        <f>U549+V549+W549+X549</f>
        <v/>
      </c>
      <c r="Z548" s="124">
        <f>Y549+T549+L549</f>
        <v/>
      </c>
      <c r="AA548" s="125">
        <f>Z549*20%</f>
        <v/>
      </c>
      <c r="AB548" s="12">
        <f>Z549+AA549</f>
        <v/>
      </c>
      <c r="AC548" s="2">
        <f>D549*2.1</f>
        <v/>
      </c>
      <c r="AD548" s="12">
        <f>AB549-AC549</f>
        <v/>
      </c>
      <c r="AE548" s="12">
        <f>AD549/AB549*100</f>
        <v/>
      </c>
      <c r="AF548" s="92" t="n">
        <v>645</v>
      </c>
      <c r="AG548" s="126">
        <f>((AF549-L549)/L549)*100</f>
        <v/>
      </c>
      <c r="AH548" s="132">
        <f>AJ549-AF549</f>
        <v/>
      </c>
      <c r="AI548" s="132" t="n">
        <v>790</v>
      </c>
      <c r="AJ548" s="132" t="n">
        <v>690</v>
      </c>
      <c r="AK548" s="128">
        <f>(AJ549-L549)/L549*100</f>
        <v/>
      </c>
      <c r="AL548" s="128" t="n"/>
      <c r="AM548" s="128">
        <f>AH549/AJ549%</f>
        <v/>
      </c>
      <c r="AN548" s="128">
        <f>AK549-AG549</f>
        <v/>
      </c>
      <c r="AO548" s="129">
        <f>AJ549/L549</f>
        <v/>
      </c>
      <c r="AP548" s="128">
        <f>(AJ549-AB549)/100</f>
        <v/>
      </c>
      <c r="AQ548" s="128">
        <f>(AJ549-AC549)/100</f>
        <v/>
      </c>
      <c r="AR548" s="130">
        <f>AI549/94</f>
        <v/>
      </c>
      <c r="AS548" s="130">
        <f>AJ549/94</f>
        <v/>
      </c>
      <c r="AT548" s="131">
        <f>AI549/24</f>
        <v/>
      </c>
      <c r="AU548" s="131">
        <f>AJ549/24</f>
        <v/>
      </c>
      <c r="AV548" s="131">
        <f>AI549/125</f>
        <v/>
      </c>
      <c r="AW548" s="131">
        <f>AJ549/125</f>
        <v/>
      </c>
    </row>
    <row r="549" ht="15" customHeight="1" s="258">
      <c r="A549" s="2" t="n"/>
      <c r="B549" s="2" t="inlineStr">
        <is>
          <t>All 3</t>
        </is>
      </c>
      <c r="C549" s="2" t="inlineStr">
        <is>
          <t>CO-MI-CS-SRE</t>
        </is>
      </c>
      <c r="D549" s="118" t="n">
        <v>830</v>
      </c>
      <c r="E549" s="2" t="n">
        <v>100</v>
      </c>
      <c r="F549" s="2" t="n">
        <v>70</v>
      </c>
      <c r="G549" s="118" t="inlineStr">
        <is>
          <t>9504 00 90</t>
        </is>
      </c>
      <c r="H549" s="255" t="n">
        <v>0.18</v>
      </c>
      <c r="I549" s="2">
        <f>D550*H550</f>
        <v/>
      </c>
      <c r="K549" s="2" t="n">
        <v>120</v>
      </c>
      <c r="L549" s="123">
        <f>K550+J550+I550+F550+E550+D550</f>
        <v/>
      </c>
      <c r="M549" s="2">
        <f>D550*1%</f>
        <v/>
      </c>
      <c r="N549" s="12">
        <f>L550*8%</f>
        <v/>
      </c>
      <c r="O549" s="12">
        <f>L550*10%</f>
        <v/>
      </c>
      <c r="P549" s="12">
        <f>L550*5%</f>
        <v/>
      </c>
      <c r="Q549" s="12">
        <f>L550*2%</f>
        <v/>
      </c>
      <c r="R549" s="12">
        <f>AC550*0.5%</f>
        <v/>
      </c>
      <c r="S549" s="12">
        <f>L550*1%</f>
        <v/>
      </c>
      <c r="T549" s="124">
        <f>S550+Q550+P550+O550+N550+M550</f>
        <v/>
      </c>
      <c r="U549" s="2">
        <f>AC550*1%</f>
        <v/>
      </c>
      <c r="V549" s="44">
        <f>AC550*5%</f>
        <v/>
      </c>
      <c r="W549" s="2">
        <f>AC550*1%</f>
        <v/>
      </c>
      <c r="X549" s="2">
        <f>AC550*8%</f>
        <v/>
      </c>
      <c r="Y549" s="2">
        <f>U550+V550+W550+X550</f>
        <v/>
      </c>
      <c r="Z549" s="124">
        <f>Y550+T550+L550</f>
        <v/>
      </c>
      <c r="AA549" s="125">
        <f>Z550*20%</f>
        <v/>
      </c>
      <c r="AB549" s="12">
        <f>Z550+AA550</f>
        <v/>
      </c>
      <c r="AC549" s="2">
        <f>D550*2.1</f>
        <v/>
      </c>
      <c r="AD549" s="12">
        <f>AB550-AC550</f>
        <v/>
      </c>
      <c r="AE549" s="12">
        <f>AD550/AB550*100</f>
        <v/>
      </c>
      <c r="AF549" s="92" t="n">
        <v>1495</v>
      </c>
      <c r="AG549" s="126">
        <f>((AF550-L550)/L550)*100</f>
        <v/>
      </c>
      <c r="AH549" s="132">
        <f>AJ550-AF550</f>
        <v/>
      </c>
      <c r="AI549" s="132">
        <f>AB550</f>
        <v/>
      </c>
      <c r="AJ549" s="132" t="n">
        <v>1895</v>
      </c>
      <c r="AK549" s="128">
        <f>(AJ550-L550)/L550*100</f>
        <v/>
      </c>
      <c r="AL549" s="128" t="n"/>
      <c r="AM549" s="128">
        <f>AH550/AJ550%</f>
        <v/>
      </c>
      <c r="AN549" s="128">
        <f>AK550-AG550</f>
        <v/>
      </c>
      <c r="AO549" s="129">
        <f>AJ550/L550</f>
        <v/>
      </c>
      <c r="AP549" s="128">
        <f>(AJ550-AB550)/100</f>
        <v/>
      </c>
      <c r="AQ549" s="128">
        <f>(AJ550-AC550)/100</f>
        <v/>
      </c>
      <c r="AR549" s="130">
        <f>AI550/94</f>
        <v/>
      </c>
      <c r="AS549" s="130">
        <f>AJ550/94</f>
        <v/>
      </c>
      <c r="AT549" s="131">
        <f>AI550/24</f>
        <v/>
      </c>
      <c r="AU549" s="131">
        <f>AJ550/24</f>
        <v/>
      </c>
      <c r="AV549" s="131">
        <f>AI550/125</f>
        <v/>
      </c>
      <c r="AW549" s="131">
        <f>AJ550/125</f>
        <v/>
      </c>
    </row>
    <row r="550" ht="15.75" customHeight="1" s="258">
      <c r="A550" s="2" t="n"/>
      <c r="B550" s="2" t="inlineStr">
        <is>
          <t>Eye Shaped</t>
        </is>
      </c>
      <c r="C550" s="2" t="inlineStr">
        <is>
          <t>MI-CS-E</t>
        </is>
      </c>
      <c r="D550" s="118" t="n">
        <v>300</v>
      </c>
      <c r="E550" s="2" t="n">
        <v>50</v>
      </c>
      <c r="F550" s="2" t="n">
        <v>50</v>
      </c>
      <c r="G550" s="118" t="inlineStr">
        <is>
          <t>9505 00 90</t>
        </is>
      </c>
      <c r="H550" s="255" t="n">
        <v>0.18</v>
      </c>
      <c r="I550" s="2">
        <f>D551*H551</f>
        <v/>
      </c>
      <c r="K550" s="2" t="n">
        <v>40</v>
      </c>
      <c r="L550" s="123">
        <f>K551+J551+I551+F551+E551+D551</f>
        <v/>
      </c>
      <c r="M550" s="2">
        <f>D551*1%</f>
        <v/>
      </c>
      <c r="N550" s="12">
        <f>L551*8%</f>
        <v/>
      </c>
      <c r="O550" s="12">
        <f>L551*10%</f>
        <v/>
      </c>
      <c r="P550" s="12">
        <f>L551*5%</f>
        <v/>
      </c>
      <c r="Q550" s="12">
        <f>L551*2%</f>
        <v/>
      </c>
      <c r="R550" s="12">
        <f>AC551*0.5%</f>
        <v/>
      </c>
      <c r="S550" s="12">
        <f>L551*1%</f>
        <v/>
      </c>
      <c r="T550" s="124">
        <f>S551+Q551+P551+O551+N551+M551</f>
        <v/>
      </c>
      <c r="U550" s="2">
        <f>AC551*1%</f>
        <v/>
      </c>
      <c r="V550" s="44">
        <f>AC551*5%</f>
        <v/>
      </c>
      <c r="W550" s="2">
        <f>AC551*1%</f>
        <v/>
      </c>
      <c r="X550" s="2">
        <f>AC551*8%</f>
        <v/>
      </c>
      <c r="Y550" s="2">
        <f>U551+V551+W551+X551</f>
        <v/>
      </c>
      <c r="Z550" s="124">
        <f>Y551+T551+L551</f>
        <v/>
      </c>
      <c r="AA550" s="125">
        <f>Z551*20%</f>
        <v/>
      </c>
      <c r="AB550" s="12">
        <f>Z551+AA551</f>
        <v/>
      </c>
      <c r="AC550" s="2">
        <f>D551*2.1</f>
        <v/>
      </c>
      <c r="AD550" s="12">
        <f>AB551-AC551</f>
        <v/>
      </c>
      <c r="AE550" s="12">
        <f>AD551/AB551*100</f>
        <v/>
      </c>
      <c r="AF550" s="92" t="n">
        <v>625</v>
      </c>
      <c r="AG550" s="126">
        <f>((AF551-L551)/L551)*100</f>
        <v/>
      </c>
      <c r="AH550" s="132">
        <f>AJ551-AF551</f>
        <v/>
      </c>
      <c r="AI550" s="132" t="n">
        <v>790</v>
      </c>
      <c r="AJ550" s="132" t="n">
        <v>645</v>
      </c>
      <c r="AK550" s="128">
        <f>(AJ551-L551)/L551*100</f>
        <v/>
      </c>
      <c r="AL550" s="128" t="n"/>
      <c r="AM550" s="128">
        <f>AH551/AJ551%</f>
        <v/>
      </c>
      <c r="AN550" s="128">
        <f>AK551-AG551</f>
        <v/>
      </c>
      <c r="AO550" s="129">
        <f>AJ551/L551</f>
        <v/>
      </c>
      <c r="AP550" s="128">
        <f>(AJ551-AB551)/100</f>
        <v/>
      </c>
      <c r="AQ550" s="128">
        <f>(AJ551-AC551)/100</f>
        <v/>
      </c>
      <c r="AR550" s="130">
        <f>AI551/94</f>
        <v/>
      </c>
      <c r="AS550" s="130">
        <f>AJ551/94</f>
        <v/>
      </c>
      <c r="AT550" s="131">
        <f>AI551/24</f>
        <v/>
      </c>
      <c r="AU550" s="131">
        <f>AJ551/24</f>
        <v/>
      </c>
      <c r="AV550" s="131">
        <f>AI551/125</f>
        <v/>
      </c>
      <c r="AW550" s="131">
        <f>AJ551/125</f>
        <v/>
      </c>
    </row>
    <row r="551" ht="15.75" customHeight="1" s="258">
      <c r="A551" s="2" t="n"/>
      <c r="B551" s="2" t="inlineStr">
        <is>
          <t>Square Shaped</t>
        </is>
      </c>
      <c r="C551" s="2" t="inlineStr">
        <is>
          <t>MI-CS-S</t>
        </is>
      </c>
      <c r="D551" s="118" t="n">
        <v>280</v>
      </c>
      <c r="E551" s="2" t="n">
        <v>50</v>
      </c>
      <c r="F551" s="2" t="n">
        <v>50</v>
      </c>
      <c r="G551" s="118" t="inlineStr">
        <is>
          <t>9506 00 90</t>
        </is>
      </c>
      <c r="H551" s="255" t="n">
        <v>0.18</v>
      </c>
      <c r="I551" s="2">
        <f>D552*H552</f>
        <v/>
      </c>
      <c r="K551" s="2" t="n">
        <v>40</v>
      </c>
      <c r="L551" s="123">
        <f>K552+J552+I552+F552+E552+D552</f>
        <v/>
      </c>
      <c r="M551" s="2">
        <f>D552*1%</f>
        <v/>
      </c>
      <c r="N551" s="12">
        <f>L552*8%</f>
        <v/>
      </c>
      <c r="O551" s="12">
        <f>L552*10%</f>
        <v/>
      </c>
      <c r="P551" s="12">
        <f>L552*5%</f>
        <v/>
      </c>
      <c r="Q551" s="12">
        <f>L552*2%</f>
        <v/>
      </c>
      <c r="R551" s="12">
        <f>AC552*0.5%</f>
        <v/>
      </c>
      <c r="S551" s="12">
        <f>L552*1%</f>
        <v/>
      </c>
      <c r="T551" s="124">
        <f>S552+Q552+P552+O552+N552+M552</f>
        <v/>
      </c>
      <c r="U551" s="2">
        <f>AC552*1%</f>
        <v/>
      </c>
      <c r="V551" s="44">
        <f>AC552*5%</f>
        <v/>
      </c>
      <c r="W551" s="2">
        <f>AC552*1%</f>
        <v/>
      </c>
      <c r="X551" s="2">
        <f>AC552*8%</f>
        <v/>
      </c>
      <c r="Y551" s="2">
        <f>U552+V552+W552+X552</f>
        <v/>
      </c>
      <c r="Z551" s="124">
        <f>Y552+T552+L552</f>
        <v/>
      </c>
      <c r="AA551" s="125">
        <f>Z552*20%</f>
        <v/>
      </c>
      <c r="AB551" s="12">
        <f>Z552+AA552</f>
        <v/>
      </c>
      <c r="AC551" s="2">
        <f>D552*2.1</f>
        <v/>
      </c>
      <c r="AD551" s="12">
        <f>AB552-AC552</f>
        <v/>
      </c>
      <c r="AE551" s="12">
        <f>AD552/AB552*100</f>
        <v/>
      </c>
      <c r="AF551" s="92" t="n">
        <v>645</v>
      </c>
      <c r="AG551" s="126">
        <f>((AF552-L552)/L552)*100</f>
        <v/>
      </c>
      <c r="AH551" s="132">
        <f>AJ552-AF552</f>
        <v/>
      </c>
      <c r="AI551" s="132" t="n">
        <v>790</v>
      </c>
      <c r="AJ551" s="132" t="n">
        <v>690</v>
      </c>
      <c r="AK551" s="128">
        <f>(AJ552-L552)/L552*100</f>
        <v/>
      </c>
      <c r="AL551" s="128" t="n"/>
      <c r="AM551" s="128">
        <f>AH552/AJ552%</f>
        <v/>
      </c>
      <c r="AN551" s="128">
        <f>AK552-AG552</f>
        <v/>
      </c>
      <c r="AO551" s="129">
        <f>AJ552/L552</f>
        <v/>
      </c>
      <c r="AP551" s="128">
        <f>(AJ552-AB552)/100</f>
        <v/>
      </c>
      <c r="AQ551" s="128">
        <f>(AJ552-AC552)/100</f>
        <v/>
      </c>
      <c r="AR551" s="130">
        <f>AI552/94</f>
        <v/>
      </c>
      <c r="AS551" s="130">
        <f>AJ552/94</f>
        <v/>
      </c>
      <c r="AT551" s="131">
        <f>AI552/24</f>
        <v/>
      </c>
      <c r="AU551" s="131">
        <f>AJ552/24</f>
        <v/>
      </c>
      <c r="AV551" s="131">
        <f>AI552/125</f>
        <v/>
      </c>
      <c r="AW551" s="131">
        <f>AJ552/125</f>
        <v/>
      </c>
    </row>
    <row r="552" ht="15.75" customHeight="1" s="258">
      <c r="A552" s="2" t="inlineStr">
        <is>
          <t>Musical Wooden Frog</t>
        </is>
      </c>
      <c r="B552" s="2" t="inlineStr">
        <is>
          <t>Standard</t>
        </is>
      </c>
      <c r="C552" s="2" t="inlineStr">
        <is>
          <t>MI-WF-S</t>
        </is>
      </c>
      <c r="D552" s="118" t="n">
        <v>400</v>
      </c>
      <c r="E552" s="2" t="n">
        <v>50</v>
      </c>
      <c r="F552" s="2" t="n">
        <v>50</v>
      </c>
      <c r="G552" s="118" t="n">
        <v>92061000</v>
      </c>
      <c r="H552" s="255" t="n">
        <v>0.18</v>
      </c>
      <c r="I552" s="2">
        <f>D553*H553</f>
        <v/>
      </c>
      <c r="K552" s="152" t="n">
        <v>50</v>
      </c>
      <c r="L552" s="4">
        <f>K553+J553+I553+F553+E553+D553</f>
        <v/>
      </c>
      <c r="M552" s="2">
        <f>D553*1%</f>
        <v/>
      </c>
      <c r="N552" s="12">
        <f>L553*8%</f>
        <v/>
      </c>
      <c r="O552" s="12">
        <f>L553*10%</f>
        <v/>
      </c>
      <c r="P552" s="12">
        <f>L553*5%</f>
        <v/>
      </c>
      <c r="Q552" s="12">
        <f>L553*2%</f>
        <v/>
      </c>
      <c r="R552" s="12">
        <f>AC553*0.5%</f>
        <v/>
      </c>
      <c r="S552" s="12">
        <f>L553*1%</f>
        <v/>
      </c>
      <c r="T552" s="60">
        <f>S553+Q553+P553+O553+N553+M553</f>
        <v/>
      </c>
      <c r="U552" s="2">
        <f>AC553*1%</f>
        <v/>
      </c>
      <c r="V552" s="44">
        <f>AC553*5%</f>
        <v/>
      </c>
      <c r="W552" s="2">
        <f>AC553*1%</f>
        <v/>
      </c>
      <c r="X552" s="2">
        <f>AC553*8%</f>
        <v/>
      </c>
      <c r="Y552" s="2">
        <f>U553+V553+W553+X553</f>
        <v/>
      </c>
      <c r="Z552" s="60">
        <f>Y553+T553+L553</f>
        <v/>
      </c>
      <c r="AA552" s="11">
        <f>Z553*20%</f>
        <v/>
      </c>
      <c r="AB552" s="12">
        <f>Z553+AA553</f>
        <v/>
      </c>
      <c r="AC552" s="2">
        <f>D553*2.1</f>
        <v/>
      </c>
      <c r="AD552" s="12">
        <f>AB553-AC553</f>
        <v/>
      </c>
      <c r="AE552" s="12">
        <f>AD553/AB553*100</f>
        <v/>
      </c>
      <c r="AF552" s="92" t="n">
        <v>950</v>
      </c>
      <c r="AG552" s="62">
        <f>((AF553-L553)/L553)*100</f>
        <v/>
      </c>
      <c r="AH552" s="106">
        <f>AJ553-AF553</f>
        <v/>
      </c>
      <c r="AI552" s="65">
        <f>AB553</f>
        <v/>
      </c>
      <c r="AJ552" s="65">
        <f>AI553-(AI553*7%)</f>
        <v/>
      </c>
      <c r="AK552" s="66">
        <f>(AJ553-L553)/L553*100</f>
        <v/>
      </c>
      <c r="AL552" s="66" t="n"/>
      <c r="AM552" s="14">
        <f>AH553/AJ553%</f>
        <v/>
      </c>
      <c r="AN552" s="67">
        <f>AK553-AG553</f>
        <v/>
      </c>
      <c r="AO552" s="68">
        <f>AJ553/L553</f>
        <v/>
      </c>
      <c r="AP552" s="69">
        <f>(AJ553-AB553)/100</f>
        <v/>
      </c>
      <c r="AQ552" s="70">
        <f>(AJ553-AC553)/100</f>
        <v/>
      </c>
      <c r="AR552" s="71">
        <f>AI553/94</f>
        <v/>
      </c>
      <c r="AS552" s="71">
        <f>AJ553/94</f>
        <v/>
      </c>
      <c r="AT552" s="72">
        <f>AI553/24</f>
        <v/>
      </c>
      <c r="AU552" s="72">
        <f>AJ553/24</f>
        <v/>
      </c>
      <c r="AV552" s="73">
        <f>AI553/125</f>
        <v/>
      </c>
      <c r="AW552" s="73">
        <f>AJ553/125</f>
        <v/>
      </c>
    </row>
    <row r="553" ht="15" customHeight="1" s="258">
      <c r="A553" s="2" t="n"/>
      <c r="B553" s="2" t="inlineStr">
        <is>
          <t>Large</t>
        </is>
      </c>
      <c r="C553" s="2" t="inlineStr">
        <is>
          <t>MI-WF-L</t>
        </is>
      </c>
      <c r="D553" s="118" t="n">
        <v>525</v>
      </c>
      <c r="E553" s="92" t="n">
        <v>50</v>
      </c>
      <c r="F553" s="2" t="n">
        <v>50</v>
      </c>
      <c r="G553" s="118" t="inlineStr">
        <is>
          <t>9507 00 90</t>
        </is>
      </c>
      <c r="H553" s="255" t="n">
        <v>0.18</v>
      </c>
      <c r="I553" s="2">
        <f>D554*H554</f>
        <v/>
      </c>
      <c r="J553" s="2">
        <f>D554*5%</f>
        <v/>
      </c>
      <c r="K553" s="152" t="n">
        <v>50</v>
      </c>
      <c r="L553" s="4">
        <f>K554+J554+I554+F554+E554+D554</f>
        <v/>
      </c>
      <c r="M553" s="2">
        <f>D554*1%</f>
        <v/>
      </c>
      <c r="N553" s="12">
        <f>L554*8%</f>
        <v/>
      </c>
      <c r="O553" s="12">
        <f>L554*10%</f>
        <v/>
      </c>
      <c r="P553" s="12">
        <f>L554*5%</f>
        <v/>
      </c>
      <c r="Q553" s="12">
        <f>L554*2%</f>
        <v/>
      </c>
      <c r="R553" s="12">
        <f>AC554*0.5%</f>
        <v/>
      </c>
      <c r="S553" s="12">
        <f>L554*1%</f>
        <v/>
      </c>
      <c r="T553" s="60">
        <f>S554+Q554+P554+O554+N554+M554</f>
        <v/>
      </c>
      <c r="U553" s="2">
        <f>AC554*1%</f>
        <v/>
      </c>
      <c r="V553" s="44">
        <f>AC554*5%</f>
        <v/>
      </c>
      <c r="W553" s="2">
        <f>AC554*1%</f>
        <v/>
      </c>
      <c r="X553" s="2">
        <f>AC554*8%</f>
        <v/>
      </c>
      <c r="Y553" s="2">
        <f>U554+V554+W554+X554</f>
        <v/>
      </c>
      <c r="Z553" s="60">
        <f>Y554+T554+L554</f>
        <v/>
      </c>
      <c r="AA553" s="11">
        <f>Z554*20%</f>
        <v/>
      </c>
      <c r="AB553" s="12">
        <f>Z554+AA554</f>
        <v/>
      </c>
      <c r="AC553" s="2">
        <f>D554*2.1</f>
        <v/>
      </c>
      <c r="AD553" s="12">
        <f>AB554-AC554</f>
        <v/>
      </c>
      <c r="AE553" s="12">
        <f>AD554/AB554*100</f>
        <v/>
      </c>
      <c r="AF553" s="92" t="n">
        <v>1350</v>
      </c>
      <c r="AG553" s="62">
        <f>((AF554-L554)/L554)*100</f>
        <v/>
      </c>
      <c r="AH553" s="106">
        <f>AJ554-AF554</f>
        <v/>
      </c>
      <c r="AI553" s="65">
        <f>AB554</f>
        <v/>
      </c>
      <c r="AJ553" s="65">
        <f>AI554-(AI554*7%)</f>
        <v/>
      </c>
      <c r="AK553" s="66">
        <f>(AJ554-L554)/L554*100</f>
        <v/>
      </c>
      <c r="AL553" s="66" t="n"/>
      <c r="AM553" s="14">
        <f>AH554/AJ554%</f>
        <v/>
      </c>
      <c r="AN553" s="67">
        <f>AK554-AG554</f>
        <v/>
      </c>
      <c r="AO553" s="68">
        <f>AJ554/L554</f>
        <v/>
      </c>
      <c r="AP553" s="69">
        <f>(AJ554-AB554)/100</f>
        <v/>
      </c>
      <c r="AQ553" s="70">
        <f>(AJ554-AC554)/100</f>
        <v/>
      </c>
      <c r="AR553" s="71">
        <f>AI554/94</f>
        <v/>
      </c>
      <c r="AS553" s="71">
        <f>AJ554/94</f>
        <v/>
      </c>
      <c r="AT553" s="72">
        <f>AI554/24</f>
        <v/>
      </c>
      <c r="AU553" s="72">
        <f>AJ554/24</f>
        <v/>
      </c>
      <c r="AV553" s="73">
        <f>AI554/125</f>
        <v/>
      </c>
      <c r="AW553" s="73">
        <f>AJ554/125</f>
        <v/>
      </c>
    </row>
    <row r="554" ht="15.75" customHeight="1" s="258">
      <c r="A554" s="219" t="inlineStr">
        <is>
          <t>Native American Flute - Triple</t>
        </is>
      </c>
      <c r="B554" s="219" t="inlineStr">
        <is>
          <t>Triple</t>
        </is>
      </c>
      <c r="C554" s="214" t="inlineStr">
        <is>
          <t>MI-NAF-T</t>
        </is>
      </c>
      <c r="D554" s="217" t="n">
        <v>14500</v>
      </c>
      <c r="E554" s="216" t="n"/>
      <c r="F554" s="219" t="n">
        <v>145</v>
      </c>
      <c r="G554" s="217" t="n"/>
      <c r="H554" s="218" t="n">
        <v>0</v>
      </c>
      <c r="I554" s="219">
        <f>D555*H555</f>
        <v/>
      </c>
      <c r="J554" s="216" t="n"/>
      <c r="K554" s="219" t="n">
        <v>100</v>
      </c>
      <c r="L554" s="220">
        <f>K555+J555+I555+F555+E555+D555</f>
        <v/>
      </c>
      <c r="M554" s="219">
        <f>D555*1%</f>
        <v/>
      </c>
      <c r="N554" s="224">
        <f>L555*8%</f>
        <v/>
      </c>
      <c r="O554" s="224">
        <f>L555*10%</f>
        <v/>
      </c>
      <c r="P554" s="224">
        <f>L555*5%</f>
        <v/>
      </c>
      <c r="Q554" s="224">
        <f>L555*2%</f>
        <v/>
      </c>
      <c r="R554" s="224">
        <f>AC555*0.5%</f>
        <v/>
      </c>
      <c r="S554" s="224">
        <f>L555*1%</f>
        <v/>
      </c>
      <c r="T554" s="222">
        <f>S555+Q555+P555+O555+N555+M555</f>
        <v/>
      </c>
      <c r="U554" s="219">
        <f>AC555*1%</f>
        <v/>
      </c>
      <c r="V554" s="44">
        <f>AC555*5%</f>
        <v/>
      </c>
      <c r="W554" s="219">
        <f>AC555*1%</f>
        <v/>
      </c>
      <c r="X554" s="219">
        <f>AC555*8%</f>
        <v/>
      </c>
      <c r="Y554" s="219">
        <f>U555+V555+W555+X555</f>
        <v/>
      </c>
      <c r="Z554" s="222">
        <f>Y555+T555+L555</f>
        <v/>
      </c>
      <c r="AA554" s="223">
        <f>Z555*20%</f>
        <v/>
      </c>
      <c r="AB554" s="224" t="n">
        <v>22500</v>
      </c>
      <c r="AC554" s="219" t="n"/>
      <c r="AD554" s="224">
        <f>AB555-AC555</f>
        <v/>
      </c>
      <c r="AE554" s="224">
        <f>AD555/AB555*100</f>
        <v/>
      </c>
      <c r="AF554" s="216" t="n"/>
      <c r="AG554" s="225">
        <f>((AF555-L555)/L555)*100</f>
        <v/>
      </c>
      <c r="AH554" s="230">
        <f>AJ555-AF555</f>
        <v/>
      </c>
      <c r="AI554" s="230">
        <f>AB555</f>
        <v/>
      </c>
      <c r="AJ554" s="224" t="n">
        <v>22500</v>
      </c>
      <c r="AK554" s="227">
        <f>(AJ555-L555)/L555*100</f>
        <v/>
      </c>
      <c r="AL554" s="227" t="n"/>
      <c r="AM554" s="227">
        <f>AH555/AJ555%</f>
        <v/>
      </c>
      <c r="AN554" s="227">
        <f>AK555-AG555</f>
        <v/>
      </c>
      <c r="AO554" s="228">
        <f>AJ555/L555</f>
        <v/>
      </c>
      <c r="AP554" s="227">
        <f>(AJ555-AB555)/100</f>
        <v/>
      </c>
      <c r="AQ554" s="227">
        <f>(AJ555-AC555)/100</f>
        <v/>
      </c>
      <c r="AR554" s="229">
        <f>AI555/94</f>
        <v/>
      </c>
      <c r="AS554" s="229">
        <f>AJ555/94</f>
        <v/>
      </c>
      <c r="AT554" s="72">
        <f>AI555/24</f>
        <v/>
      </c>
      <c r="AU554" s="72">
        <f>AJ555/24</f>
        <v/>
      </c>
      <c r="AV554" s="72">
        <f>AI555/125</f>
        <v/>
      </c>
      <c r="AW554" s="72">
        <f>AJ555/125</f>
        <v/>
      </c>
      <c r="AX554" s="216" t="n"/>
      <c r="AY554" s="216" t="n"/>
    </row>
    <row r="555" ht="15.75" customHeight="1" s="258">
      <c r="A555" s="219" t="inlineStr">
        <is>
          <t>Native American Flute - Double</t>
        </is>
      </c>
      <c r="B555" s="219" t="inlineStr">
        <is>
          <t>Double</t>
        </is>
      </c>
      <c r="C555" s="214" t="inlineStr">
        <is>
          <t>MI-NAF-D</t>
        </is>
      </c>
      <c r="D555" s="217" t="n">
        <v>11500</v>
      </c>
      <c r="E555" s="216" t="n"/>
      <c r="F555" s="219" t="n">
        <v>145</v>
      </c>
      <c r="G555" s="217" t="n"/>
      <c r="H555" s="218" t="n">
        <v>0</v>
      </c>
      <c r="I555" s="219">
        <f>D556*H556</f>
        <v/>
      </c>
      <c r="J555" s="216" t="n"/>
      <c r="K555" s="219" t="n">
        <v>100</v>
      </c>
      <c r="L555" s="220">
        <f>K556+J556+I556+F556+E556+D556</f>
        <v/>
      </c>
      <c r="M555" s="219">
        <f>D556*1%</f>
        <v/>
      </c>
      <c r="N555" s="224">
        <f>L556*8%</f>
        <v/>
      </c>
      <c r="O555" s="224">
        <f>L556*10%</f>
        <v/>
      </c>
      <c r="P555" s="224">
        <f>L556*5%</f>
        <v/>
      </c>
      <c r="Q555" s="224">
        <f>L556*2%</f>
        <v/>
      </c>
      <c r="R555" s="224">
        <f>AC556*0.5%</f>
        <v/>
      </c>
      <c r="S555" s="224">
        <f>L556*1%</f>
        <v/>
      </c>
      <c r="T555" s="222">
        <f>S556+Q556+P556+O556+N556+M556</f>
        <v/>
      </c>
      <c r="U555" s="219">
        <f>AC556*1%</f>
        <v/>
      </c>
      <c r="V555" s="44">
        <f>AC556*5%</f>
        <v/>
      </c>
      <c r="W555" s="219">
        <f>AC556*1%</f>
        <v/>
      </c>
      <c r="X555" s="219">
        <f>AC556*8%</f>
        <v/>
      </c>
      <c r="Y555" s="219">
        <f>U556+V556+W556+X556</f>
        <v/>
      </c>
      <c r="Z555" s="222">
        <f>Y556+T556+L556</f>
        <v/>
      </c>
      <c r="AA555" s="223">
        <f>Z556*20%</f>
        <v/>
      </c>
      <c r="AB555" s="224" t="n">
        <v>18500</v>
      </c>
      <c r="AC555" s="219">
        <f>D556*2.1</f>
        <v/>
      </c>
      <c r="AD555" s="224">
        <f>AB556-AC556</f>
        <v/>
      </c>
      <c r="AE555" s="224">
        <f>AD556/AB556*100</f>
        <v/>
      </c>
      <c r="AF555" s="216" t="n"/>
      <c r="AG555" s="225">
        <f>((AF556-L556)/L556)*100</f>
        <v/>
      </c>
      <c r="AH555" s="230">
        <f>AJ556-AF556</f>
        <v/>
      </c>
      <c r="AI555" s="230">
        <f>AB556</f>
        <v/>
      </c>
      <c r="AJ555" s="224" t="n">
        <v>18500</v>
      </c>
      <c r="AK555" s="227">
        <f>(AJ556-L556)/L556*100</f>
        <v/>
      </c>
      <c r="AL555" s="227" t="n"/>
      <c r="AM555" s="227">
        <f>AH556/AJ556%</f>
        <v/>
      </c>
      <c r="AN555" s="227">
        <f>AK556-AG556</f>
        <v/>
      </c>
      <c r="AO555" s="228">
        <f>AJ556/L556</f>
        <v/>
      </c>
      <c r="AP555" s="227">
        <f>(AJ556-AB556)/100</f>
        <v/>
      </c>
      <c r="AQ555" s="227">
        <f>(AJ556-AC556)/100</f>
        <v/>
      </c>
      <c r="AR555" s="229">
        <f>AI556/94</f>
        <v/>
      </c>
      <c r="AS555" s="229">
        <f>AJ556/94</f>
        <v/>
      </c>
      <c r="AT555" s="72">
        <f>AI556/24</f>
        <v/>
      </c>
      <c r="AU555" s="72">
        <f>AJ556/24</f>
        <v/>
      </c>
      <c r="AV555" s="72">
        <f>AI556/125</f>
        <v/>
      </c>
      <c r="AW555" s="72">
        <f>AJ556/125</f>
        <v/>
      </c>
      <c r="AX555" s="216" t="n"/>
      <c r="AY555" s="216" t="n"/>
    </row>
    <row r="556" ht="15.75" customHeight="1" s="258">
      <c r="A556" s="219" t="inlineStr">
        <is>
          <t>Native American Flute - Single Large</t>
        </is>
      </c>
      <c r="B556" s="219" t="inlineStr">
        <is>
          <t>Single Large</t>
        </is>
      </c>
      <c r="C556" s="214" t="inlineStr">
        <is>
          <t>MI-NAF-SL</t>
        </is>
      </c>
      <c r="D556" s="217" t="n">
        <v>7000</v>
      </c>
      <c r="E556" s="216" t="n"/>
      <c r="F556" s="219" t="n">
        <v>145</v>
      </c>
      <c r="G556" s="217" t="n"/>
      <c r="H556" s="218" t="n">
        <v>0</v>
      </c>
      <c r="I556" s="219">
        <f>D557*H557</f>
        <v/>
      </c>
      <c r="J556" s="216" t="n"/>
      <c r="K556" s="219" t="n">
        <v>100</v>
      </c>
      <c r="L556" s="220">
        <f>K557+J557+I557+F557+E557+D557</f>
        <v/>
      </c>
      <c r="M556" s="219">
        <f>D557*1%</f>
        <v/>
      </c>
      <c r="N556" s="224">
        <f>L557*8%</f>
        <v/>
      </c>
      <c r="O556" s="224">
        <f>L557*10%</f>
        <v/>
      </c>
      <c r="P556" s="224">
        <f>L557*5%</f>
        <v/>
      </c>
      <c r="Q556" s="224">
        <f>L557*2%</f>
        <v/>
      </c>
      <c r="R556" s="224">
        <f>AC557*0.5%</f>
        <v/>
      </c>
      <c r="S556" s="224">
        <f>L557*1%</f>
        <v/>
      </c>
      <c r="T556" s="222">
        <f>S557+Q557+P557+O557+N557+M557</f>
        <v/>
      </c>
      <c r="U556" s="219">
        <f>AC557*1%</f>
        <v/>
      </c>
      <c r="V556" s="44">
        <f>AC557*5%</f>
        <v/>
      </c>
      <c r="W556" s="219">
        <f>AC557*1%</f>
        <v/>
      </c>
      <c r="X556" s="219">
        <f>AC557*8%</f>
        <v/>
      </c>
      <c r="Y556" s="219">
        <f>U557+V557+W557+X557</f>
        <v/>
      </c>
      <c r="Z556" s="222">
        <f>Y557+T557+L557</f>
        <v/>
      </c>
      <c r="AA556" s="223">
        <f>Z557*20%</f>
        <v/>
      </c>
      <c r="AB556" s="224" t="n">
        <v>12500</v>
      </c>
      <c r="AC556" s="219">
        <f>D557*2.1</f>
        <v/>
      </c>
      <c r="AD556" s="224">
        <f>AB557-AC557</f>
        <v/>
      </c>
      <c r="AE556" s="224">
        <f>AD557/AB557*100</f>
        <v/>
      </c>
      <c r="AF556" s="216" t="n"/>
      <c r="AG556" s="225">
        <f>((AF557-L557)/L557)*100</f>
        <v/>
      </c>
      <c r="AH556" s="230">
        <f>AJ557-AF557</f>
        <v/>
      </c>
      <c r="AI556" s="230">
        <f>AB557</f>
        <v/>
      </c>
      <c r="AJ556" s="224" t="n">
        <v>11950</v>
      </c>
      <c r="AK556" s="227">
        <f>(AJ557-L557)/L557*100</f>
        <v/>
      </c>
      <c r="AL556" s="227" t="n"/>
      <c r="AM556" s="227">
        <f>AH557/AJ557%</f>
        <v/>
      </c>
      <c r="AN556" s="227">
        <f>AK557-AG557</f>
        <v/>
      </c>
      <c r="AO556" s="228">
        <f>AJ557/L557</f>
        <v/>
      </c>
      <c r="AP556" s="227">
        <f>(AJ557-AB557)/100</f>
        <v/>
      </c>
      <c r="AQ556" s="227">
        <f>(AJ557-AC557)/100</f>
        <v/>
      </c>
      <c r="AR556" s="229">
        <f>AI557/94</f>
        <v/>
      </c>
      <c r="AS556" s="229">
        <f>AJ557/94</f>
        <v/>
      </c>
      <c r="AT556" s="72">
        <f>AI557/24</f>
        <v/>
      </c>
      <c r="AU556" s="72">
        <f>AJ557/24</f>
        <v/>
      </c>
      <c r="AV556" s="72">
        <f>AI557/125</f>
        <v/>
      </c>
      <c r="AW556" s="72">
        <f>AJ557/125</f>
        <v/>
      </c>
      <c r="AX556" s="216" t="n"/>
      <c r="AY556" s="216" t="n"/>
    </row>
    <row r="557" ht="15.75" customHeight="1" s="258">
      <c r="A557" s="219" t="inlineStr">
        <is>
          <t>Native American Flute - Single Medium</t>
        </is>
      </c>
      <c r="B557" s="219" t="inlineStr">
        <is>
          <t>Single Medium</t>
        </is>
      </c>
      <c r="C557" s="214" t="inlineStr">
        <is>
          <t>MI-NAF-SM</t>
        </is>
      </c>
      <c r="D557" s="217" t="n">
        <v>5000</v>
      </c>
      <c r="E557" s="216" t="n"/>
      <c r="F557" s="219" t="n">
        <v>145</v>
      </c>
      <c r="G557" s="217" t="n"/>
      <c r="H557" s="218" t="n">
        <v>0</v>
      </c>
      <c r="I557" s="219">
        <f>D558*H558</f>
        <v/>
      </c>
      <c r="J557" s="216" t="n"/>
      <c r="K557" s="219" t="n">
        <v>100</v>
      </c>
      <c r="L557" s="220">
        <f>K558+J558+I558+F558+E558+D558</f>
        <v/>
      </c>
      <c r="M557" s="219" t="n"/>
      <c r="N557" s="224" t="n"/>
      <c r="O557" s="224" t="n"/>
      <c r="P557" s="224" t="n"/>
      <c r="Q557" s="224" t="n"/>
      <c r="R557" s="224" t="n"/>
      <c r="S557" s="224" t="n"/>
      <c r="T557" s="222" t="n"/>
      <c r="U557" s="219" t="n"/>
      <c r="V557" s="44">
        <f>AC558*5%</f>
        <v/>
      </c>
      <c r="W557" s="219" t="n"/>
      <c r="X557" s="219" t="n"/>
      <c r="Y557" s="219" t="n"/>
      <c r="Z557" s="222" t="n"/>
      <c r="AA557" s="223" t="n"/>
      <c r="AB557" s="224" t="n"/>
      <c r="AC557" s="219" t="n"/>
      <c r="AD557" s="224" t="n"/>
      <c r="AE557" s="224" t="n"/>
      <c r="AF557" s="216" t="n"/>
      <c r="AG557" s="225" t="n"/>
      <c r="AH557" s="230" t="n"/>
      <c r="AI557" s="230" t="n"/>
      <c r="AJ557" s="224" t="n">
        <v>9500</v>
      </c>
      <c r="AK557" s="227">
        <f>(AJ558-L558)/L558*100</f>
        <v/>
      </c>
      <c r="AL557" s="227" t="n"/>
      <c r="AM557" s="227" t="n"/>
      <c r="AN557" s="227" t="n"/>
      <c r="AO557" s="228" t="n"/>
      <c r="AP557" s="227" t="n"/>
      <c r="AQ557" s="227" t="n"/>
      <c r="AR557" s="229" t="n"/>
      <c r="AS557" s="229" t="n"/>
      <c r="AT557" s="72" t="n"/>
      <c r="AU557" s="72" t="n"/>
      <c r="AV557" s="72" t="n"/>
      <c r="AW557" s="72" t="n"/>
      <c r="AX557" s="216" t="n"/>
      <c r="AY557" s="216" t="n"/>
    </row>
    <row r="558" ht="15.75" customHeight="1" s="258">
      <c r="A558" s="219" t="inlineStr">
        <is>
          <t>Native American Flute - Single Small</t>
        </is>
      </c>
      <c r="B558" s="219" t="inlineStr">
        <is>
          <t>Single Small</t>
        </is>
      </c>
      <c r="C558" s="214" t="inlineStr">
        <is>
          <t>MI-NAF-SS</t>
        </is>
      </c>
      <c r="D558" s="217" t="n">
        <v>4000</v>
      </c>
      <c r="E558" s="216" t="n"/>
      <c r="F558" s="219" t="n">
        <v>145</v>
      </c>
      <c r="G558" s="217" t="n"/>
      <c r="H558" s="218" t="n">
        <v>0</v>
      </c>
      <c r="I558" s="219">
        <f>D559*H559</f>
        <v/>
      </c>
      <c r="J558" s="216" t="n"/>
      <c r="K558" s="219" t="n">
        <v>100</v>
      </c>
      <c r="L558" s="220">
        <f>K559+J559+I559+F559+E559+D559</f>
        <v/>
      </c>
      <c r="M558" s="219" t="n"/>
      <c r="N558" s="224" t="n"/>
      <c r="O558" s="224" t="n"/>
      <c r="P558" s="224" t="n"/>
      <c r="Q558" s="224" t="n"/>
      <c r="R558" s="224" t="n"/>
      <c r="S558" s="224" t="n"/>
      <c r="T558" s="222" t="n"/>
      <c r="U558" s="219" t="n"/>
      <c r="V558" s="44">
        <f>AC559*5%</f>
        <v/>
      </c>
      <c r="W558" s="219" t="n"/>
      <c r="X558" s="219" t="n"/>
      <c r="Y558" s="219" t="n"/>
      <c r="Z558" s="222" t="n"/>
      <c r="AA558" s="223" t="n"/>
      <c r="AB558" s="224" t="n">
        <v>9500</v>
      </c>
      <c r="AC558" s="219" t="n"/>
      <c r="AD558" s="224" t="n"/>
      <c r="AE558" s="224" t="n"/>
      <c r="AF558" s="216" t="n"/>
      <c r="AG558" s="225" t="n"/>
      <c r="AH558" s="230" t="n"/>
      <c r="AI558" s="230" t="n"/>
      <c r="AJ558" s="230" t="n">
        <v>8250</v>
      </c>
      <c r="AK558" s="227">
        <f>(AJ559-L559)/L559*100</f>
        <v/>
      </c>
      <c r="AL558" s="227" t="n"/>
      <c r="AM558" s="227" t="n"/>
      <c r="AN558" s="227" t="n"/>
      <c r="AO558" s="228" t="n"/>
      <c r="AP558" s="227" t="n"/>
      <c r="AQ558" s="227" t="n"/>
      <c r="AR558" s="229" t="n"/>
      <c r="AS558" s="229" t="n"/>
      <c r="AT558" s="72" t="n"/>
      <c r="AU558" s="72" t="n"/>
      <c r="AV558" s="72" t="n"/>
      <c r="AW558" s="72" t="n"/>
      <c r="AX558" s="216" t="n"/>
      <c r="AY558" s="216" t="n"/>
    </row>
    <row r="559" ht="15.75" customHeight="1" s="258">
      <c r="A559" s="219" t="inlineStr">
        <is>
          <t>Ocarina - Small</t>
        </is>
      </c>
      <c r="B559" s="219" t="inlineStr">
        <is>
          <t>Small</t>
        </is>
      </c>
      <c r="C559" s="214" t="inlineStr">
        <is>
          <t>MI-OC-S</t>
        </is>
      </c>
      <c r="D559" s="217" t="n">
        <v>1200</v>
      </c>
      <c r="E559" s="216" t="n"/>
      <c r="F559" s="219" t="n">
        <v>145</v>
      </c>
      <c r="G559" s="217" t="n"/>
      <c r="H559" s="218" t="n">
        <v>0</v>
      </c>
      <c r="I559" s="219">
        <f>D560*H560</f>
        <v/>
      </c>
      <c r="J559" s="216" t="n"/>
      <c r="K559" s="219" t="n">
        <v>100</v>
      </c>
      <c r="L559" s="220">
        <f>K560+J560+I560+F560+E560+D560</f>
        <v/>
      </c>
      <c r="M559" s="219" t="n"/>
      <c r="N559" s="224" t="n"/>
      <c r="O559" s="224" t="n"/>
      <c r="P559" s="224" t="n"/>
      <c r="Q559" s="224" t="n"/>
      <c r="R559" s="224" t="n"/>
      <c r="S559" s="224" t="n"/>
      <c r="T559" s="222" t="n"/>
      <c r="U559" s="219" t="n"/>
      <c r="V559" s="44">
        <f>AC560*5%</f>
        <v/>
      </c>
      <c r="W559" s="219" t="n"/>
      <c r="X559" s="219" t="n"/>
      <c r="Y559" s="219" t="n"/>
      <c r="Z559" s="222" t="n"/>
      <c r="AA559" s="223" t="n"/>
      <c r="AB559" s="224" t="n">
        <v>2450</v>
      </c>
      <c r="AC559" s="219" t="n"/>
      <c r="AD559" s="224" t="n"/>
      <c r="AE559" s="224" t="n"/>
      <c r="AF559" s="216" t="n"/>
      <c r="AG559" s="225" t="n"/>
      <c r="AH559" s="230" t="n"/>
      <c r="AI559" s="230" t="n"/>
      <c r="AJ559" s="230" t="n">
        <v>2450</v>
      </c>
      <c r="AK559" s="227">
        <f>(AJ560-L560)/L560*100</f>
        <v/>
      </c>
      <c r="AL559" s="227" t="n"/>
      <c r="AM559" s="227" t="n"/>
      <c r="AN559" s="227" t="n"/>
      <c r="AO559" s="228" t="n"/>
      <c r="AP559" s="227" t="n"/>
      <c r="AQ559" s="227" t="n"/>
      <c r="AR559" s="229" t="n"/>
      <c r="AS559" s="229" t="n"/>
      <c r="AT559" s="72" t="n"/>
      <c r="AU559" s="72" t="n"/>
      <c r="AV559" s="72" t="n"/>
      <c r="AW559" s="72" t="n"/>
      <c r="AX559" s="216" t="n"/>
      <c r="AY559" s="216" t="n"/>
    </row>
    <row r="560" ht="15.75" customHeight="1" s="258">
      <c r="A560" s="219" t="inlineStr">
        <is>
          <t>Ocarina - Big</t>
        </is>
      </c>
      <c r="B560" s="219" t="inlineStr">
        <is>
          <t>Big</t>
        </is>
      </c>
      <c r="C560" s="214" t="inlineStr">
        <is>
          <t>MI-OC-B</t>
        </is>
      </c>
      <c r="D560" s="217" t="n">
        <v>1600</v>
      </c>
      <c r="E560" s="216" t="n"/>
      <c r="F560" s="219" t="n">
        <v>145</v>
      </c>
      <c r="G560" s="217" t="n"/>
      <c r="H560" s="218" t="n">
        <v>0</v>
      </c>
      <c r="I560" s="219">
        <f>D561*H561</f>
        <v/>
      </c>
      <c r="J560" s="216" t="n"/>
      <c r="K560" s="219" t="n">
        <v>100</v>
      </c>
      <c r="L560" s="220">
        <f>K561+J561+I561+F561+E561+D561</f>
        <v/>
      </c>
      <c r="M560" s="219" t="n"/>
      <c r="N560" s="224" t="n"/>
      <c r="O560" s="224" t="n"/>
      <c r="P560" s="224" t="n"/>
      <c r="Q560" s="224" t="n"/>
      <c r="R560" s="224" t="n"/>
      <c r="S560" s="224" t="n"/>
      <c r="T560" s="222" t="n"/>
      <c r="U560" s="219" t="n"/>
      <c r="V560" s="44">
        <f>AC561*5%</f>
        <v/>
      </c>
      <c r="W560" s="219" t="n"/>
      <c r="X560" s="219" t="n"/>
      <c r="Y560" s="219" t="n"/>
      <c r="Z560" s="222" t="n"/>
      <c r="AA560" s="223" t="n"/>
      <c r="AB560" s="224" t="n">
        <v>3450</v>
      </c>
      <c r="AC560" s="219" t="n"/>
      <c r="AD560" s="224" t="n"/>
      <c r="AE560" s="224" t="n"/>
      <c r="AF560" s="216" t="n"/>
      <c r="AG560" s="225" t="n"/>
      <c r="AH560" s="230" t="n"/>
      <c r="AI560" s="230" t="n"/>
      <c r="AJ560" s="230" t="n">
        <v>3450</v>
      </c>
      <c r="AK560" s="227">
        <f>(AJ561-L561)/L561*100</f>
        <v/>
      </c>
      <c r="AL560" s="227" t="n"/>
      <c r="AM560" s="227" t="n"/>
      <c r="AN560" s="227" t="n"/>
      <c r="AO560" s="228" t="n"/>
      <c r="AP560" s="227" t="n"/>
      <c r="AQ560" s="227" t="n"/>
      <c r="AR560" s="229" t="n"/>
      <c r="AS560" s="229" t="n"/>
      <c r="AT560" s="72" t="n"/>
      <c r="AU560" s="72" t="n"/>
      <c r="AV560" s="72" t="n"/>
      <c r="AW560" s="72" t="n"/>
      <c r="AX560" s="216" t="n"/>
      <c r="AY560" s="216" t="n"/>
    </row>
    <row r="561" ht="15.75" customHeight="1" s="258">
      <c r="A561" s="219" t="inlineStr">
        <is>
          <t xml:space="preserve">Swing Flute/Harmonic </t>
        </is>
      </c>
      <c r="B561" s="219" t="n"/>
      <c r="C561" s="214" t="inlineStr">
        <is>
          <t>MI-SFH</t>
        </is>
      </c>
      <c r="D561" s="217" t="n">
        <v>1000</v>
      </c>
      <c r="E561" s="216" t="n"/>
      <c r="F561" s="219" t="n">
        <v>145</v>
      </c>
      <c r="G561" s="217" t="n"/>
      <c r="H561" s="218" t="n">
        <v>0</v>
      </c>
      <c r="I561" s="219">
        <f>D562*H562</f>
        <v/>
      </c>
      <c r="J561" s="216" t="n"/>
      <c r="K561" s="219" t="n">
        <v>100</v>
      </c>
      <c r="L561" s="220">
        <f>K562+J562+I562+F562+E562+D562</f>
        <v/>
      </c>
      <c r="M561" s="219" t="n"/>
      <c r="N561" s="224" t="n"/>
      <c r="O561" s="224" t="n"/>
      <c r="P561" s="224" t="n"/>
      <c r="Q561" s="224" t="n"/>
      <c r="R561" s="224" t="n"/>
      <c r="S561" s="224" t="n"/>
      <c r="T561" s="222" t="n"/>
      <c r="U561" s="219" t="n"/>
      <c r="V561" s="44">
        <f>AC562*5%</f>
        <v/>
      </c>
      <c r="W561" s="219" t="n"/>
      <c r="X561" s="219" t="n"/>
      <c r="Y561" s="219" t="n"/>
      <c r="Z561" s="222" t="n"/>
      <c r="AA561" s="223" t="n"/>
      <c r="AB561" s="224" t="n"/>
      <c r="AC561" s="219" t="n"/>
      <c r="AD561" s="224" t="n"/>
      <c r="AE561" s="224" t="n"/>
      <c r="AF561" s="216" t="n"/>
      <c r="AG561" s="225" t="n"/>
      <c r="AH561" s="230" t="n"/>
      <c r="AI561" s="230" t="n"/>
      <c r="AJ561" s="230" t="n">
        <v>2250</v>
      </c>
      <c r="AK561" s="227">
        <f>(AJ562-L562)/L562*100</f>
        <v/>
      </c>
      <c r="AL561" s="227" t="n"/>
      <c r="AM561" s="227" t="n"/>
      <c r="AN561" s="227" t="n"/>
      <c r="AO561" s="228" t="n"/>
      <c r="AP561" s="227" t="n"/>
      <c r="AQ561" s="227" t="n"/>
      <c r="AR561" s="229" t="n"/>
      <c r="AS561" s="229" t="n"/>
      <c r="AT561" s="72" t="n"/>
      <c r="AU561" s="72" t="n"/>
      <c r="AV561" s="72" t="n"/>
      <c r="AW561" s="72" t="n"/>
      <c r="AX561" s="216" t="n"/>
      <c r="AY561" s="216" t="n"/>
    </row>
    <row r="562" ht="15.75" customHeight="1" s="258">
      <c r="A562" s="219" t="inlineStr">
        <is>
          <t xml:space="preserve">Clay Whistle </t>
        </is>
      </c>
      <c r="B562" s="219" t="n"/>
      <c r="C562" s="214" t="inlineStr">
        <is>
          <t>MI-CW</t>
        </is>
      </c>
      <c r="D562" s="217" t="n">
        <v>340</v>
      </c>
      <c r="E562" s="216" t="n"/>
      <c r="F562" s="219" t="n">
        <v>40</v>
      </c>
      <c r="G562" s="217" t="n"/>
      <c r="H562" s="218" t="n">
        <v>0</v>
      </c>
      <c r="I562" s="219">
        <f>D563*H563</f>
        <v/>
      </c>
      <c r="J562" s="216" t="n"/>
      <c r="K562" s="219" t="n">
        <v>50</v>
      </c>
      <c r="L562" s="220">
        <f>K563+J563+I563+F563+E563+D563</f>
        <v/>
      </c>
      <c r="M562" s="219" t="n"/>
      <c r="N562" s="224" t="n"/>
      <c r="O562" s="224" t="n"/>
      <c r="P562" s="224" t="n"/>
      <c r="Q562" s="224" t="n"/>
      <c r="R562" s="224" t="n"/>
      <c r="S562" s="224" t="n"/>
      <c r="T562" s="222" t="n"/>
      <c r="U562" s="219" t="n"/>
      <c r="V562" s="44">
        <f>AC563*5%</f>
        <v/>
      </c>
      <c r="W562" s="219" t="n"/>
      <c r="X562" s="219" t="n"/>
      <c r="Y562" s="219" t="n"/>
      <c r="Z562" s="222" t="n"/>
      <c r="AA562" s="223" t="n"/>
      <c r="AB562" s="224" t="n"/>
      <c r="AC562" s="219" t="n"/>
      <c r="AD562" s="224" t="n"/>
      <c r="AE562" s="224" t="n"/>
      <c r="AF562" s="216" t="n"/>
      <c r="AG562" s="225" t="n"/>
      <c r="AH562" s="230" t="n"/>
      <c r="AI562" s="230" t="n"/>
      <c r="AJ562" s="230" t="n">
        <v>850</v>
      </c>
      <c r="AK562" s="227">
        <f>(AJ563-L563)/L563*100</f>
        <v/>
      </c>
      <c r="AL562" s="227" t="n"/>
      <c r="AM562" s="227" t="n"/>
      <c r="AN562" s="227" t="n"/>
      <c r="AO562" s="228" t="n"/>
      <c r="AP562" s="227" t="n"/>
      <c r="AQ562" s="227" t="n"/>
      <c r="AR562" s="229" t="n"/>
      <c r="AS562" s="229" t="n"/>
      <c r="AT562" s="72" t="n"/>
      <c r="AU562" s="72" t="n"/>
      <c r="AV562" s="72" t="n"/>
      <c r="AW562" s="72" t="n"/>
      <c r="AX562" s="216" t="n"/>
      <c r="AY562" s="216" t="n"/>
    </row>
    <row r="563" ht="15.75" customHeight="1" s="258">
      <c r="A563" s="219" t="inlineStr">
        <is>
          <t>Overtone Flute</t>
        </is>
      </c>
      <c r="B563" s="219" t="n"/>
      <c r="C563" s="214" t="inlineStr">
        <is>
          <t>MI-OF</t>
        </is>
      </c>
      <c r="D563" s="217" t="n">
        <v>750</v>
      </c>
      <c r="E563" s="216" t="n"/>
      <c r="F563" s="219" t="n">
        <v>145</v>
      </c>
      <c r="G563" s="217" t="n"/>
      <c r="H563" s="218" t="n">
        <v>0</v>
      </c>
      <c r="I563" s="219">
        <f>D564*H564</f>
        <v/>
      </c>
      <c r="J563" s="216" t="n"/>
      <c r="K563" s="219" t="n">
        <v>100</v>
      </c>
      <c r="L563" s="220">
        <f>K564+J564+I564+F564+E564+D564</f>
        <v/>
      </c>
      <c r="M563" s="219" t="n"/>
      <c r="N563" s="224" t="n"/>
      <c r="O563" s="224" t="n"/>
      <c r="P563" s="224" t="n"/>
      <c r="Q563" s="224" t="n"/>
      <c r="R563" s="224" t="n"/>
      <c r="S563" s="224" t="n"/>
      <c r="T563" s="222" t="n"/>
      <c r="U563" s="219" t="n"/>
      <c r="V563" s="44">
        <f>AC564*5%</f>
        <v/>
      </c>
      <c r="W563" s="219" t="n"/>
      <c r="X563" s="219" t="n"/>
      <c r="Y563" s="219" t="n"/>
      <c r="Z563" s="222" t="n"/>
      <c r="AA563" s="223" t="n"/>
      <c r="AB563" s="224" t="n"/>
      <c r="AC563" s="219" t="n"/>
      <c r="AD563" s="224" t="n"/>
      <c r="AE563" s="224" t="n"/>
      <c r="AF563" s="216" t="n"/>
      <c r="AG563" s="225" t="n"/>
      <c r="AH563" s="230" t="n"/>
      <c r="AI563" s="230" t="n"/>
      <c r="AJ563" s="230" t="n">
        <v>1750</v>
      </c>
      <c r="AK563" s="227">
        <f>(AJ564-L564)/L564*100</f>
        <v/>
      </c>
      <c r="AL563" s="227" t="n"/>
      <c r="AM563" s="227" t="n"/>
      <c r="AN563" s="227" t="n"/>
      <c r="AO563" s="228" t="n"/>
      <c r="AP563" s="227" t="n"/>
      <c r="AQ563" s="227" t="n"/>
      <c r="AR563" s="229" t="n"/>
      <c r="AS563" s="229" t="n"/>
      <c r="AT563" s="72" t="n"/>
      <c r="AU563" s="72" t="n"/>
      <c r="AV563" s="72" t="n"/>
      <c r="AW563" s="72" t="n"/>
      <c r="AX563" s="216" t="n"/>
      <c r="AY563" s="216" t="n"/>
    </row>
    <row r="564" ht="15.75" customHeight="1" s="258">
      <c r="A564" s="44" t="inlineStr">
        <is>
          <t>Natural Lavender Scented Eye Pillows</t>
        </is>
      </c>
      <c r="B564" s="44" t="inlineStr">
        <is>
          <t>Rose</t>
        </is>
      </c>
      <c r="C564" s="44" t="inlineStr">
        <is>
          <t>Yo-P-E-RE</t>
        </is>
      </c>
      <c r="D564" s="45" t="n">
        <v>175</v>
      </c>
      <c r="E564" s="113" t="n"/>
      <c r="F564" s="44" t="n">
        <v>40</v>
      </c>
      <c r="G564" s="45" t="n">
        <v>94041000</v>
      </c>
      <c r="H564" s="115" t="n">
        <v>0.18</v>
      </c>
      <c r="I564" s="44">
        <f>D565*H565</f>
        <v/>
      </c>
      <c r="J564" s="113" t="n"/>
      <c r="K564" s="44" t="n">
        <v>20</v>
      </c>
      <c r="L564" s="48">
        <f>K565+J565+I565+F565+E565+D565</f>
        <v/>
      </c>
      <c r="M564" s="44">
        <f>D565*1%</f>
        <v/>
      </c>
      <c r="N564" s="49">
        <f>L565*8%</f>
        <v/>
      </c>
      <c r="O564" s="49">
        <f>L565*10%</f>
        <v/>
      </c>
      <c r="P564" s="49">
        <f>L565*5%</f>
        <v/>
      </c>
      <c r="Q564" s="49">
        <f>L565*2%</f>
        <v/>
      </c>
      <c r="R564" s="49">
        <f>AC565*0.5%</f>
        <v/>
      </c>
      <c r="S564" s="49">
        <f>L565*1%</f>
        <v/>
      </c>
      <c r="T564" s="50">
        <f>S565+Q565+P565+O565+N565+M565</f>
        <v/>
      </c>
      <c r="U564" s="44">
        <f>AC565*1%</f>
        <v/>
      </c>
      <c r="V564" s="44">
        <f>AC565*5%</f>
        <v/>
      </c>
      <c r="W564" s="44">
        <f>AC565*1%</f>
        <v/>
      </c>
      <c r="X564" s="44">
        <f>AC565*8%</f>
        <v/>
      </c>
      <c r="Y564" s="44">
        <f>U565+V565+W565+X565</f>
        <v/>
      </c>
      <c r="Z564" s="50">
        <f>Y565+T565+L565</f>
        <v/>
      </c>
      <c r="AA564" s="51">
        <f>Z565*20%</f>
        <v/>
      </c>
      <c r="AB564" s="49">
        <f>Z565+AA565</f>
        <v/>
      </c>
      <c r="AC564" s="44">
        <f>D565*2.1</f>
        <v/>
      </c>
      <c r="AD564" s="49">
        <f>AB565-AC565</f>
        <v/>
      </c>
      <c r="AE564" s="49">
        <f>AD565/AB565*100</f>
        <v/>
      </c>
      <c r="AF564" s="113" t="n">
        <v>395</v>
      </c>
      <c r="AG564" s="116">
        <f>((AF565-L565)/L565)*100</f>
        <v/>
      </c>
      <c r="AH564" s="54">
        <f>AJ565-AF565</f>
        <v/>
      </c>
      <c r="AI564" s="54">
        <f>AB565</f>
        <v/>
      </c>
      <c r="AJ564" s="54">
        <f>AI565-(AI565*7%)</f>
        <v/>
      </c>
      <c r="AK564" s="55">
        <f>(AJ565-L565)/L565*100</f>
        <v/>
      </c>
      <c r="AL564" s="55" t="n"/>
      <c r="AM564" s="55">
        <f>AH565/AJ565%</f>
        <v/>
      </c>
      <c r="AN564" s="55">
        <f>AK565-AG565</f>
        <v/>
      </c>
      <c r="AO564" s="56">
        <f>AJ565/L565</f>
        <v/>
      </c>
      <c r="AP564" s="55">
        <f>(AJ565-AB565)/100</f>
        <v/>
      </c>
      <c r="AQ564" s="55">
        <f>(AJ565-AC565)/100</f>
        <v/>
      </c>
      <c r="AR564" s="57">
        <f>AI565/94</f>
        <v/>
      </c>
      <c r="AS564" s="57">
        <f>AJ565/94</f>
        <v/>
      </c>
      <c r="AT564" s="58">
        <f>AI565/24</f>
        <v/>
      </c>
      <c r="AU564" s="58">
        <f>AJ565/24</f>
        <v/>
      </c>
      <c r="AV564" s="58">
        <f>AI565/125</f>
        <v/>
      </c>
      <c r="AW564" s="58">
        <f>AJ565/125</f>
        <v/>
      </c>
      <c r="AX564" s="113" t="n"/>
      <c r="AY564" s="113" t="n"/>
    </row>
    <row r="565" ht="15" customHeight="1" s="258">
      <c r="A565" s="44" t="n"/>
      <c r="B565" s="44" t="inlineStr">
        <is>
          <t>Dark Grey</t>
        </is>
      </c>
      <c r="C565" s="44" t="inlineStr">
        <is>
          <t>Yo-P-E-DG</t>
        </is>
      </c>
      <c r="D565" s="45" t="n">
        <v>175</v>
      </c>
      <c r="E565" s="113" t="n"/>
      <c r="F565" s="44" t="n">
        <v>40</v>
      </c>
      <c r="G565" s="45" t="n">
        <v>94041000</v>
      </c>
      <c r="H565" s="115" t="n">
        <v>0.18</v>
      </c>
      <c r="I565" s="44">
        <f>D566*H566</f>
        <v/>
      </c>
      <c r="J565" s="113" t="n"/>
      <c r="K565" s="44" t="n">
        <v>20</v>
      </c>
      <c r="L565" s="48">
        <f>K566+J566+I566+F566+E566+D566</f>
        <v/>
      </c>
      <c r="M565" s="44">
        <f>D566*1%</f>
        <v/>
      </c>
      <c r="N565" s="49">
        <f>L566*8%</f>
        <v/>
      </c>
      <c r="O565" s="49">
        <f>L566*10%</f>
        <v/>
      </c>
      <c r="P565" s="49">
        <f>L566*5%</f>
        <v/>
      </c>
      <c r="Q565" s="49">
        <f>L566*2%</f>
        <v/>
      </c>
      <c r="R565" s="49">
        <f>AC566*0.5%</f>
        <v/>
      </c>
      <c r="S565" s="49">
        <f>L566*1%</f>
        <v/>
      </c>
      <c r="T565" s="50">
        <f>S566+Q566+P566+O566+N566+M566</f>
        <v/>
      </c>
      <c r="U565" s="44">
        <f>AC566*1%</f>
        <v/>
      </c>
      <c r="V565" s="44">
        <f>AC566*5%</f>
        <v/>
      </c>
      <c r="W565" s="44">
        <f>AC566*1%</f>
        <v/>
      </c>
      <c r="X565" s="44">
        <f>AC566*8%</f>
        <v/>
      </c>
      <c r="Y565" s="44">
        <f>U566+V566+W566+X566</f>
        <v/>
      </c>
      <c r="Z565" s="50">
        <f>Y566+T566+L566</f>
        <v/>
      </c>
      <c r="AA565" s="51">
        <f>Z566*20%</f>
        <v/>
      </c>
      <c r="AB565" s="49">
        <f>Z566+AA566</f>
        <v/>
      </c>
      <c r="AC565" s="44">
        <f>D566*2.1</f>
        <v/>
      </c>
      <c r="AD565" s="49">
        <f>AB566-AC566</f>
        <v/>
      </c>
      <c r="AE565" s="49">
        <f>AD566/AB566*100</f>
        <v/>
      </c>
      <c r="AF565" s="113" t="n">
        <v>395</v>
      </c>
      <c r="AG565" s="116">
        <f>((AF566-L566)/L566)*100</f>
        <v/>
      </c>
      <c r="AH565" s="54">
        <f>AJ566-AF566</f>
        <v/>
      </c>
      <c r="AI565" s="54">
        <f>AB566</f>
        <v/>
      </c>
      <c r="AJ565" s="54">
        <f>AI566-(AI566*7%)</f>
        <v/>
      </c>
      <c r="AK565" s="55">
        <f>(AJ566-L566)/L566*100</f>
        <v/>
      </c>
      <c r="AL565" s="55" t="n"/>
      <c r="AM565" s="55">
        <f>AH566/AJ566%</f>
        <v/>
      </c>
      <c r="AN565" s="55">
        <f>AK566-AG566</f>
        <v/>
      </c>
      <c r="AO565" s="56">
        <f>AJ566/L566</f>
        <v/>
      </c>
      <c r="AP565" s="55">
        <f>(AJ566-AB566)/100</f>
        <v/>
      </c>
      <c r="AQ565" s="55">
        <f>(AJ566-AC566)/100</f>
        <v/>
      </c>
      <c r="AR565" s="57">
        <f>AI566/94</f>
        <v/>
      </c>
      <c r="AS565" s="57">
        <f>AJ566/94</f>
        <v/>
      </c>
      <c r="AT565" s="58">
        <f>AI566/24</f>
        <v/>
      </c>
      <c r="AU565" s="58">
        <f>AJ566/24</f>
        <v/>
      </c>
      <c r="AV565" s="58">
        <f>AI566/125</f>
        <v/>
      </c>
      <c r="AW565" s="58">
        <f>AJ566/125</f>
        <v/>
      </c>
      <c r="AX565" s="113" t="n"/>
      <c r="AY565" s="113" t="n"/>
    </row>
    <row r="566" ht="15.75" customHeight="1" s="258">
      <c r="A566" s="44" t="n"/>
      <c r="B566" s="44" t="inlineStr">
        <is>
          <t>Grey</t>
        </is>
      </c>
      <c r="C566" s="44" t="inlineStr">
        <is>
          <t>Yo-P-E-GY</t>
        </is>
      </c>
      <c r="D566" s="45" t="n">
        <v>175</v>
      </c>
      <c r="E566" s="113" t="n"/>
      <c r="F566" s="44" t="n">
        <v>40</v>
      </c>
      <c r="G566" s="45" t="n">
        <v>94041000</v>
      </c>
      <c r="H566" s="115" t="n">
        <v>0.18</v>
      </c>
      <c r="I566" s="44">
        <f>D567*H567</f>
        <v/>
      </c>
      <c r="J566" s="113" t="n"/>
      <c r="K566" s="44" t="n">
        <v>20</v>
      </c>
      <c r="L566" s="48">
        <f>K567+J567+I567+F567+E567+D567</f>
        <v/>
      </c>
      <c r="M566" s="44">
        <f>D567*1%</f>
        <v/>
      </c>
      <c r="N566" s="49">
        <f>L567*8%</f>
        <v/>
      </c>
      <c r="O566" s="49">
        <f>L567*10%</f>
        <v/>
      </c>
      <c r="P566" s="49">
        <f>L567*5%</f>
        <v/>
      </c>
      <c r="Q566" s="49">
        <f>L567*2%</f>
        <v/>
      </c>
      <c r="R566" s="49">
        <f>AC567*0.5%</f>
        <v/>
      </c>
      <c r="S566" s="49">
        <f>L567*1%</f>
        <v/>
      </c>
      <c r="T566" s="50">
        <f>S567+Q567+P567+O567+N567+M567</f>
        <v/>
      </c>
      <c r="U566" s="44">
        <f>AC567*1%</f>
        <v/>
      </c>
      <c r="V566" s="44">
        <f>AC567*5%</f>
        <v/>
      </c>
      <c r="W566" s="44">
        <f>AC567*1%</f>
        <v/>
      </c>
      <c r="X566" s="44">
        <f>AC567*8%</f>
        <v/>
      </c>
      <c r="Y566" s="44">
        <f>U567+V567+W567+X567</f>
        <v/>
      </c>
      <c r="Z566" s="50">
        <f>Y567+T567+L567</f>
        <v/>
      </c>
      <c r="AA566" s="51">
        <f>Z567*20%</f>
        <v/>
      </c>
      <c r="AB566" s="49">
        <f>Z567+AA567</f>
        <v/>
      </c>
      <c r="AC566" s="44">
        <f>D567*2.1</f>
        <v/>
      </c>
      <c r="AD566" s="49">
        <f>AB567-AC567</f>
        <v/>
      </c>
      <c r="AE566" s="49">
        <f>AD567/AB567*100</f>
        <v/>
      </c>
      <c r="AF566" s="113" t="n">
        <v>395</v>
      </c>
      <c r="AG566" s="116">
        <f>((AF567-L567)/L567)*100</f>
        <v/>
      </c>
      <c r="AH566" s="54">
        <f>AJ567-AF567</f>
        <v/>
      </c>
      <c r="AI566" s="54">
        <f>AB567</f>
        <v/>
      </c>
      <c r="AJ566" s="54">
        <f>AI567-(AI567*7%)</f>
        <v/>
      </c>
      <c r="AK566" s="55">
        <f>(AJ567-L567)/L567*100</f>
        <v/>
      </c>
      <c r="AL566" s="55" t="n"/>
      <c r="AM566" s="55">
        <f>AH567/AJ567%</f>
        <v/>
      </c>
      <c r="AN566" s="55">
        <f>AK567-AG567</f>
        <v/>
      </c>
      <c r="AO566" s="56">
        <f>AJ567/L567</f>
        <v/>
      </c>
      <c r="AP566" s="55">
        <f>(AJ567-AB567)/100</f>
        <v/>
      </c>
      <c r="AQ566" s="55">
        <f>(AJ567-AC567)/100</f>
        <v/>
      </c>
      <c r="AR566" s="57">
        <f>AI567/94</f>
        <v/>
      </c>
      <c r="AS566" s="57">
        <f>AJ567/94</f>
        <v/>
      </c>
      <c r="AT566" s="58">
        <f>AI567/24</f>
        <v/>
      </c>
      <c r="AU566" s="58">
        <f>AJ567/24</f>
        <v/>
      </c>
      <c r="AV566" s="58">
        <f>AI567/125</f>
        <v/>
      </c>
      <c r="AW566" s="58">
        <f>AJ567/125</f>
        <v/>
      </c>
      <c r="AX566" s="113" t="n"/>
      <c r="AY566" s="113" t="n"/>
    </row>
    <row r="567" ht="15.75" customHeight="1" s="258">
      <c r="A567" s="44" t="n"/>
      <c r="B567" s="44" t="inlineStr">
        <is>
          <t>Navy Blue</t>
        </is>
      </c>
      <c r="C567" s="44" t="inlineStr">
        <is>
          <t>Yo-P-E-NB</t>
        </is>
      </c>
      <c r="D567" s="45" t="n">
        <v>175</v>
      </c>
      <c r="E567" s="113" t="n"/>
      <c r="F567" s="44" t="n">
        <v>40</v>
      </c>
      <c r="G567" s="45" t="n">
        <v>94041000</v>
      </c>
      <c r="H567" s="115" t="n">
        <v>0.18</v>
      </c>
      <c r="I567" s="44">
        <f>D568*H568</f>
        <v/>
      </c>
      <c r="J567" s="113" t="n"/>
      <c r="K567" s="44" t="n">
        <v>20</v>
      </c>
      <c r="L567" s="48">
        <f>K568+J568+I568+F568+E568+D568</f>
        <v/>
      </c>
      <c r="M567" s="44">
        <f>D568*1%</f>
        <v/>
      </c>
      <c r="N567" s="49">
        <f>L568*8%</f>
        <v/>
      </c>
      <c r="O567" s="49">
        <f>L568*10%</f>
        <v/>
      </c>
      <c r="P567" s="49">
        <f>L568*5%</f>
        <v/>
      </c>
      <c r="Q567" s="49">
        <f>L568*2%</f>
        <v/>
      </c>
      <c r="R567" s="49">
        <f>AC568*0.5%</f>
        <v/>
      </c>
      <c r="S567" s="49">
        <f>L568*1%</f>
        <v/>
      </c>
      <c r="T567" s="50">
        <f>S568+Q568+P568+O568+N568+M568</f>
        <v/>
      </c>
      <c r="U567" s="44">
        <f>AC568*1%</f>
        <v/>
      </c>
      <c r="V567" s="44">
        <f>AC568*5%</f>
        <v/>
      </c>
      <c r="W567" s="44">
        <f>AC568*1%</f>
        <v/>
      </c>
      <c r="X567" s="44">
        <f>AC568*8%</f>
        <v/>
      </c>
      <c r="Y567" s="44">
        <f>U568+V568+W568+X568</f>
        <v/>
      </c>
      <c r="Z567" s="50">
        <f>Y568+T568+L568</f>
        <v/>
      </c>
      <c r="AA567" s="51">
        <f>Z568*20%</f>
        <v/>
      </c>
      <c r="AB567" s="49">
        <f>Z568+AA568</f>
        <v/>
      </c>
      <c r="AC567" s="44">
        <f>D568*2.1</f>
        <v/>
      </c>
      <c r="AD567" s="49">
        <f>AB568-AC568</f>
        <v/>
      </c>
      <c r="AE567" s="49">
        <f>AD568/AB568*100</f>
        <v/>
      </c>
      <c r="AF567" s="113" t="n">
        <v>395</v>
      </c>
      <c r="AG567" s="116">
        <f>((AF568-L568)/L568)*100</f>
        <v/>
      </c>
      <c r="AH567" s="54">
        <f>AJ568-AF568</f>
        <v/>
      </c>
      <c r="AI567" s="54">
        <f>AB568</f>
        <v/>
      </c>
      <c r="AJ567" s="54">
        <f>AI568-(AI568*7%)</f>
        <v/>
      </c>
      <c r="AK567" s="55">
        <f>(AJ568-L568)/L568*100</f>
        <v/>
      </c>
      <c r="AL567" s="55" t="n"/>
      <c r="AM567" s="55">
        <f>AH568/AJ568%</f>
        <v/>
      </c>
      <c r="AN567" s="55">
        <f>AK568-AG568</f>
        <v/>
      </c>
      <c r="AO567" s="56">
        <f>AJ568/L568</f>
        <v/>
      </c>
      <c r="AP567" s="55">
        <f>(AJ568-AB568)/100</f>
        <v/>
      </c>
      <c r="AQ567" s="55">
        <f>(AJ568-AC568)/100</f>
        <v/>
      </c>
      <c r="AR567" s="57">
        <f>AI568/94</f>
        <v/>
      </c>
      <c r="AS567" s="57">
        <f>AJ568/94</f>
        <v/>
      </c>
      <c r="AT567" s="58">
        <f>AI568/24</f>
        <v/>
      </c>
      <c r="AU567" s="58">
        <f>AJ568/24</f>
        <v/>
      </c>
      <c r="AV567" s="58">
        <f>AI568/125</f>
        <v/>
      </c>
      <c r="AW567" s="58">
        <f>AJ568/125</f>
        <v/>
      </c>
      <c r="AX567" s="113" t="n"/>
      <c r="AY567" s="113" t="n"/>
    </row>
    <row r="568" ht="15.75" customHeight="1" s="258">
      <c r="A568" s="44" t="n"/>
      <c r="B568" s="44" t="inlineStr">
        <is>
          <t>Sage</t>
        </is>
      </c>
      <c r="C568" s="44" t="inlineStr">
        <is>
          <t>Yo-P-E-SE</t>
        </is>
      </c>
      <c r="D568" s="45" t="n">
        <v>175</v>
      </c>
      <c r="E568" s="113" t="n"/>
      <c r="F568" s="44" t="n">
        <v>40</v>
      </c>
      <c r="G568" s="45" t="n">
        <v>94041000</v>
      </c>
      <c r="H568" s="115" t="n">
        <v>0.18</v>
      </c>
      <c r="I568" s="44">
        <f>D569*H569</f>
        <v/>
      </c>
      <c r="J568" s="113" t="n"/>
      <c r="K568" s="44" t="n">
        <v>20</v>
      </c>
      <c r="L568" s="48">
        <f>K569+J569+I569+F569+E569+D569</f>
        <v/>
      </c>
      <c r="M568" s="44">
        <f>D569*1%</f>
        <v/>
      </c>
      <c r="N568" s="49">
        <f>L569*8%</f>
        <v/>
      </c>
      <c r="O568" s="49">
        <f>L569*10%</f>
        <v/>
      </c>
      <c r="P568" s="49">
        <f>L569*5%</f>
        <v/>
      </c>
      <c r="Q568" s="49">
        <f>L569*2%</f>
        <v/>
      </c>
      <c r="R568" s="49">
        <f>AC569*0.5%</f>
        <v/>
      </c>
      <c r="S568" s="49">
        <f>L569*1%</f>
        <v/>
      </c>
      <c r="T568" s="50">
        <f>S569+Q569+P569+O569+N569+M569</f>
        <v/>
      </c>
      <c r="U568" s="44">
        <f>AC569*1%</f>
        <v/>
      </c>
      <c r="V568" s="44">
        <f>AC569*5%</f>
        <v/>
      </c>
      <c r="W568" s="44">
        <f>AC569*1%</f>
        <v/>
      </c>
      <c r="X568" s="44">
        <f>AC569*8%</f>
        <v/>
      </c>
      <c r="Y568" s="44">
        <f>U569+V569+W569+X569</f>
        <v/>
      </c>
      <c r="Z568" s="50">
        <f>Y569+T569+L569</f>
        <v/>
      </c>
      <c r="AA568" s="51">
        <f>Z569*20%</f>
        <v/>
      </c>
      <c r="AB568" s="49">
        <f>Z569+AA569</f>
        <v/>
      </c>
      <c r="AC568" s="44">
        <f>D569*2.1</f>
        <v/>
      </c>
      <c r="AD568" s="49">
        <f>AB569-AC569</f>
        <v/>
      </c>
      <c r="AE568" s="49">
        <f>AD569/AB569*100</f>
        <v/>
      </c>
      <c r="AF568" s="113" t="n">
        <v>395</v>
      </c>
      <c r="AG568" s="116">
        <f>((AF569-L569)/L569)*100</f>
        <v/>
      </c>
      <c r="AH568" s="54">
        <f>AJ569-AF569</f>
        <v/>
      </c>
      <c r="AI568" s="54">
        <f>AB569</f>
        <v/>
      </c>
      <c r="AJ568" s="54">
        <f>AI569-(AI569*7%)</f>
        <v/>
      </c>
      <c r="AK568" s="55">
        <f>(AJ569-L569)/L569*100</f>
        <v/>
      </c>
      <c r="AL568" s="55" t="n"/>
      <c r="AM568" s="55">
        <f>AH569/AJ569%</f>
        <v/>
      </c>
      <c r="AN568" s="55">
        <f>AK569-AG569</f>
        <v/>
      </c>
      <c r="AO568" s="56">
        <f>AJ569/L569</f>
        <v/>
      </c>
      <c r="AP568" s="55">
        <f>(AJ569-AB569)/100</f>
        <v/>
      </c>
      <c r="AQ568" s="55">
        <f>(AJ569-AC569)/100</f>
        <v/>
      </c>
      <c r="AR568" s="57">
        <f>AI569/94</f>
        <v/>
      </c>
      <c r="AS568" s="57">
        <f>AJ569/94</f>
        <v/>
      </c>
      <c r="AT568" s="58">
        <f>AI569/24</f>
        <v/>
      </c>
      <c r="AU568" s="58">
        <f>AJ569/24</f>
        <v/>
      </c>
      <c r="AV568" s="58">
        <f>AI569/125</f>
        <v/>
      </c>
      <c r="AW568" s="58">
        <f>AJ569/125</f>
        <v/>
      </c>
      <c r="AX568" s="113" t="n"/>
      <c r="AY568" s="113" t="n"/>
    </row>
    <row r="569" ht="15.75" customHeight="1" s="258">
      <c r="A569" s="44" t="inlineStr">
        <is>
          <t>Ocean Drums</t>
        </is>
      </c>
      <c r="B569" s="44" t="inlineStr">
        <is>
          <t>Plain / 30 cms</t>
        </is>
      </c>
      <c r="C569" s="44" t="inlineStr">
        <is>
          <t>MI-OD-P-30</t>
        </is>
      </c>
      <c r="D569" s="231" t="n">
        <v>500</v>
      </c>
      <c r="E569" s="44" t="n">
        <v>105</v>
      </c>
      <c r="F569" s="44" t="n">
        <v>90</v>
      </c>
      <c r="G569" s="45" t="n">
        <v>44201900</v>
      </c>
      <c r="H569" s="115" t="n">
        <v>0.05</v>
      </c>
      <c r="I569" s="44">
        <f>D570*H570</f>
        <v/>
      </c>
      <c r="J569" s="113" t="n"/>
      <c r="K569" s="44" t="n">
        <v>400</v>
      </c>
      <c r="L569" s="48">
        <f>K570+J570+I570+F570+E570+D570</f>
        <v/>
      </c>
      <c r="M569" s="44">
        <f>D570*1%</f>
        <v/>
      </c>
      <c r="N569" s="49">
        <f>L570*8%</f>
        <v/>
      </c>
      <c r="O569" s="49">
        <f>L570*10%</f>
        <v/>
      </c>
      <c r="P569" s="49">
        <f>L570*5%</f>
        <v/>
      </c>
      <c r="Q569" s="49">
        <f>L570*2%</f>
        <v/>
      </c>
      <c r="R569" s="49">
        <f>AC570*0.5%</f>
        <v/>
      </c>
      <c r="S569" s="49">
        <f>L570*1%</f>
        <v/>
      </c>
      <c r="T569" s="50">
        <f>S570+Q570+P570+O570+N570+M570</f>
        <v/>
      </c>
      <c r="U569" s="44">
        <f>AC570*1%</f>
        <v/>
      </c>
      <c r="V569" s="44">
        <f>AC570*5%</f>
        <v/>
      </c>
      <c r="W569" s="44">
        <f>AC570*1%</f>
        <v/>
      </c>
      <c r="X569" s="44">
        <f>AC570*8%</f>
        <v/>
      </c>
      <c r="Y569" s="44">
        <f>U570+V570+W570+X570</f>
        <v/>
      </c>
      <c r="Z569" s="50">
        <f>Y570+T570+L570</f>
        <v/>
      </c>
      <c r="AA569" s="51">
        <f>Z570*20%</f>
        <v/>
      </c>
      <c r="AB569" s="49">
        <f>Z570+AA570</f>
        <v/>
      </c>
      <c r="AC569" s="44">
        <f>D570*2.1</f>
        <v/>
      </c>
      <c r="AD569" s="49">
        <f>AB570-AC570</f>
        <v/>
      </c>
      <c r="AE569" s="49">
        <f>AD570/AB570*100</f>
        <v/>
      </c>
      <c r="AF569" s="113" t="n">
        <v>2450</v>
      </c>
      <c r="AG569" s="116">
        <f>((AF570-L570)/L570)*100</f>
        <v/>
      </c>
      <c r="AH569" s="54">
        <f>AJ570-AF570</f>
        <v/>
      </c>
      <c r="AI569" s="54" t="n">
        <v>2990</v>
      </c>
      <c r="AJ569" s="54" t="n">
        <v>2790</v>
      </c>
      <c r="AK569" s="55">
        <f>(AJ570-L570)/L570*100</f>
        <v/>
      </c>
      <c r="AL569" s="55" t="n"/>
      <c r="AM569" s="55">
        <f>AH570/AJ570%</f>
        <v/>
      </c>
      <c r="AN569" s="55">
        <f>AK570-AG570</f>
        <v/>
      </c>
      <c r="AO569" s="56">
        <f>AJ570/L570</f>
        <v/>
      </c>
      <c r="AP569" s="55">
        <f>(AJ570-AB570)/100</f>
        <v/>
      </c>
      <c r="AQ569" s="55">
        <f>(AJ570-AC570)/100</f>
        <v/>
      </c>
      <c r="AR569" s="57">
        <f>AI570/94</f>
        <v/>
      </c>
      <c r="AS569" s="57">
        <f>AJ570/94</f>
        <v/>
      </c>
      <c r="AT569" s="58">
        <f>AI570/24</f>
        <v/>
      </c>
      <c r="AU569" s="58">
        <f>AJ570/24</f>
        <v/>
      </c>
      <c r="AV569" s="58">
        <f>AI570/125</f>
        <v/>
      </c>
      <c r="AW569" s="58">
        <f>AJ570/125</f>
        <v/>
      </c>
      <c r="AX569" s="113" t="n"/>
      <c r="AY569" s="113" t="n"/>
    </row>
    <row r="570" ht="15" customHeight="1" s="258">
      <c r="A570" s="44" t="n"/>
      <c r="B570" s="44" t="inlineStr">
        <is>
          <t>Dream Catcher / 30 cms</t>
        </is>
      </c>
      <c r="C570" s="44" t="inlineStr">
        <is>
          <t>MI-OD-D-30</t>
        </is>
      </c>
      <c r="D570" s="231" t="n">
        <v>550</v>
      </c>
      <c r="E570" s="44" t="n">
        <v>105</v>
      </c>
      <c r="F570" s="44" t="n">
        <v>90</v>
      </c>
      <c r="G570" s="45" t="n">
        <v>44201900</v>
      </c>
      <c r="H570" s="115" t="n">
        <v>0.05</v>
      </c>
      <c r="I570" s="44">
        <f>D571*H571</f>
        <v/>
      </c>
      <c r="J570" s="113" t="n"/>
      <c r="K570" s="44" t="n">
        <v>400</v>
      </c>
      <c r="L570" s="48">
        <f>K571+J571+I571+F571+E571+D571</f>
        <v/>
      </c>
      <c r="M570" s="44">
        <f>D571*1%</f>
        <v/>
      </c>
      <c r="N570" s="49">
        <f>L571*8%</f>
        <v/>
      </c>
      <c r="O570" s="49">
        <f>L571*10%</f>
        <v/>
      </c>
      <c r="P570" s="49">
        <f>L571*5%</f>
        <v/>
      </c>
      <c r="Q570" s="49">
        <f>L571*2%</f>
        <v/>
      </c>
      <c r="R570" s="49">
        <f>AC571*0.5%</f>
        <v/>
      </c>
      <c r="S570" s="49">
        <f>L571*1%</f>
        <v/>
      </c>
      <c r="T570" s="50">
        <f>S571+Q571+P571+O571+N571+M571</f>
        <v/>
      </c>
      <c r="U570" s="44">
        <f>AC571*1%</f>
        <v/>
      </c>
      <c r="V570" s="44">
        <f>AC571*5%</f>
        <v/>
      </c>
      <c r="W570" s="44">
        <f>AC571*1%</f>
        <v/>
      </c>
      <c r="X570" s="44">
        <f>AC571*8%</f>
        <v/>
      </c>
      <c r="Y570" s="44">
        <f>U571+V571+W571+X571</f>
        <v/>
      </c>
      <c r="Z570" s="50">
        <f>Y571+T571+L571</f>
        <v/>
      </c>
      <c r="AA570" s="51">
        <f>Z571*20%</f>
        <v/>
      </c>
      <c r="AB570" s="49">
        <f>Z571+AA571</f>
        <v/>
      </c>
      <c r="AC570" s="44">
        <f>D571*2.1</f>
        <v/>
      </c>
      <c r="AD570" s="49">
        <f>AB571-AC571</f>
        <v/>
      </c>
      <c r="AE570" s="49">
        <f>AD571/AB571*100</f>
        <v/>
      </c>
      <c r="AF570" s="113" t="n"/>
      <c r="AG570" s="116">
        <f>((AF571-L571)/L571)*100</f>
        <v/>
      </c>
      <c r="AH570" s="54">
        <f>AJ571-AF571</f>
        <v/>
      </c>
      <c r="AI570" s="54" t="n">
        <v>2190</v>
      </c>
      <c r="AJ570" s="54">
        <f>AI571-(AI571*7%)</f>
        <v/>
      </c>
      <c r="AK570" s="55">
        <f>(AJ571-L571)/L571*100</f>
        <v/>
      </c>
      <c r="AL570" s="55" t="n"/>
      <c r="AM570" s="55">
        <f>AH571/AJ571%</f>
        <v/>
      </c>
      <c r="AN570" s="55">
        <f>AK571-AG571</f>
        <v/>
      </c>
      <c r="AO570" s="56">
        <f>AJ571/L571</f>
        <v/>
      </c>
      <c r="AP570" s="55">
        <f>(AJ571-AB571)/100</f>
        <v/>
      </c>
      <c r="AQ570" s="55">
        <f>(AJ571-AC571)/100</f>
        <v/>
      </c>
      <c r="AR570" s="57">
        <f>AI571/94</f>
        <v/>
      </c>
      <c r="AS570" s="57">
        <f>AJ571/94</f>
        <v/>
      </c>
      <c r="AT570" s="58">
        <f>AI571/24</f>
        <v/>
      </c>
      <c r="AU570" s="58">
        <f>AJ571/24</f>
        <v/>
      </c>
      <c r="AV570" s="58">
        <f>AI571/125</f>
        <v/>
      </c>
      <c r="AW570" s="58">
        <f>AJ571/125</f>
        <v/>
      </c>
      <c r="AX570" s="113" t="n"/>
      <c r="AY570" s="113" t="n"/>
    </row>
    <row r="571" ht="15.75" customHeight="1" s="258">
      <c r="A571" s="44" t="n"/>
      <c r="B571" s="44" t="inlineStr">
        <is>
          <t>Dream Catcher / 35 cms</t>
        </is>
      </c>
      <c r="C571" s="44" t="inlineStr">
        <is>
          <t>MI-OD-D-35</t>
        </is>
      </c>
      <c r="D571" s="231" t="n">
        <v>600</v>
      </c>
      <c r="E571" s="44" t="n">
        <v>115</v>
      </c>
      <c r="F571" s="44" t="n">
        <v>90</v>
      </c>
      <c r="G571" s="45" t="n">
        <v>44201900</v>
      </c>
      <c r="H571" s="115" t="n">
        <v>0.05</v>
      </c>
      <c r="I571" s="44">
        <f>D572*H572</f>
        <v/>
      </c>
      <c r="J571" s="113" t="n"/>
      <c r="K571" s="44" t="n">
        <v>400</v>
      </c>
      <c r="L571" s="48">
        <f>K572+J572+I572+F572+E572+D572</f>
        <v/>
      </c>
      <c r="M571" s="44">
        <f>D572*1%</f>
        <v/>
      </c>
      <c r="N571" s="49">
        <f>L572*8%</f>
        <v/>
      </c>
      <c r="O571" s="49">
        <f>L572*10%</f>
        <v/>
      </c>
      <c r="P571" s="49">
        <f>L572*5%</f>
        <v/>
      </c>
      <c r="Q571" s="49">
        <f>L572*2%</f>
        <v/>
      </c>
      <c r="R571" s="49">
        <f>AC572*0.5%</f>
        <v/>
      </c>
      <c r="S571" s="49">
        <f>L572*1%</f>
        <v/>
      </c>
      <c r="T571" s="50">
        <f>S572+Q572+P572+O572+N572+M572</f>
        <v/>
      </c>
      <c r="U571" s="44">
        <f>AC572*1%</f>
        <v/>
      </c>
      <c r="V571" s="44">
        <f>AC572*5%</f>
        <v/>
      </c>
      <c r="W571" s="44">
        <f>AC572*1%</f>
        <v/>
      </c>
      <c r="X571" s="44">
        <f>AC572*8%</f>
        <v/>
      </c>
      <c r="Y571" s="44">
        <f>U572+V572+W572+X572</f>
        <v/>
      </c>
      <c r="Z571" s="50">
        <f>Y572+T572+L572</f>
        <v/>
      </c>
      <c r="AA571" s="51">
        <f>Z572*20%</f>
        <v/>
      </c>
      <c r="AB571" s="49">
        <f>Z572+AA572</f>
        <v/>
      </c>
      <c r="AC571" s="44">
        <f>D572*2.1</f>
        <v/>
      </c>
      <c r="AD571" s="49">
        <f>AB572-AC572</f>
        <v/>
      </c>
      <c r="AE571" s="49">
        <f>AD572/AB572*100</f>
        <v/>
      </c>
      <c r="AF571" s="113" t="n"/>
      <c r="AG571" s="116">
        <f>((AF572-L572)/L572)*100</f>
        <v/>
      </c>
      <c r="AH571" s="54">
        <f>AJ572-AF572</f>
        <v/>
      </c>
      <c r="AI571" s="54">
        <f>AB572</f>
        <v/>
      </c>
      <c r="AJ571" s="54">
        <f>AI572-(AI572*7%)</f>
        <v/>
      </c>
      <c r="AK571" s="55">
        <f>(AJ572-L572)/L572*100</f>
        <v/>
      </c>
      <c r="AL571" s="55" t="n"/>
      <c r="AM571" s="55">
        <f>AH572/AJ572%</f>
        <v/>
      </c>
      <c r="AN571" s="55">
        <f>AK572-AG572</f>
        <v/>
      </c>
      <c r="AO571" s="56">
        <f>AJ572/L572</f>
        <v/>
      </c>
      <c r="AP571" s="55">
        <f>(AJ572-AB572)/100</f>
        <v/>
      </c>
      <c r="AQ571" s="55">
        <f>(AJ572-AC572)/100</f>
        <v/>
      </c>
      <c r="AR571" s="57">
        <f>AI572/94</f>
        <v/>
      </c>
      <c r="AS571" s="57">
        <f>AJ572/94</f>
        <v/>
      </c>
      <c r="AT571" s="58">
        <f>AI572/24</f>
        <v/>
      </c>
      <c r="AU571" s="58">
        <f>AJ572/24</f>
        <v/>
      </c>
      <c r="AV571" s="58">
        <f>AI572/125</f>
        <v/>
      </c>
      <c r="AW571" s="58">
        <f>AJ572/125</f>
        <v/>
      </c>
      <c r="AX571" s="113" t="n"/>
      <c r="AY571" s="113" t="n"/>
    </row>
    <row r="572" ht="15.75" customHeight="1" s="258">
      <c r="A572" s="44" t="n"/>
      <c r="B572" s="44" t="inlineStr">
        <is>
          <t>40 cms / Dream Catcher</t>
        </is>
      </c>
      <c r="C572" s="44" t="inlineStr">
        <is>
          <t>MI-OD-D-40</t>
        </is>
      </c>
      <c r="D572" s="231" t="n">
        <v>650</v>
      </c>
      <c r="E572" s="44" t="n">
        <v>120</v>
      </c>
      <c r="F572" s="44" t="n">
        <v>90</v>
      </c>
      <c r="G572" s="45" t="n">
        <v>44201900</v>
      </c>
      <c r="H572" s="115" t="n">
        <v>0.05</v>
      </c>
      <c r="I572" s="44">
        <f>D573*H573</f>
        <v/>
      </c>
      <c r="J572" s="113" t="n"/>
      <c r="K572" s="44" t="n">
        <v>400</v>
      </c>
      <c r="L572" s="48">
        <f>K573+J573+I573+F573+E573+D573</f>
        <v/>
      </c>
      <c r="M572" s="44">
        <f>D573*1%</f>
        <v/>
      </c>
      <c r="N572" s="49">
        <f>L573*8%</f>
        <v/>
      </c>
      <c r="O572" s="49">
        <f>L573*10%</f>
        <v/>
      </c>
      <c r="P572" s="49">
        <f>L573*5%</f>
        <v/>
      </c>
      <c r="Q572" s="49">
        <f>L573*2%</f>
        <v/>
      </c>
      <c r="R572" s="49">
        <f>AC573*0.5%</f>
        <v/>
      </c>
      <c r="S572" s="49">
        <f>L573*1%</f>
        <v/>
      </c>
      <c r="T572" s="50">
        <f>S573+Q573+P573+O573+N573+M573</f>
        <v/>
      </c>
      <c r="U572" s="44">
        <f>AC573*1%</f>
        <v/>
      </c>
      <c r="V572" s="44">
        <f>AC573*5%</f>
        <v/>
      </c>
      <c r="W572" s="44">
        <f>AC573*1%</f>
        <v/>
      </c>
      <c r="X572" s="44">
        <f>AC573*8%</f>
        <v/>
      </c>
      <c r="Y572" s="44">
        <f>U573+V573+W573+X573</f>
        <v/>
      </c>
      <c r="Z572" s="50">
        <f>Y573+T573+L573</f>
        <v/>
      </c>
      <c r="AA572" s="51">
        <f>Z573*20%</f>
        <v/>
      </c>
      <c r="AB572" s="49">
        <f>Z573+AA573</f>
        <v/>
      </c>
      <c r="AC572" s="44">
        <f>D573*2.1</f>
        <v/>
      </c>
      <c r="AD572" s="49">
        <f>AB573-AC573</f>
        <v/>
      </c>
      <c r="AE572" s="49">
        <f>AD573/AB573*100</f>
        <v/>
      </c>
      <c r="AF572" s="113" t="n"/>
      <c r="AG572" s="116">
        <f>((AF573-L573)/L573)*100</f>
        <v/>
      </c>
      <c r="AH572" s="54">
        <f>AJ573-AF573</f>
        <v/>
      </c>
      <c r="AI572" s="54">
        <f>AB573</f>
        <v/>
      </c>
      <c r="AJ572" s="54">
        <f>AI573-(AI573*7%)</f>
        <v/>
      </c>
      <c r="AK572" s="55">
        <f>(AJ573-L573)/L573*100</f>
        <v/>
      </c>
      <c r="AL572" s="55" t="n"/>
      <c r="AM572" s="55">
        <f>AH573/AJ573%</f>
        <v/>
      </c>
      <c r="AN572" s="55">
        <f>AK573-AG573</f>
        <v/>
      </c>
      <c r="AO572" s="56">
        <f>AJ573/L573</f>
        <v/>
      </c>
      <c r="AP572" s="55">
        <f>(AJ573-AB573)/100</f>
        <v/>
      </c>
      <c r="AQ572" s="55">
        <f>(AJ573-AC573)/100</f>
        <v/>
      </c>
      <c r="AR572" s="57">
        <f>AI573/94</f>
        <v/>
      </c>
      <c r="AS572" s="57">
        <f>AJ573/94</f>
        <v/>
      </c>
      <c r="AT572" s="58">
        <f>AI573/24</f>
        <v/>
      </c>
      <c r="AU572" s="58">
        <f>AJ573/24</f>
        <v/>
      </c>
      <c r="AV572" s="58">
        <f>AI573/125</f>
        <v/>
      </c>
      <c r="AW572" s="58">
        <f>AJ573/125</f>
        <v/>
      </c>
      <c r="AX572" s="113" t="n"/>
      <c r="AY572" s="113" t="n"/>
    </row>
    <row r="573" ht="15.75" customHeight="1" s="258">
      <c r="A573" s="44" t="n"/>
      <c r="B573" s="44" t="inlineStr">
        <is>
          <t>Plain / 35 cms</t>
        </is>
      </c>
      <c r="C573" s="44" t="inlineStr">
        <is>
          <t>MI-OD-P-35</t>
        </is>
      </c>
      <c r="D573" s="231" t="n">
        <v>600</v>
      </c>
      <c r="E573" s="44" t="n">
        <v>115</v>
      </c>
      <c r="F573" s="44" t="n">
        <v>90</v>
      </c>
      <c r="G573" s="45" t="n">
        <v>44201900</v>
      </c>
      <c r="H573" s="115" t="n">
        <v>0.05</v>
      </c>
      <c r="I573" s="44">
        <f>D574*H574</f>
        <v/>
      </c>
      <c r="J573" s="113" t="n"/>
      <c r="K573" s="44" t="n">
        <v>400</v>
      </c>
      <c r="L573" s="48">
        <f>K574+J574+I574+F574+E574+D574</f>
        <v/>
      </c>
      <c r="M573" s="44">
        <f>D574*1%</f>
        <v/>
      </c>
      <c r="N573" s="49">
        <f>L574*8%</f>
        <v/>
      </c>
      <c r="O573" s="49">
        <f>L574*10%</f>
        <v/>
      </c>
      <c r="P573" s="49">
        <f>L574*5%</f>
        <v/>
      </c>
      <c r="Q573" s="49">
        <f>L574*2%</f>
        <v/>
      </c>
      <c r="R573" s="49">
        <f>AC574*0.5%</f>
        <v/>
      </c>
      <c r="S573" s="49">
        <f>L574*1%</f>
        <v/>
      </c>
      <c r="T573" s="50">
        <f>S574+Q574+P574+O574+N574+M574</f>
        <v/>
      </c>
      <c r="U573" s="44">
        <f>AC574*1%</f>
        <v/>
      </c>
      <c r="V573" s="44">
        <f>AC574*5%</f>
        <v/>
      </c>
      <c r="W573" s="44">
        <f>AC574*1%</f>
        <v/>
      </c>
      <c r="X573" s="44">
        <f>AC574*8%</f>
        <v/>
      </c>
      <c r="Y573" s="44">
        <f>U574+V574+W574+X574</f>
        <v/>
      </c>
      <c r="Z573" s="50">
        <f>Y574+T574+L574</f>
        <v/>
      </c>
      <c r="AA573" s="51">
        <f>Z574*20%</f>
        <v/>
      </c>
      <c r="AB573" s="49">
        <f>Z574+AA574</f>
        <v/>
      </c>
      <c r="AC573" s="44">
        <f>D574*2.1</f>
        <v/>
      </c>
      <c r="AD573" s="49">
        <f>AB574-AC574</f>
        <v/>
      </c>
      <c r="AE573" s="49">
        <f>AD574/AB574*100</f>
        <v/>
      </c>
      <c r="AF573" s="113" t="n">
        <v>2750</v>
      </c>
      <c r="AG573" s="116">
        <f>((AF574-L574)/L574)*100</f>
        <v/>
      </c>
      <c r="AH573" s="54">
        <f>AJ574-AF574</f>
        <v/>
      </c>
      <c r="AI573" s="54" t="n">
        <v>3190</v>
      </c>
      <c r="AJ573" s="54">
        <f>AI574-(AI574*7%)</f>
        <v/>
      </c>
      <c r="AK573" s="55">
        <f>(AJ574-L574)/L574*100</f>
        <v/>
      </c>
      <c r="AL573" s="55" t="n"/>
      <c r="AM573" s="55">
        <f>AH574/AJ574%</f>
        <v/>
      </c>
      <c r="AN573" s="55">
        <f>AK574-AG574</f>
        <v/>
      </c>
      <c r="AO573" s="56">
        <f>AJ574/L574</f>
        <v/>
      </c>
      <c r="AP573" s="55">
        <f>(AJ574-AB574)/100</f>
        <v/>
      </c>
      <c r="AQ573" s="55">
        <f>(AJ574-AC574)/100</f>
        <v/>
      </c>
      <c r="AR573" s="57">
        <f>AI574/94</f>
        <v/>
      </c>
      <c r="AS573" s="57">
        <f>AJ574/94</f>
        <v/>
      </c>
      <c r="AT573" s="58">
        <f>AI574/24</f>
        <v/>
      </c>
      <c r="AU573" s="58">
        <f>AJ574/24</f>
        <v/>
      </c>
      <c r="AV573" s="58">
        <f>AI574/125</f>
        <v/>
      </c>
      <c r="AW573" s="58">
        <f>AJ574/125</f>
        <v/>
      </c>
      <c r="AX573" s="113" t="n"/>
      <c r="AY573" s="113" t="n"/>
    </row>
    <row r="574" ht="15.75" customHeight="1" s="258">
      <c r="A574" s="44" t="n"/>
      <c r="B574" s="44" t="inlineStr">
        <is>
          <t>Plain / 40 cms</t>
        </is>
      </c>
      <c r="C574" s="44" t="inlineStr">
        <is>
          <t>MI-OD-P-40</t>
        </is>
      </c>
      <c r="D574" s="231" t="n">
        <v>650</v>
      </c>
      <c r="E574" s="44" t="n">
        <v>120</v>
      </c>
      <c r="F574" s="44" t="n">
        <v>90</v>
      </c>
      <c r="G574" s="45" t="n">
        <v>44201900</v>
      </c>
      <c r="H574" s="115" t="n">
        <v>0.05</v>
      </c>
      <c r="I574" s="44">
        <f>D575*H575</f>
        <v/>
      </c>
      <c r="J574" s="113" t="n"/>
      <c r="K574" s="44" t="n">
        <v>400</v>
      </c>
      <c r="L574" s="48">
        <f>K575+J575+I575+F575+E575+D575</f>
        <v/>
      </c>
      <c r="M574" s="44">
        <f>D575*1%</f>
        <v/>
      </c>
      <c r="N574" s="49">
        <f>L575*8%</f>
        <v/>
      </c>
      <c r="O574" s="49">
        <f>L575*10%</f>
        <v/>
      </c>
      <c r="P574" s="49">
        <f>L575*5%</f>
        <v/>
      </c>
      <c r="Q574" s="49">
        <f>L575*2%</f>
        <v/>
      </c>
      <c r="R574" s="49">
        <f>AC575*0.5%</f>
        <v/>
      </c>
      <c r="S574" s="49">
        <f>L575*1%</f>
        <v/>
      </c>
      <c r="T574" s="50">
        <f>S575+Q575+P575+O575+N575+M575</f>
        <v/>
      </c>
      <c r="U574" s="44">
        <f>AC575*1%</f>
        <v/>
      </c>
      <c r="V574" s="44">
        <f>AC575*5%</f>
        <v/>
      </c>
      <c r="W574" s="44">
        <f>AC575*1%</f>
        <v/>
      </c>
      <c r="X574" s="44">
        <f>AC575*8%</f>
        <v/>
      </c>
      <c r="Y574" s="44">
        <f>U575+V575+W575+X575</f>
        <v/>
      </c>
      <c r="Z574" s="50">
        <f>Y575+T575+L575</f>
        <v/>
      </c>
      <c r="AA574" s="51">
        <f>Z575*20%</f>
        <v/>
      </c>
      <c r="AB574" s="49">
        <f>Z575+AA575</f>
        <v/>
      </c>
      <c r="AC574" s="44">
        <f>D575*2.1</f>
        <v/>
      </c>
      <c r="AD574" s="49">
        <f>AB575-AC575</f>
        <v/>
      </c>
      <c r="AE574" s="49">
        <f>AD575/AB575*100</f>
        <v/>
      </c>
      <c r="AF574" s="113" t="n">
        <v>3250</v>
      </c>
      <c r="AG574" s="116">
        <f>((AF575-L575)/L575)*100</f>
        <v/>
      </c>
      <c r="AH574" s="54">
        <f>AJ575-AF575</f>
        <v/>
      </c>
      <c r="AI574" s="54" t="n">
        <v>3490</v>
      </c>
      <c r="AJ574" s="54">
        <f>AI575-(AI575*7%)</f>
        <v/>
      </c>
      <c r="AK574" s="55">
        <f>(AJ575-L575)/L575*100</f>
        <v/>
      </c>
      <c r="AL574" s="55" t="n"/>
      <c r="AM574" s="55">
        <f>AH575/AJ575%</f>
        <v/>
      </c>
      <c r="AN574" s="55">
        <f>AK575-AG575</f>
        <v/>
      </c>
      <c r="AO574" s="56">
        <f>AJ575/L575</f>
        <v/>
      </c>
      <c r="AP574" s="55">
        <f>(AJ575-AB575)/100</f>
        <v/>
      </c>
      <c r="AQ574" s="55">
        <f>(AJ575-AC575)/100</f>
        <v/>
      </c>
      <c r="AR574" s="57">
        <f>AI575/94</f>
        <v/>
      </c>
      <c r="AS574" s="57">
        <f>AJ575/94</f>
        <v/>
      </c>
      <c r="AT574" s="58">
        <f>AI575/24</f>
        <v/>
      </c>
      <c r="AU574" s="58">
        <f>AJ575/24</f>
        <v/>
      </c>
      <c r="AV574" s="58">
        <f>AI575/125</f>
        <v/>
      </c>
      <c r="AW574" s="58">
        <f>AJ575/125</f>
        <v/>
      </c>
      <c r="AX574" s="113" t="n"/>
      <c r="AY574" s="113" t="n"/>
    </row>
    <row r="575" ht="15.75" customHeight="1" s="258">
      <c r="A575" s="2" t="n"/>
      <c r="B575" s="2" t="inlineStr">
        <is>
          <t>Flower of Life / 30 cms</t>
        </is>
      </c>
      <c r="C575" s="91" t="inlineStr">
        <is>
          <t>MI-OD-F-30</t>
        </is>
      </c>
      <c r="D575" s="121" t="n">
        <v>500</v>
      </c>
      <c r="E575" s="2" t="n">
        <v>105</v>
      </c>
      <c r="F575" s="2" t="n">
        <v>90</v>
      </c>
      <c r="G575" s="118" t="n">
        <v>44201900</v>
      </c>
      <c r="H575" s="255" t="n">
        <v>0.05</v>
      </c>
      <c r="I575" s="2">
        <f>D576*H576</f>
        <v/>
      </c>
      <c r="K575" s="2" t="n">
        <v>400</v>
      </c>
      <c r="L575" s="4">
        <f>K576+J576+I576+F576+E576+D576</f>
        <v/>
      </c>
      <c r="M575" s="2">
        <f>D576*1%</f>
        <v/>
      </c>
      <c r="N575" s="12">
        <f>L576*8%</f>
        <v/>
      </c>
      <c r="O575" s="12">
        <f>L576*10%</f>
        <v/>
      </c>
      <c r="P575" s="12">
        <f>L576*5%</f>
        <v/>
      </c>
      <c r="Q575" s="12">
        <f>L576*2%</f>
        <v/>
      </c>
      <c r="R575" s="12">
        <f>AC576*0.5%</f>
        <v/>
      </c>
      <c r="S575" s="12">
        <f>L576*1%</f>
        <v/>
      </c>
      <c r="T575" s="60">
        <f>S576+Q576+P576+O576+N576+M576</f>
        <v/>
      </c>
      <c r="U575" s="2">
        <f>AC576*1%</f>
        <v/>
      </c>
      <c r="V575" s="44">
        <f>AC576*5%</f>
        <v/>
      </c>
      <c r="W575" s="2">
        <f>AC576*1%</f>
        <v/>
      </c>
      <c r="X575" s="2">
        <f>AC576*8%</f>
        <v/>
      </c>
      <c r="Y575" s="2">
        <f>U576+V576+W576+X576</f>
        <v/>
      </c>
      <c r="Z575" s="60">
        <f>Y576+T576+L576</f>
        <v/>
      </c>
      <c r="AA575" s="11">
        <f>Z576*20%</f>
        <v/>
      </c>
      <c r="AB575" s="12">
        <f>Z576+AA576</f>
        <v/>
      </c>
      <c r="AC575" s="2">
        <f>D576*2.1</f>
        <v/>
      </c>
      <c r="AD575" s="12">
        <f>AB576-AC576</f>
        <v/>
      </c>
      <c r="AE575" s="12">
        <f>AD576/AB576*100</f>
        <v/>
      </c>
      <c r="AG575" s="62">
        <f>((AF576-L576)/L576)*100</f>
        <v/>
      </c>
      <c r="AH575" s="106">
        <f>AJ576-AF576</f>
        <v/>
      </c>
      <c r="AI575" s="65">
        <f>AB576</f>
        <v/>
      </c>
      <c r="AJ575" s="65">
        <f>AI576-(AI576*7%)</f>
        <v/>
      </c>
      <c r="AK575" s="66">
        <f>(AJ576-L576)/L576*100</f>
        <v/>
      </c>
      <c r="AL575" s="66" t="n"/>
      <c r="AM575" s="14">
        <f>AH576/AJ576%</f>
        <v/>
      </c>
      <c r="AN575" s="67">
        <f>AK576-AG576</f>
        <v/>
      </c>
      <c r="AO575" s="68">
        <f>AJ576/L576</f>
        <v/>
      </c>
      <c r="AP575" s="69">
        <f>(AJ576-AB576)/100</f>
        <v/>
      </c>
      <c r="AQ575" s="70">
        <f>(AJ576-AC576)/100</f>
        <v/>
      </c>
      <c r="AR575" s="71">
        <f>AI576/94</f>
        <v/>
      </c>
      <c r="AS575" s="71">
        <f>AJ576/94</f>
        <v/>
      </c>
      <c r="AT575" s="72">
        <f>AI576/24</f>
        <v/>
      </c>
      <c r="AU575" s="72">
        <f>AJ576/24</f>
        <v/>
      </c>
      <c r="AV575" s="73">
        <f>AI576/125</f>
        <v/>
      </c>
      <c r="AW575" s="73">
        <f>AJ576/125</f>
        <v/>
      </c>
    </row>
    <row r="576" ht="15.75" customHeight="1" s="258">
      <c r="A576" s="2" t="n"/>
      <c r="B576" s="2" t="inlineStr">
        <is>
          <t>Flower of Life / 35 cms</t>
        </is>
      </c>
      <c r="C576" s="91" t="inlineStr">
        <is>
          <t>MI-OD-F-35</t>
        </is>
      </c>
      <c r="D576" s="121" t="n">
        <v>600</v>
      </c>
      <c r="E576" s="2" t="n">
        <v>115</v>
      </c>
      <c r="F576" s="2" t="n">
        <v>90</v>
      </c>
      <c r="G576" s="118" t="n">
        <v>44201900</v>
      </c>
      <c r="H576" s="255" t="n">
        <v>0.05</v>
      </c>
      <c r="I576" s="2">
        <f>D577*H577</f>
        <v/>
      </c>
      <c r="K576" s="2" t="n">
        <v>400</v>
      </c>
      <c r="L576" s="4">
        <f>K577+J577+I577+F577+E577+D577</f>
        <v/>
      </c>
      <c r="M576" s="2">
        <f>D577*1%</f>
        <v/>
      </c>
      <c r="N576" s="12">
        <f>L577*8%</f>
        <v/>
      </c>
      <c r="O576" s="12">
        <f>L577*10%</f>
        <v/>
      </c>
      <c r="P576" s="12">
        <f>L577*5%</f>
        <v/>
      </c>
      <c r="Q576" s="12">
        <f>L577*2%</f>
        <v/>
      </c>
      <c r="R576" s="12">
        <f>AC577*0.5%</f>
        <v/>
      </c>
      <c r="S576" s="12">
        <f>L577*1%</f>
        <v/>
      </c>
      <c r="T576" s="60">
        <f>S577+Q577+P577+O577+N577+M577</f>
        <v/>
      </c>
      <c r="U576" s="2">
        <f>AC577*1%</f>
        <v/>
      </c>
      <c r="V576" s="44">
        <f>AC577*5%</f>
        <v/>
      </c>
      <c r="W576" s="2">
        <f>AC577*1%</f>
        <v/>
      </c>
      <c r="X576" s="2">
        <f>AC577*8%</f>
        <v/>
      </c>
      <c r="Y576" s="2">
        <f>U577+V577+W577+X577</f>
        <v/>
      </c>
      <c r="Z576" s="60">
        <f>Y577+T577+L577</f>
        <v/>
      </c>
      <c r="AA576" s="11">
        <f>Z577*20%</f>
        <v/>
      </c>
      <c r="AB576" s="12">
        <f>Z577+AA577</f>
        <v/>
      </c>
      <c r="AC576" s="2">
        <f>D577*2.1</f>
        <v/>
      </c>
      <c r="AD576" s="12">
        <f>AB577-AC577</f>
        <v/>
      </c>
      <c r="AE576" s="12">
        <f>AD577/AB577*100</f>
        <v/>
      </c>
      <c r="AG576" s="62">
        <f>((AF577-L577)/L577)*100</f>
        <v/>
      </c>
      <c r="AH576" s="106">
        <f>AJ577-AF577</f>
        <v/>
      </c>
      <c r="AI576" s="65">
        <f>AB577</f>
        <v/>
      </c>
      <c r="AJ576" s="65">
        <f>AI577-(AI577*7%)</f>
        <v/>
      </c>
      <c r="AK576" s="66">
        <f>(AJ577-L577)/L577*100</f>
        <v/>
      </c>
      <c r="AL576" s="66" t="n"/>
      <c r="AM576" s="14">
        <f>AH577/AJ577%</f>
        <v/>
      </c>
      <c r="AN576" s="67">
        <f>AK577-AG577</f>
        <v/>
      </c>
      <c r="AO576" s="68">
        <f>AJ577/L577</f>
        <v/>
      </c>
      <c r="AP576" s="69">
        <f>(AJ577-AB577)/100</f>
        <v/>
      </c>
      <c r="AQ576" s="70">
        <f>(AJ577-AC577)/100</f>
        <v/>
      </c>
      <c r="AR576" s="71">
        <f>AI577/94</f>
        <v/>
      </c>
      <c r="AS576" s="71">
        <f>AJ577/94</f>
        <v/>
      </c>
      <c r="AT576" s="72">
        <f>AI577/24</f>
        <v/>
      </c>
      <c r="AU576" s="72">
        <f>AJ577/24</f>
        <v/>
      </c>
      <c r="AV576" s="73">
        <f>AI577/125</f>
        <v/>
      </c>
      <c r="AW576" s="73">
        <f>AJ577/125</f>
        <v/>
      </c>
    </row>
    <row r="577" ht="15.75" customHeight="1" s="258">
      <c r="A577" s="2" t="n"/>
      <c r="B577" s="2" t="inlineStr">
        <is>
          <t>40 cms / Flower of Life</t>
        </is>
      </c>
      <c r="C577" s="91" t="inlineStr">
        <is>
          <t>MI-OD-F-40</t>
        </is>
      </c>
      <c r="D577" s="121" t="n">
        <v>650</v>
      </c>
      <c r="E577" s="2" t="n">
        <v>120</v>
      </c>
      <c r="F577" s="2" t="n">
        <v>90</v>
      </c>
      <c r="G577" s="118" t="n">
        <v>44201900</v>
      </c>
      <c r="H577" s="255" t="n">
        <v>0.05</v>
      </c>
      <c r="I577" s="2">
        <f>D578*H578</f>
        <v/>
      </c>
      <c r="K577" s="2" t="n">
        <v>400</v>
      </c>
      <c r="L577" s="4">
        <f>K578+J578+I578+F578+E578+D578</f>
        <v/>
      </c>
      <c r="M577" s="2">
        <f>D578*1%</f>
        <v/>
      </c>
      <c r="N577" s="12">
        <f>L578*8%</f>
        <v/>
      </c>
      <c r="O577" s="12">
        <f>L578*10%</f>
        <v/>
      </c>
      <c r="P577" s="12">
        <f>L578*5%</f>
        <v/>
      </c>
      <c r="Q577" s="12">
        <f>L578*2%</f>
        <v/>
      </c>
      <c r="R577" s="12">
        <f>AC578*0.5%</f>
        <v/>
      </c>
      <c r="S577" s="12">
        <f>L578*1%</f>
        <v/>
      </c>
      <c r="T577" s="60">
        <f>S578+Q578+P578+O578+N578+M578</f>
        <v/>
      </c>
      <c r="U577" s="2">
        <f>AC578*1%</f>
        <v/>
      </c>
      <c r="V577" s="44">
        <f>AC578*5%</f>
        <v/>
      </c>
      <c r="W577" s="2">
        <f>AC578*1%</f>
        <v/>
      </c>
      <c r="X577" s="2">
        <f>AC578*8%</f>
        <v/>
      </c>
      <c r="Y577" s="2">
        <f>U578+V578+W578+X578</f>
        <v/>
      </c>
      <c r="Z577" s="60">
        <f>Y578+T578+L578</f>
        <v/>
      </c>
      <c r="AA577" s="11">
        <f>Z578*20%</f>
        <v/>
      </c>
      <c r="AB577" s="12">
        <f>Z578+AA578</f>
        <v/>
      </c>
      <c r="AC577" s="2">
        <f>D578*2.1</f>
        <v/>
      </c>
      <c r="AD577" s="12">
        <f>AB578-AC578</f>
        <v/>
      </c>
      <c r="AE577" s="12">
        <f>AD578/AB578*100</f>
        <v/>
      </c>
      <c r="AG577" s="62">
        <f>((AF578-L578)/L578)*100</f>
        <v/>
      </c>
      <c r="AH577" s="106">
        <f>AJ578-AF578</f>
        <v/>
      </c>
      <c r="AI577" s="65">
        <f>AB578</f>
        <v/>
      </c>
      <c r="AJ577" s="65">
        <f>AI578-(AI578*7%)</f>
        <v/>
      </c>
      <c r="AK577" s="66">
        <f>(AJ578-L578)/L578*100</f>
        <v/>
      </c>
      <c r="AL577" s="66" t="n"/>
      <c r="AM577" s="14">
        <f>AH578/AJ578%</f>
        <v/>
      </c>
      <c r="AN577" s="67">
        <f>AK578-AG578</f>
        <v/>
      </c>
      <c r="AO577" s="68">
        <f>AJ578/L578</f>
        <v/>
      </c>
      <c r="AP577" s="69">
        <f>(AJ578-AB578)/100</f>
        <v/>
      </c>
      <c r="AQ577" s="70">
        <f>(AJ578-AC578)/100</f>
        <v/>
      </c>
      <c r="AR577" s="71">
        <f>AI578/94</f>
        <v/>
      </c>
      <c r="AS577" s="71">
        <f>AJ578/94</f>
        <v/>
      </c>
      <c r="AT577" s="72">
        <f>AI578/24</f>
        <v/>
      </c>
      <c r="AU577" s="72">
        <f>AJ578/24</f>
        <v/>
      </c>
      <c r="AV577" s="73">
        <f>AI578/125</f>
        <v/>
      </c>
      <c r="AW577" s="73">
        <f>AJ578/125</f>
        <v/>
      </c>
    </row>
    <row r="578" ht="15.75" customHeight="1" s="258">
      <c r="A578" s="2" t="inlineStr">
        <is>
          <t>Painted Egg Shakers</t>
        </is>
      </c>
      <c r="B578" s="2" t="inlineStr">
        <is>
          <t>Red Dotted</t>
        </is>
      </c>
      <c r="C578" s="2" t="inlineStr">
        <is>
          <t>MI-ES-P-R</t>
        </is>
      </c>
      <c r="D578" s="118" t="n">
        <v>150</v>
      </c>
      <c r="E578" s="92" t="n">
        <v>50</v>
      </c>
      <c r="F578" s="2" t="n">
        <v>50</v>
      </c>
      <c r="G578" s="118" t="n">
        <v>44201900</v>
      </c>
      <c r="H578" s="255" t="n">
        <v>0.05</v>
      </c>
      <c r="I578" s="2">
        <f>D579*H579</f>
        <v/>
      </c>
      <c r="J578" s="2">
        <f>D579*5%</f>
        <v/>
      </c>
      <c r="K578" s="118" t="n">
        <v>200</v>
      </c>
      <c r="L578" s="4">
        <f>K579+J579+I579+F579+E579+D579</f>
        <v/>
      </c>
      <c r="M578" s="2">
        <f>D579*1%</f>
        <v/>
      </c>
      <c r="N578" s="12">
        <f>L579*8%</f>
        <v/>
      </c>
      <c r="O578" s="12">
        <f>L579*10%</f>
        <v/>
      </c>
      <c r="P578" s="12">
        <f>L579*5%</f>
        <v/>
      </c>
      <c r="Q578" s="12">
        <f>L579*2%</f>
        <v/>
      </c>
      <c r="R578" s="12">
        <f>AC579*0.5%</f>
        <v/>
      </c>
      <c r="S578" s="12">
        <f>L579*1%</f>
        <v/>
      </c>
      <c r="T578" s="60">
        <f>S579+Q579+P579+O579+N579+M579</f>
        <v/>
      </c>
      <c r="U578" s="2">
        <f>AC579*1%</f>
        <v/>
      </c>
      <c r="V578" s="44">
        <f>AC579*5%</f>
        <v/>
      </c>
      <c r="W578" s="2">
        <f>AC579*1%</f>
        <v/>
      </c>
      <c r="X578" s="2">
        <f>AC579*8%</f>
        <v/>
      </c>
      <c r="Y578" s="2">
        <f>U579+V579+W579+X579</f>
        <v/>
      </c>
      <c r="Z578" s="60">
        <f>Y579+T579+L579</f>
        <v/>
      </c>
      <c r="AA578" s="11">
        <f>Z579*20%</f>
        <v/>
      </c>
      <c r="AB578" s="12">
        <f>Z579+AA579</f>
        <v/>
      </c>
      <c r="AC578" s="2">
        <f>D579*2.1</f>
        <v/>
      </c>
      <c r="AD578" s="12">
        <f>AB579-AC579</f>
        <v/>
      </c>
      <c r="AE578" s="12">
        <f>AD579/AB579*100</f>
        <v/>
      </c>
      <c r="AF578" s="92" t="n">
        <v>925</v>
      </c>
      <c r="AG578" s="62">
        <f>((AF579-L579)/L579)*100</f>
        <v/>
      </c>
      <c r="AH578" s="106">
        <f>AJ579-AF579</f>
        <v/>
      </c>
      <c r="AI578" s="65" t="n">
        <v>1090</v>
      </c>
      <c r="AJ578" s="65" t="n">
        <v>990</v>
      </c>
      <c r="AK578" s="66">
        <f>(AJ579-L579)/L579*100</f>
        <v/>
      </c>
      <c r="AL578" s="66" t="n"/>
      <c r="AM578" s="14">
        <f>AH579/AJ579%</f>
        <v/>
      </c>
      <c r="AN578" s="67">
        <f>AK579-AG579</f>
        <v/>
      </c>
      <c r="AO578" s="68">
        <f>AJ579/L579</f>
        <v/>
      </c>
      <c r="AP578" s="69">
        <f>(AJ579-AB579)/100</f>
        <v/>
      </c>
      <c r="AQ578" s="70">
        <f>(AJ579-AC579)/100</f>
        <v/>
      </c>
      <c r="AR578" s="71">
        <f>AI579/94</f>
        <v/>
      </c>
      <c r="AS578" s="71">
        <f>AJ579/94</f>
        <v/>
      </c>
      <c r="AT578" s="72">
        <f>AI579/24</f>
        <v/>
      </c>
      <c r="AU578" s="72">
        <f>AJ579/24</f>
        <v/>
      </c>
      <c r="AV578" s="73">
        <f>AI579/125</f>
        <v/>
      </c>
      <c r="AW578" s="73">
        <f>AJ579/125</f>
        <v/>
      </c>
    </row>
    <row r="579" ht="15" customHeight="1" s="258">
      <c r="A579" s="2" t="n"/>
      <c r="B579" s="2" t="inlineStr">
        <is>
          <t>Artistically Designed</t>
        </is>
      </c>
      <c r="C579" s="2" t="inlineStr">
        <is>
          <t>MI-ES-P-A</t>
        </is>
      </c>
      <c r="D579" s="118" t="n">
        <v>150</v>
      </c>
      <c r="E579" s="92" t="n">
        <v>50</v>
      </c>
      <c r="F579" s="2" t="n">
        <v>50</v>
      </c>
      <c r="G579" s="118" t="n">
        <v>44201900</v>
      </c>
      <c r="H579" s="255" t="n">
        <v>0.05</v>
      </c>
      <c r="I579" s="2">
        <f>D580*H580</f>
        <v/>
      </c>
      <c r="J579" s="2">
        <f>D580*5%</f>
        <v/>
      </c>
      <c r="K579" s="118" t="n">
        <v>200</v>
      </c>
      <c r="L579" s="4">
        <f>K580+J580+I580+F580+E580+D580</f>
        <v/>
      </c>
      <c r="M579" s="2">
        <f>D580*1%</f>
        <v/>
      </c>
      <c r="N579" s="12">
        <f>L580*8%</f>
        <v/>
      </c>
      <c r="O579" s="12">
        <f>L580*10%</f>
        <v/>
      </c>
      <c r="P579" s="12">
        <f>L580*5%</f>
        <v/>
      </c>
      <c r="Q579" s="12">
        <f>L580*2%</f>
        <v/>
      </c>
      <c r="R579" s="12">
        <f>AC580*0.5%</f>
        <v/>
      </c>
      <c r="S579" s="12">
        <f>L580*1%</f>
        <v/>
      </c>
      <c r="T579" s="60">
        <f>S580+Q580+P580+O580+N580+M580</f>
        <v/>
      </c>
      <c r="U579" s="2">
        <f>AC580*1%</f>
        <v/>
      </c>
      <c r="V579" s="44">
        <f>AC580*5%</f>
        <v/>
      </c>
      <c r="W579" s="2">
        <f>AC580*1%</f>
        <v/>
      </c>
      <c r="X579" s="2">
        <f>AC580*8%</f>
        <v/>
      </c>
      <c r="Y579" s="2">
        <f>U580+V580+W580+X580</f>
        <v/>
      </c>
      <c r="Z579" s="60">
        <f>Y580+T580+L580</f>
        <v/>
      </c>
      <c r="AA579" s="11">
        <f>Z580*20%</f>
        <v/>
      </c>
      <c r="AB579" s="12">
        <f>Z580+AA580</f>
        <v/>
      </c>
      <c r="AC579" s="2">
        <f>D580*2.1</f>
        <v/>
      </c>
      <c r="AD579" s="12">
        <f>AB580-AC580</f>
        <v/>
      </c>
      <c r="AE579" s="12">
        <f>AD580/AB580*100</f>
        <v/>
      </c>
      <c r="AF579" s="92" t="n">
        <v>925</v>
      </c>
      <c r="AG579" s="62">
        <f>((AF580-L580)/L580)*100</f>
        <v/>
      </c>
      <c r="AH579" s="106">
        <f>AJ580-AF580</f>
        <v/>
      </c>
      <c r="AI579" s="65" t="n">
        <v>1090</v>
      </c>
      <c r="AJ579" s="65" t="n">
        <v>990</v>
      </c>
      <c r="AK579" s="66">
        <f>(AJ580-L580)/L580*100</f>
        <v/>
      </c>
      <c r="AL579" s="66" t="n"/>
      <c r="AM579" s="14">
        <f>AH580/AJ580%</f>
        <v/>
      </c>
      <c r="AN579" s="67">
        <f>AK580-AG580</f>
        <v/>
      </c>
      <c r="AO579" s="68">
        <f>AJ580/L580</f>
        <v/>
      </c>
      <c r="AP579" s="69">
        <f>(AJ580-AB580)/100</f>
        <v/>
      </c>
      <c r="AQ579" s="70">
        <f>(AJ580-AC580)/100</f>
        <v/>
      </c>
      <c r="AR579" s="71">
        <f>AI580/94</f>
        <v/>
      </c>
      <c r="AS579" s="71">
        <f>AJ580/94</f>
        <v/>
      </c>
      <c r="AT579" s="72">
        <f>AI580/24</f>
        <v/>
      </c>
      <c r="AU579" s="72">
        <f>AJ580/24</f>
        <v/>
      </c>
      <c r="AV579" s="73">
        <f>AI580/125</f>
        <v/>
      </c>
      <c r="AW579" s="73">
        <f>AJ580/125</f>
        <v/>
      </c>
    </row>
    <row r="580" ht="15.75" customHeight="1" s="258">
      <c r="A580" s="2" t="n"/>
      <c r="B580" s="2" t="inlineStr">
        <is>
          <t>Blue Dotted</t>
        </is>
      </c>
      <c r="C580" s="2" t="inlineStr">
        <is>
          <t>MI-ES-P-B</t>
        </is>
      </c>
      <c r="D580" s="118" t="n">
        <v>150</v>
      </c>
      <c r="E580" s="92" t="n">
        <v>50</v>
      </c>
      <c r="F580" s="2" t="n">
        <v>50</v>
      </c>
      <c r="G580" s="118" t="n">
        <v>44201900</v>
      </c>
      <c r="H580" s="255" t="n">
        <v>0.05</v>
      </c>
      <c r="I580" s="2">
        <f>D581*H581</f>
        <v/>
      </c>
      <c r="J580" s="2">
        <f>D581*5%</f>
        <v/>
      </c>
      <c r="K580" s="118" t="n">
        <v>200</v>
      </c>
      <c r="L580" s="4">
        <f>K581+J581+I581+F581+E581+D581</f>
        <v/>
      </c>
      <c r="M580" s="2">
        <f>D581*1%</f>
        <v/>
      </c>
      <c r="N580" s="12">
        <f>L581*8%</f>
        <v/>
      </c>
      <c r="O580" s="12">
        <f>L581*10%</f>
        <v/>
      </c>
      <c r="P580" s="12">
        <f>L581*5%</f>
        <v/>
      </c>
      <c r="Q580" s="12">
        <f>L581*2%</f>
        <v/>
      </c>
      <c r="R580" s="12">
        <f>AC581*0.5%</f>
        <v/>
      </c>
      <c r="S580" s="12">
        <f>L581*1%</f>
        <v/>
      </c>
      <c r="T580" s="60">
        <f>S581+Q581+P581+O581+N581+M581</f>
        <v/>
      </c>
      <c r="U580" s="2">
        <f>AC581*1%</f>
        <v/>
      </c>
      <c r="V580" s="44">
        <f>AC581*5%</f>
        <v/>
      </c>
      <c r="W580" s="2">
        <f>AC581*1%</f>
        <v/>
      </c>
      <c r="X580" s="2">
        <f>AC581*8%</f>
        <v/>
      </c>
      <c r="Y580" s="2">
        <f>U581+V581+W581+X581</f>
        <v/>
      </c>
      <c r="Z580" s="60">
        <f>Y581+T581+L581</f>
        <v/>
      </c>
      <c r="AA580" s="11">
        <f>Z581*20%</f>
        <v/>
      </c>
      <c r="AB580" s="12">
        <f>Z581+AA581</f>
        <v/>
      </c>
      <c r="AC580" s="2">
        <f>D581*2.1</f>
        <v/>
      </c>
      <c r="AD580" s="12">
        <f>AB581-AC581</f>
        <v/>
      </c>
      <c r="AE580" s="12">
        <f>AD581/AB581*100</f>
        <v/>
      </c>
      <c r="AF580" s="92" t="n">
        <v>925</v>
      </c>
      <c r="AG580" s="62">
        <f>((AF581-L581)/L581)*100</f>
        <v/>
      </c>
      <c r="AH580" s="106">
        <f>AJ581-AF581</f>
        <v/>
      </c>
      <c r="AI580" s="65" t="n">
        <v>1090</v>
      </c>
      <c r="AJ580" s="65" t="n">
        <v>990</v>
      </c>
      <c r="AK580" s="66">
        <f>(AJ581-L581)/L581*100</f>
        <v/>
      </c>
      <c r="AL580" s="66" t="n"/>
      <c r="AM580" s="14">
        <f>AH581/AJ581%</f>
        <v/>
      </c>
      <c r="AN580" s="67">
        <f>AK581-AG581</f>
        <v/>
      </c>
      <c r="AO580" s="68">
        <f>AJ581/L581</f>
        <v/>
      </c>
      <c r="AP580" s="69">
        <f>(AJ581-AB581)/100</f>
        <v/>
      </c>
      <c r="AQ580" s="70">
        <f>(AJ581-AC581)/100</f>
        <v/>
      </c>
      <c r="AR580" s="71">
        <f>AI581/94</f>
        <v/>
      </c>
      <c r="AS580" s="71">
        <f>AJ581/94</f>
        <v/>
      </c>
      <c r="AT580" s="72">
        <f>AI581/24</f>
        <v/>
      </c>
      <c r="AU580" s="72">
        <f>AJ581/24</f>
        <v/>
      </c>
      <c r="AV580" s="73">
        <f>AI581/125</f>
        <v/>
      </c>
      <c r="AW580" s="73">
        <f>AJ581/125</f>
        <v/>
      </c>
    </row>
    <row r="581" ht="15.75" customHeight="1" s="258">
      <c r="A581" s="2" t="inlineStr">
        <is>
          <t>Pangi Seed Shell Rattle</t>
        </is>
      </c>
      <c r="B581" s="2" t="inlineStr">
        <is>
          <t>Standard</t>
        </is>
      </c>
      <c r="C581" s="2" t="inlineStr">
        <is>
          <t>MI-PS</t>
        </is>
      </c>
      <c r="D581" s="118" t="n">
        <v>1000</v>
      </c>
      <c r="E581" s="2" t="n">
        <v>100</v>
      </c>
      <c r="F581" s="2" t="n">
        <v>70</v>
      </c>
      <c r="G581" s="118" t="n">
        <v>44201900</v>
      </c>
      <c r="H581" s="255" t="n">
        <v>0.05</v>
      </c>
      <c r="I581" s="2">
        <f>D582*H582</f>
        <v/>
      </c>
      <c r="K581" s="118" t="n">
        <v>150</v>
      </c>
      <c r="L581" s="4">
        <f>K582+J582+I582+F582+E582+D582</f>
        <v/>
      </c>
      <c r="M581" s="2">
        <f>D582*1%</f>
        <v/>
      </c>
      <c r="N581" s="12">
        <f>L582*8%</f>
        <v/>
      </c>
      <c r="O581" s="12">
        <f>L582*10%</f>
        <v/>
      </c>
      <c r="P581" s="12">
        <f>L582*5%</f>
        <v/>
      </c>
      <c r="Q581" s="12">
        <f>L582*2%</f>
        <v/>
      </c>
      <c r="R581" s="12">
        <f>AC582*0.5%</f>
        <v/>
      </c>
      <c r="S581" s="12">
        <f>L582*1%</f>
        <v/>
      </c>
      <c r="T581" s="60">
        <f>S582+Q582+P582+O582+N582+M582</f>
        <v/>
      </c>
      <c r="U581" s="2">
        <f>AC582*1%</f>
        <v/>
      </c>
      <c r="V581" s="44">
        <f>AC582*5%</f>
        <v/>
      </c>
      <c r="W581" s="2">
        <f>AC582*1%</f>
        <v/>
      </c>
      <c r="X581" s="2">
        <f>AC582*8%</f>
        <v/>
      </c>
      <c r="Y581" s="2">
        <f>U582+V582+W582+X582</f>
        <v/>
      </c>
      <c r="Z581" s="60">
        <f>Y582+T582+L582</f>
        <v/>
      </c>
      <c r="AA581" s="11">
        <f>Z582*20%</f>
        <v/>
      </c>
      <c r="AB581" s="12">
        <f>Z582+AA582</f>
        <v/>
      </c>
      <c r="AC581" s="2">
        <f>D582*2.1</f>
        <v/>
      </c>
      <c r="AD581" s="12">
        <f>AB582-AC582</f>
        <v/>
      </c>
      <c r="AE581" s="12">
        <f>AD582/AB582*100</f>
        <v/>
      </c>
      <c r="AF581" s="92" t="n">
        <v>2450</v>
      </c>
      <c r="AG581" s="62">
        <f>((AF582-L582)/L582)*100</f>
        <v/>
      </c>
      <c r="AH581" s="106">
        <f>AJ582-AF582</f>
        <v/>
      </c>
      <c r="AI581" s="65" t="n">
        <v>2690</v>
      </c>
      <c r="AJ581" s="65" t="n">
        <v>2490</v>
      </c>
      <c r="AK581" s="66">
        <f>(AJ582-L582)/L582*100</f>
        <v/>
      </c>
      <c r="AL581" s="66" t="n"/>
      <c r="AM581" s="14">
        <f>AH582/AJ582%</f>
        <v/>
      </c>
      <c r="AN581" s="67">
        <f>AK582-AG582</f>
        <v/>
      </c>
      <c r="AO581" s="68">
        <f>AJ582/L582</f>
        <v/>
      </c>
      <c r="AP581" s="69">
        <f>(AJ582-AB582)/100</f>
        <v/>
      </c>
      <c r="AQ581" s="70">
        <f>(AJ582-AC582)/100</f>
        <v/>
      </c>
      <c r="AR581" s="71">
        <f>AI582/94</f>
        <v/>
      </c>
      <c r="AS581" s="71">
        <f>AJ582/94</f>
        <v/>
      </c>
      <c r="AT581" s="72">
        <f>AI582/24</f>
        <v/>
      </c>
      <c r="AU581" s="72">
        <f>AJ582/24</f>
        <v/>
      </c>
      <c r="AV581" s="73">
        <f>AI582/125</f>
        <v/>
      </c>
      <c r="AW581" s="73">
        <f>AJ582/125</f>
        <v/>
      </c>
    </row>
    <row r="582" ht="15.75" customHeight="1" s="258">
      <c r="A582" s="44" t="inlineStr">
        <is>
          <t>Pulse Tubes</t>
        </is>
      </c>
      <c r="B582" s="44" t="inlineStr">
        <is>
          <t>Big</t>
        </is>
      </c>
      <c r="C582" s="111" t="inlineStr">
        <is>
          <t>MI-PT-B</t>
        </is>
      </c>
      <c r="D582" s="45" t="n">
        <v>900</v>
      </c>
      <c r="E582" s="44" t="n">
        <v>120</v>
      </c>
      <c r="F582" s="44" t="n">
        <v>60</v>
      </c>
      <c r="G582" s="45" t="n">
        <v>83061000</v>
      </c>
      <c r="H582" s="115" t="n">
        <v>0.05</v>
      </c>
      <c r="I582" s="44">
        <f>D583*H583</f>
        <v/>
      </c>
      <c r="J582" s="113" t="n"/>
      <c r="K582" s="44" t="n">
        <v>50</v>
      </c>
      <c r="L582" s="48">
        <f>K583+J583+I583+F583+E583+D583</f>
        <v/>
      </c>
      <c r="M582" s="44">
        <f>D583*1%</f>
        <v/>
      </c>
      <c r="N582" s="49">
        <f>L583*8%</f>
        <v/>
      </c>
      <c r="O582" s="49">
        <f>L583*10%</f>
        <v/>
      </c>
      <c r="P582" s="49">
        <f>L583*5%</f>
        <v/>
      </c>
      <c r="Q582" s="49">
        <f>L583*2%</f>
        <v/>
      </c>
      <c r="R582" s="49">
        <f>AC583*0.5%</f>
        <v/>
      </c>
      <c r="S582" s="49">
        <f>L583*1%</f>
        <v/>
      </c>
      <c r="T582" s="50">
        <f>S583+Q583+P583+O583+N583+M583</f>
        <v/>
      </c>
      <c r="U582" s="44">
        <f>AC583*1%</f>
        <v/>
      </c>
      <c r="V582" s="44">
        <f>AC583*5%</f>
        <v/>
      </c>
      <c r="W582" s="44">
        <f>AC583*1%</f>
        <v/>
      </c>
      <c r="X582" s="44">
        <f>AC583*8%</f>
        <v/>
      </c>
      <c r="Y582" s="44">
        <f>U583+V583+W583+X583</f>
        <v/>
      </c>
      <c r="Z582" s="50">
        <f>Y583+T583+L583</f>
        <v/>
      </c>
      <c r="AA582" s="51">
        <f>Z583*20%</f>
        <v/>
      </c>
      <c r="AB582" s="49">
        <f>Z583+AA583</f>
        <v/>
      </c>
      <c r="AC582" s="44">
        <f>D583*2.1</f>
        <v/>
      </c>
      <c r="AD582" s="49">
        <f>AB583-AC583</f>
        <v/>
      </c>
      <c r="AE582" s="49">
        <f>AD583/AB583*100</f>
        <v/>
      </c>
      <c r="AF582" s="113" t="n"/>
      <c r="AG582" s="116">
        <f>((AF583-L583)/L583)*100</f>
        <v/>
      </c>
      <c r="AH582" s="54">
        <f>AJ583-AF583</f>
        <v/>
      </c>
      <c r="AI582" s="54">
        <f>AB583</f>
        <v/>
      </c>
      <c r="AJ582" s="54" t="n">
        <v>2690</v>
      </c>
      <c r="AK582" s="55">
        <f>(AJ583-L583)/L583*100</f>
        <v/>
      </c>
      <c r="AL582" s="55" t="n"/>
      <c r="AM582" s="55">
        <f>AH583/AJ583%</f>
        <v/>
      </c>
      <c r="AN582" s="55">
        <f>AK583-AG583</f>
        <v/>
      </c>
      <c r="AO582" s="56">
        <f>AJ583/L583</f>
        <v/>
      </c>
      <c r="AP582" s="55">
        <f>(AJ583-AB583)/100</f>
        <v/>
      </c>
      <c r="AQ582" s="55">
        <f>(AJ583-AC583)/100</f>
        <v/>
      </c>
      <c r="AR582" s="57">
        <f>AI583/94</f>
        <v/>
      </c>
      <c r="AS582" s="57">
        <f>AJ583/94</f>
        <v/>
      </c>
      <c r="AT582" s="58">
        <f>AI583/24</f>
        <v/>
      </c>
      <c r="AU582" s="58">
        <f>AJ583/24</f>
        <v/>
      </c>
      <c r="AV582" s="58">
        <f>AI583/125</f>
        <v/>
      </c>
      <c r="AW582" s="58">
        <f>AJ583/125</f>
        <v/>
      </c>
      <c r="AX582" s="113" t="n"/>
      <c r="AY582" s="113" t="n"/>
    </row>
    <row r="583" ht="15" customHeight="1" s="258">
      <c r="A583" s="44" t="n"/>
      <c r="B583" s="44" t="inlineStr">
        <is>
          <t>Medium</t>
        </is>
      </c>
      <c r="C583" s="111" t="inlineStr">
        <is>
          <t>MI-PT-M</t>
        </is>
      </c>
      <c r="D583" s="45" t="n">
        <v>800</v>
      </c>
      <c r="E583" s="44" t="n">
        <v>100</v>
      </c>
      <c r="F583" s="44" t="n">
        <v>60</v>
      </c>
      <c r="G583" s="45" t="n">
        <v>83061000</v>
      </c>
      <c r="H583" s="115" t="n">
        <v>0.05</v>
      </c>
      <c r="I583" s="44">
        <f>D584*H584</f>
        <v/>
      </c>
      <c r="J583" s="113" t="n"/>
      <c r="K583" s="44" t="n">
        <v>50</v>
      </c>
      <c r="L583" s="48">
        <f>K584+J584+I584+F584+E584+D584</f>
        <v/>
      </c>
      <c r="M583" s="44">
        <f>D584*1%</f>
        <v/>
      </c>
      <c r="N583" s="49">
        <f>L584*8%</f>
        <v/>
      </c>
      <c r="O583" s="49">
        <f>L584*10%</f>
        <v/>
      </c>
      <c r="P583" s="49">
        <f>L584*5%</f>
        <v/>
      </c>
      <c r="Q583" s="49">
        <f>L584*2%</f>
        <v/>
      </c>
      <c r="R583" s="49">
        <f>AC584*0.5%</f>
        <v/>
      </c>
      <c r="S583" s="49">
        <f>L584*1%</f>
        <v/>
      </c>
      <c r="T583" s="50">
        <f>S584+Q584+P584+O584+N584+M584</f>
        <v/>
      </c>
      <c r="U583" s="44">
        <f>AC584*1%</f>
        <v/>
      </c>
      <c r="V583" s="44">
        <f>AC584*5%</f>
        <v/>
      </c>
      <c r="W583" s="44">
        <f>AC584*1%</f>
        <v/>
      </c>
      <c r="X583" s="44">
        <f>AC584*8%</f>
        <v/>
      </c>
      <c r="Y583" s="44">
        <f>U584+V584+W584+X584</f>
        <v/>
      </c>
      <c r="Z583" s="50">
        <f>Y584+T584+L584</f>
        <v/>
      </c>
      <c r="AA583" s="51">
        <f>Z584*20%</f>
        <v/>
      </c>
      <c r="AB583" s="49">
        <f>Z584+AA584</f>
        <v/>
      </c>
      <c r="AC583" s="44">
        <f>D584*2.1</f>
        <v/>
      </c>
      <c r="AD583" s="49">
        <f>AB584-AC584</f>
        <v/>
      </c>
      <c r="AE583" s="49">
        <f>AD584/AB584*100</f>
        <v/>
      </c>
      <c r="AF583" s="113" t="n"/>
      <c r="AG583" s="116">
        <f>((AF584-L584)/L584)*100</f>
        <v/>
      </c>
      <c r="AH583" s="54">
        <f>AJ584-AF584</f>
        <v/>
      </c>
      <c r="AI583" s="54">
        <f>AB584</f>
        <v/>
      </c>
      <c r="AJ583" s="54" t="n">
        <v>2490</v>
      </c>
      <c r="AK583" s="55">
        <f>(AJ584-L584)/L584*100</f>
        <v/>
      </c>
      <c r="AL583" s="55" t="n"/>
      <c r="AM583" s="55">
        <f>AH584/AJ584%</f>
        <v/>
      </c>
      <c r="AN583" s="55">
        <f>AK584-AG584</f>
        <v/>
      </c>
      <c r="AO583" s="56">
        <f>AJ584/L584</f>
        <v/>
      </c>
      <c r="AP583" s="55">
        <f>(AJ584-AB584)/100</f>
        <v/>
      </c>
      <c r="AQ583" s="55">
        <f>(AJ584-AC584)/100</f>
        <v/>
      </c>
      <c r="AR583" s="57">
        <f>AI584/94</f>
        <v/>
      </c>
      <c r="AS583" s="57">
        <f>AJ584/94</f>
        <v/>
      </c>
      <c r="AT583" s="58">
        <f>AI584/24</f>
        <v/>
      </c>
      <c r="AU583" s="58">
        <f>AJ584/24</f>
        <v/>
      </c>
      <c r="AV583" s="58">
        <f>AI584/125</f>
        <v/>
      </c>
      <c r="AW583" s="58">
        <f>AJ584/125</f>
        <v/>
      </c>
      <c r="AX583" s="113" t="n"/>
      <c r="AY583" s="113" t="n"/>
    </row>
    <row r="584" ht="15.75" customHeight="1" s="258">
      <c r="A584" s="44" t="n"/>
      <c r="B584" s="44" t="inlineStr">
        <is>
          <t>Small</t>
        </is>
      </c>
      <c r="C584" s="111" t="inlineStr">
        <is>
          <t>MI-PT-S</t>
        </is>
      </c>
      <c r="D584" s="45" t="n">
        <v>700</v>
      </c>
      <c r="E584" s="44" t="n">
        <v>80</v>
      </c>
      <c r="F584" s="44" t="n">
        <v>60</v>
      </c>
      <c r="G584" s="45" t="n">
        <v>83061000</v>
      </c>
      <c r="H584" s="115" t="n">
        <v>0.05</v>
      </c>
      <c r="I584" s="44">
        <f>D585*H585</f>
        <v/>
      </c>
      <c r="J584" s="113" t="n"/>
      <c r="K584" s="44" t="n">
        <v>50</v>
      </c>
      <c r="L584" s="48">
        <f>K585+J585+I585+F585+E585+D585</f>
        <v/>
      </c>
      <c r="M584" s="44">
        <f>D585*1%</f>
        <v/>
      </c>
      <c r="N584" s="49">
        <f>L585*8%</f>
        <v/>
      </c>
      <c r="O584" s="49">
        <f>L585*10%</f>
        <v/>
      </c>
      <c r="P584" s="49">
        <f>L585*5%</f>
        <v/>
      </c>
      <c r="Q584" s="49">
        <f>L585*2%</f>
        <v/>
      </c>
      <c r="R584" s="49">
        <f>AC585*0.5%</f>
        <v/>
      </c>
      <c r="S584" s="49">
        <f>L585*1%</f>
        <v/>
      </c>
      <c r="T584" s="50">
        <f>S585+Q585+P585+O585+N585+M585</f>
        <v/>
      </c>
      <c r="U584" s="44">
        <f>AC585*1%</f>
        <v/>
      </c>
      <c r="V584" s="44">
        <f>AC585*5%</f>
        <v/>
      </c>
      <c r="W584" s="44">
        <f>AC585*1%</f>
        <v/>
      </c>
      <c r="X584" s="44">
        <f>AC585*8%</f>
        <v/>
      </c>
      <c r="Y584" s="44">
        <f>U585+V585+W585+X585</f>
        <v/>
      </c>
      <c r="Z584" s="50">
        <f>Y585+T585+L585</f>
        <v/>
      </c>
      <c r="AA584" s="51">
        <f>Z585*20%</f>
        <v/>
      </c>
      <c r="AB584" s="49">
        <f>Z585+AA585</f>
        <v/>
      </c>
      <c r="AC584" s="44">
        <f>D585*2.1</f>
        <v/>
      </c>
      <c r="AD584" s="49">
        <f>AB585-AC585</f>
        <v/>
      </c>
      <c r="AE584" s="49">
        <f>AD585/AB585*100</f>
        <v/>
      </c>
      <c r="AF584" s="113" t="n"/>
      <c r="AG584" s="116">
        <f>((AF585-L585)/L585)*100</f>
        <v/>
      </c>
      <c r="AH584" s="54">
        <f>AJ585-AF585</f>
        <v/>
      </c>
      <c r="AI584" s="54">
        <f>AB585</f>
        <v/>
      </c>
      <c r="AJ584" s="54" t="n">
        <v>2290</v>
      </c>
      <c r="AK584" s="55">
        <f>(AJ585-L585)/L585*100</f>
        <v/>
      </c>
      <c r="AL584" s="55" t="n"/>
      <c r="AM584" s="55">
        <f>AH585/AJ585%</f>
        <v/>
      </c>
      <c r="AN584" s="55">
        <f>AK585-AG585</f>
        <v/>
      </c>
      <c r="AO584" s="56">
        <f>AJ585/L585</f>
        <v/>
      </c>
      <c r="AP584" s="55">
        <f>(AJ585-AB585)/100</f>
        <v/>
      </c>
      <c r="AQ584" s="55">
        <f>(AJ585-AC585)/100</f>
        <v/>
      </c>
      <c r="AR584" s="57">
        <f>AI585/94</f>
        <v/>
      </c>
      <c r="AS584" s="57">
        <f>AJ585/94</f>
        <v/>
      </c>
      <c r="AT584" s="58">
        <f>AI585/24</f>
        <v/>
      </c>
      <c r="AU584" s="58">
        <f>AJ585/24</f>
        <v/>
      </c>
      <c r="AV584" s="58">
        <f>AI585/125</f>
        <v/>
      </c>
      <c r="AW584" s="58">
        <f>AJ585/125</f>
        <v/>
      </c>
      <c r="AX584" s="113" t="n"/>
      <c r="AY584" s="113" t="n"/>
    </row>
    <row r="585" ht="15.75" customHeight="1" s="258">
      <c r="A585" s="2" t="inlineStr">
        <is>
          <t>Root Chakra Singing Bowl</t>
        </is>
      </c>
      <c r="B585" s="2" t="inlineStr">
        <is>
          <t>Standard</t>
        </is>
      </c>
      <c r="C585" s="91" t="inlineStr">
        <is>
          <t>MI-RCSB-S</t>
        </is>
      </c>
      <c r="D585" s="253" t="n">
        <v>9000</v>
      </c>
      <c r="E585" s="92" t="n">
        <v>200</v>
      </c>
      <c r="F585" s="2" t="n">
        <v>125</v>
      </c>
      <c r="G585" s="118" t="n">
        <v>83061000</v>
      </c>
      <c r="H585" s="255" t="n">
        <v>0.05</v>
      </c>
      <c r="I585" s="2">
        <f>D586*H586</f>
        <v/>
      </c>
      <c r="K585" s="152" t="n">
        <v>200</v>
      </c>
      <c r="L585" s="4">
        <f>K586+J586+I586+F586+E586+D586</f>
        <v/>
      </c>
      <c r="M585" s="2">
        <f>D586*1%</f>
        <v/>
      </c>
      <c r="N585" s="12">
        <f>L586*8%</f>
        <v/>
      </c>
      <c r="O585" s="12">
        <f>L586*10%</f>
        <v/>
      </c>
      <c r="P585" s="12">
        <f>L586*5%</f>
        <v/>
      </c>
      <c r="Q585" s="12">
        <f>L586*2%</f>
        <v/>
      </c>
      <c r="R585" s="12">
        <f>AC586*0.5%</f>
        <v/>
      </c>
      <c r="S585" s="12">
        <f>L586*1%</f>
        <v/>
      </c>
      <c r="T585" s="60">
        <f>S586+Q586+P586+O586+N586+M586</f>
        <v/>
      </c>
      <c r="U585" s="2">
        <f>AC586*1%</f>
        <v/>
      </c>
      <c r="V585" s="44">
        <f>AC586*5%</f>
        <v/>
      </c>
      <c r="W585" s="2">
        <f>AC586*1%</f>
        <v/>
      </c>
      <c r="X585" s="2">
        <f>AC586*8%</f>
        <v/>
      </c>
      <c r="Y585" s="2">
        <f>U586+V586+W586+X586</f>
        <v/>
      </c>
      <c r="Z585" s="60">
        <f>Y586+T586+L586</f>
        <v/>
      </c>
      <c r="AA585" s="11">
        <f>Z586*20%</f>
        <v/>
      </c>
      <c r="AB585" s="12">
        <f>Z586+AA586</f>
        <v/>
      </c>
      <c r="AC585" s="2">
        <f>D586*2.1</f>
        <v/>
      </c>
      <c r="AD585" s="12">
        <f>AB586-AC586</f>
        <v/>
      </c>
      <c r="AE585" s="12">
        <f>AD586/AB586*100</f>
        <v/>
      </c>
      <c r="AF585" s="92" t="n">
        <v>15490</v>
      </c>
      <c r="AG585" s="62">
        <f>((AF586-L586)/L586)*100</f>
        <v/>
      </c>
      <c r="AH585" s="106">
        <f>AJ586-AF586</f>
        <v/>
      </c>
      <c r="AI585" s="65">
        <f>AB586</f>
        <v/>
      </c>
      <c r="AJ585" s="65" t="n">
        <v>15490</v>
      </c>
      <c r="AK585" s="66">
        <f>(AJ586-L586)/L586*100</f>
        <v/>
      </c>
      <c r="AL585" s="66" t="n"/>
      <c r="AM585" s="14">
        <f>AH586/AJ586%</f>
        <v/>
      </c>
      <c r="AN585" s="67">
        <f>AK586-AG586</f>
        <v/>
      </c>
      <c r="AO585" s="68">
        <f>AJ586/L586</f>
        <v/>
      </c>
      <c r="AP585" s="69">
        <f>(AJ586-AB586)/100</f>
        <v/>
      </c>
      <c r="AQ585" s="70">
        <f>(AJ586-AC586)/100</f>
        <v/>
      </c>
      <c r="AR585" s="71">
        <f>AI586/94</f>
        <v/>
      </c>
      <c r="AS585" s="71">
        <f>AJ586/94</f>
        <v/>
      </c>
      <c r="AT585" s="72">
        <f>AI586/24</f>
        <v/>
      </c>
      <c r="AU585" s="72">
        <f>AJ586/24</f>
        <v/>
      </c>
      <c r="AV585" s="73">
        <f>AI586/125</f>
        <v/>
      </c>
      <c r="AW585" s="73">
        <f>AJ586/125</f>
        <v/>
      </c>
    </row>
    <row r="586" ht="15.75" customHeight="1" s="258">
      <c r="A586" s="2" t="inlineStr">
        <is>
          <t>S-Shaped Didgeridoo</t>
        </is>
      </c>
      <c r="B586" s="2" t="inlineStr">
        <is>
          <t>Green</t>
        </is>
      </c>
      <c r="C586" s="2" t="inlineStr">
        <is>
          <t>MI-DG-S-G</t>
        </is>
      </c>
      <c r="D586" s="121" t="n">
        <v>2000</v>
      </c>
      <c r="F586" s="2" t="n">
        <v>125</v>
      </c>
      <c r="G586" s="118" t="n">
        <v>46021100</v>
      </c>
      <c r="H586" s="232" t="n">
        <v>0.05</v>
      </c>
      <c r="I586" s="2">
        <f>D587*H587</f>
        <v/>
      </c>
      <c r="K586" s="152" t="n">
        <v>500</v>
      </c>
      <c r="L586" s="4">
        <f>K587+J587+I587+F587+E587+D587</f>
        <v/>
      </c>
      <c r="M586" s="2">
        <f>D587*1%</f>
        <v/>
      </c>
      <c r="N586" s="12">
        <f>L587*8%</f>
        <v/>
      </c>
      <c r="O586" s="12">
        <f>L587*10%</f>
        <v/>
      </c>
      <c r="P586" s="12">
        <f>L587*5%</f>
        <v/>
      </c>
      <c r="Q586" s="12">
        <f>L587*2%</f>
        <v/>
      </c>
      <c r="R586" s="12">
        <f>AC587*0.5%</f>
        <v/>
      </c>
      <c r="S586" s="12">
        <f>L587*1%</f>
        <v/>
      </c>
      <c r="T586" s="60">
        <f>S587+Q587+P587+O587+N587+M587</f>
        <v/>
      </c>
      <c r="U586" s="2">
        <f>AC587*1%</f>
        <v/>
      </c>
      <c r="V586" s="44">
        <f>AC587*5%</f>
        <v/>
      </c>
      <c r="W586" s="2">
        <f>AC587*1%</f>
        <v/>
      </c>
      <c r="X586" s="2">
        <f>AC587*8%</f>
        <v/>
      </c>
      <c r="Y586" s="2">
        <f>U587+V587+W587+X587</f>
        <v/>
      </c>
      <c r="Z586" s="60">
        <f>Y587+T587+L587</f>
        <v/>
      </c>
      <c r="AA586" s="11">
        <f>Z587*20%</f>
        <v/>
      </c>
      <c r="AB586" s="12">
        <f>Z587+AA587</f>
        <v/>
      </c>
      <c r="AC586" s="2">
        <f>D587*2.1</f>
        <v/>
      </c>
      <c r="AD586" s="12">
        <f>AB587-AC587</f>
        <v/>
      </c>
      <c r="AE586" s="12">
        <f>AD587/AB587*100</f>
        <v/>
      </c>
      <c r="AF586" s="92" t="n">
        <v>7750</v>
      </c>
      <c r="AG586" s="62">
        <f>((AF587-L587)/L587)*100</f>
        <v/>
      </c>
      <c r="AH586" s="106">
        <f>AJ587-AF587</f>
        <v/>
      </c>
      <c r="AI586" s="65" t="n">
        <v>8990</v>
      </c>
      <c r="AJ586" s="65" t="n">
        <v>8290</v>
      </c>
      <c r="AK586" s="66">
        <f>(AJ587-L587)/L587*100</f>
        <v/>
      </c>
      <c r="AL586" s="66" t="n"/>
      <c r="AM586" s="14">
        <f>AH587/AJ587%</f>
        <v/>
      </c>
      <c r="AN586" s="67">
        <f>AK587-AG587</f>
        <v/>
      </c>
      <c r="AO586" s="68">
        <f>AJ587/L587</f>
        <v/>
      </c>
      <c r="AP586" s="69">
        <f>(AJ587-AB587)/100</f>
        <v/>
      </c>
      <c r="AQ586" s="70">
        <f>(AJ587-AC587)/100</f>
        <v/>
      </c>
      <c r="AR586" s="71">
        <f>AI587/94</f>
        <v/>
      </c>
      <c r="AS586" s="71">
        <f>AJ587/94</f>
        <v/>
      </c>
      <c r="AT586" s="72">
        <f>AI587/24</f>
        <v/>
      </c>
      <c r="AU586" s="72">
        <f>AJ587/24</f>
        <v/>
      </c>
      <c r="AV586" s="73">
        <f>AI587/125</f>
        <v/>
      </c>
      <c r="AW586" s="73">
        <f>AJ587/125</f>
        <v/>
      </c>
    </row>
    <row r="587" ht="15" customHeight="1" s="258">
      <c r="A587" s="2" t="n"/>
      <c r="B587" s="2" t="inlineStr">
        <is>
          <t>Blue</t>
        </is>
      </c>
      <c r="C587" s="2" t="inlineStr">
        <is>
          <t>MI-DG-S-B</t>
        </is>
      </c>
      <c r="D587" s="121" t="n">
        <v>2000</v>
      </c>
      <c r="F587" s="2" t="n">
        <v>125</v>
      </c>
      <c r="G587" s="118" t="n">
        <v>46021100</v>
      </c>
      <c r="H587" s="232" t="n">
        <v>0.05</v>
      </c>
      <c r="I587" s="2">
        <f>D588*H588</f>
        <v/>
      </c>
      <c r="K587" s="152" t="n">
        <v>500</v>
      </c>
      <c r="L587" s="4">
        <f>K588+J588+I588+F588+E588+D588</f>
        <v/>
      </c>
      <c r="M587" s="2">
        <f>D588*1%</f>
        <v/>
      </c>
      <c r="N587" s="12">
        <f>L588*8%</f>
        <v/>
      </c>
      <c r="O587" s="12">
        <f>L588*10%</f>
        <v/>
      </c>
      <c r="P587" s="12">
        <f>L588*5%</f>
        <v/>
      </c>
      <c r="Q587" s="12">
        <f>L588*2%</f>
        <v/>
      </c>
      <c r="R587" s="12">
        <f>AC588*0.5%</f>
        <v/>
      </c>
      <c r="S587" s="12">
        <f>L588*1%</f>
        <v/>
      </c>
      <c r="T587" s="60">
        <f>S588+Q588+P588+O588+N588+M588</f>
        <v/>
      </c>
      <c r="U587" s="2">
        <f>AC588*1%</f>
        <v/>
      </c>
      <c r="V587" s="44">
        <f>AC588*5%</f>
        <v/>
      </c>
      <c r="W587" s="2">
        <f>AC588*1%</f>
        <v/>
      </c>
      <c r="X587" s="2">
        <f>AC588*8%</f>
        <v/>
      </c>
      <c r="Y587" s="2">
        <f>U588+V588+W588+X588</f>
        <v/>
      </c>
      <c r="Z587" s="60">
        <f>Y588+T588+L588</f>
        <v/>
      </c>
      <c r="AA587" s="11">
        <f>Z588*20%</f>
        <v/>
      </c>
      <c r="AB587" s="12">
        <f>Z588+AA588</f>
        <v/>
      </c>
      <c r="AC587" s="2">
        <f>D588*2.1</f>
        <v/>
      </c>
      <c r="AD587" s="12">
        <f>AB588-AC588</f>
        <v/>
      </c>
      <c r="AE587" s="12">
        <f>AD588/AB588*100</f>
        <v/>
      </c>
      <c r="AF587" s="92" t="n">
        <v>7750</v>
      </c>
      <c r="AG587" s="62">
        <f>((AF588-L588)/L588)*100</f>
        <v/>
      </c>
      <c r="AH587" s="106">
        <f>AJ588-AF588</f>
        <v/>
      </c>
      <c r="AI587" s="65" t="n">
        <v>8990</v>
      </c>
      <c r="AJ587" s="65" t="n">
        <v>8290</v>
      </c>
      <c r="AK587" s="66">
        <f>(AJ588-L588)/L588*100</f>
        <v/>
      </c>
      <c r="AL587" s="66" t="n"/>
      <c r="AM587" s="14">
        <f>AH588/AJ588%</f>
        <v/>
      </c>
      <c r="AN587" s="67">
        <f>AK588-AG588</f>
        <v/>
      </c>
      <c r="AO587" s="68">
        <f>AJ588/L588</f>
        <v/>
      </c>
      <c r="AP587" s="69">
        <f>(AJ588-AB588)/100</f>
        <v/>
      </c>
      <c r="AQ587" s="70">
        <f>(AJ588-AC588)/100</f>
        <v/>
      </c>
      <c r="AR587" s="71">
        <f>AI588/94</f>
        <v/>
      </c>
      <c r="AS587" s="71">
        <f>AJ588/94</f>
        <v/>
      </c>
      <c r="AT587" s="72">
        <f>AI588/24</f>
        <v/>
      </c>
      <c r="AU587" s="72">
        <f>AJ588/24</f>
        <v/>
      </c>
      <c r="AV587" s="73">
        <f>AI588/125</f>
        <v/>
      </c>
      <c r="AW587" s="73">
        <f>AJ588/125</f>
        <v/>
      </c>
    </row>
    <row r="588" ht="15.75" customHeight="1" s="258">
      <c r="A588" s="2" t="n"/>
      <c r="B588" s="2" t="inlineStr">
        <is>
          <t>Red</t>
        </is>
      </c>
      <c r="C588" s="2" t="inlineStr">
        <is>
          <t>MI-DG-S-R</t>
        </is>
      </c>
      <c r="D588" s="121" t="n">
        <v>2000</v>
      </c>
      <c r="F588" s="2" t="n">
        <v>125</v>
      </c>
      <c r="G588" s="118" t="n">
        <v>46021100</v>
      </c>
      <c r="H588" s="232" t="n">
        <v>0.05</v>
      </c>
      <c r="I588" s="2">
        <f>D589*H589</f>
        <v/>
      </c>
      <c r="K588" s="152" t="n">
        <v>500</v>
      </c>
      <c r="L588" s="4">
        <f>K589+J589+I589+F589+E589+D589</f>
        <v/>
      </c>
      <c r="M588" s="2">
        <f>D589*1%</f>
        <v/>
      </c>
      <c r="N588" s="12">
        <f>L589*8%</f>
        <v/>
      </c>
      <c r="O588" s="12">
        <f>L589*10%</f>
        <v/>
      </c>
      <c r="P588" s="12">
        <f>L589*5%</f>
        <v/>
      </c>
      <c r="Q588" s="12">
        <f>L589*2%</f>
        <v/>
      </c>
      <c r="R588" s="12">
        <f>AC589*0.5%</f>
        <v/>
      </c>
      <c r="S588" s="12">
        <f>L589*1%</f>
        <v/>
      </c>
      <c r="T588" s="60">
        <f>S589+Q589+P589+O589+N589+M589</f>
        <v/>
      </c>
      <c r="U588" s="2">
        <f>AC589*1%</f>
        <v/>
      </c>
      <c r="V588" s="44">
        <f>AC589*5%</f>
        <v/>
      </c>
      <c r="W588" s="2">
        <f>AC589*1%</f>
        <v/>
      </c>
      <c r="X588" s="2">
        <f>AC589*8%</f>
        <v/>
      </c>
      <c r="Y588" s="2">
        <f>U589+V589+W589+X589</f>
        <v/>
      </c>
      <c r="Z588" s="60">
        <f>Y589+T589+L589</f>
        <v/>
      </c>
      <c r="AA588" s="11">
        <f>Z589*20%</f>
        <v/>
      </c>
      <c r="AB588" s="12">
        <f>Z589+AA589</f>
        <v/>
      </c>
      <c r="AC588" s="2">
        <f>D589*2.1</f>
        <v/>
      </c>
      <c r="AD588" s="12">
        <f>AB589-AC589</f>
        <v/>
      </c>
      <c r="AE588" s="12">
        <f>AD589/AB589*100</f>
        <v/>
      </c>
      <c r="AF588" s="92" t="n">
        <v>7750</v>
      </c>
      <c r="AG588" s="62">
        <f>((AF589-L589)/L589)*100</f>
        <v/>
      </c>
      <c r="AH588" s="106">
        <f>AJ589-AF589</f>
        <v/>
      </c>
      <c r="AI588" s="65">
        <f>AB589</f>
        <v/>
      </c>
      <c r="AJ588" s="65" t="n">
        <v>8290</v>
      </c>
      <c r="AK588" s="66">
        <f>(AJ589-L589)/L589*100</f>
        <v/>
      </c>
      <c r="AL588" s="66" t="n"/>
      <c r="AM588" s="14">
        <f>AH589/AJ589%</f>
        <v/>
      </c>
      <c r="AN588" s="67">
        <f>AK589-AG589</f>
        <v/>
      </c>
      <c r="AO588" s="68">
        <f>AJ589/L589</f>
        <v/>
      </c>
      <c r="AP588" s="69">
        <f>(AJ589-AB589)/100</f>
        <v/>
      </c>
      <c r="AQ588" s="70">
        <f>(AJ589-AC589)/100</f>
        <v/>
      </c>
      <c r="AR588" s="71">
        <f>AI589/94</f>
        <v/>
      </c>
      <c r="AS588" s="71">
        <f>AJ589/94</f>
        <v/>
      </c>
      <c r="AT588" s="72">
        <f>AI589/24</f>
        <v/>
      </c>
      <c r="AU588" s="72">
        <f>AJ589/24</f>
        <v/>
      </c>
      <c r="AV588" s="73">
        <f>AI589/125</f>
        <v/>
      </c>
      <c r="AW588" s="73">
        <f>AJ589/125</f>
        <v/>
      </c>
    </row>
    <row r="589" ht="15.75" customHeight="1" s="258">
      <c r="A589" s="2" t="inlineStr">
        <is>
          <t>Sacred Symbols Singing Bowls</t>
        </is>
      </c>
      <c r="B589" s="2" t="inlineStr">
        <is>
          <t>3.5 in / Green</t>
        </is>
      </c>
      <c r="C589" s="2" t="inlineStr">
        <is>
          <t>MI-SB-P-SS-G-3.5</t>
        </is>
      </c>
      <c r="D589" s="118" t="n">
        <v>350</v>
      </c>
      <c r="E589" s="2" t="n">
        <v>110</v>
      </c>
      <c r="F589" s="2" t="n">
        <v>85</v>
      </c>
      <c r="G589" s="118" t="n">
        <v>83061000</v>
      </c>
      <c r="H589" s="255" t="n">
        <v>0.05</v>
      </c>
      <c r="I589" s="2">
        <f>D590*H590</f>
        <v/>
      </c>
      <c r="K589" s="2" t="n">
        <v>50</v>
      </c>
      <c r="L589" s="4">
        <f>K590+J590+I590+F590+E590+D590</f>
        <v/>
      </c>
      <c r="M589" s="2">
        <f>D590*1%</f>
        <v/>
      </c>
      <c r="N589" s="12">
        <f>L590*8%</f>
        <v/>
      </c>
      <c r="O589" s="12">
        <f>L590*10%</f>
        <v/>
      </c>
      <c r="P589" s="12">
        <f>L590*5%</f>
        <v/>
      </c>
      <c r="Q589" s="12">
        <f>L590*2%</f>
        <v/>
      </c>
      <c r="R589" s="12">
        <f>AC590*0.5%</f>
        <v/>
      </c>
      <c r="S589" s="12">
        <f>L590*1%</f>
        <v/>
      </c>
      <c r="T589" s="60">
        <f>S590+Q590+P590+O590+N590+M590</f>
        <v/>
      </c>
      <c r="U589" s="2">
        <f>AC590*1%</f>
        <v/>
      </c>
      <c r="V589" s="44">
        <f>AC590*5%</f>
        <v/>
      </c>
      <c r="W589" s="2">
        <f>AC590*1%</f>
        <v/>
      </c>
      <c r="X589" s="2">
        <f>AC590*8%</f>
        <v/>
      </c>
      <c r="Y589" s="2">
        <f>U590+V590+W590+X590</f>
        <v/>
      </c>
      <c r="Z589" s="60">
        <f>Y590+T590+L590</f>
        <v/>
      </c>
      <c r="AA589" s="11">
        <f>Z590*20%</f>
        <v/>
      </c>
      <c r="AB589" s="12">
        <f>Z590+AA590</f>
        <v/>
      </c>
      <c r="AC589" s="2">
        <f>D590*2.1</f>
        <v/>
      </c>
      <c r="AD589" s="12">
        <f>AB590-AC590</f>
        <v/>
      </c>
      <c r="AE589" s="12">
        <f>AD590/AB590*100</f>
        <v/>
      </c>
      <c r="AF589" s="92" t="n">
        <v>1295</v>
      </c>
      <c r="AG589" s="62">
        <f>((AF590-L590)/L590)*100</f>
        <v/>
      </c>
      <c r="AH589" s="106">
        <f>AJ590-AF590</f>
        <v/>
      </c>
      <c r="AI589" s="65">
        <f>AB590</f>
        <v/>
      </c>
      <c r="AJ589" s="65" t="n">
        <v>1390</v>
      </c>
      <c r="AK589" s="66">
        <f>(AJ590-L590)/L590*100</f>
        <v/>
      </c>
      <c r="AL589" s="66" t="n"/>
      <c r="AM589" s="14">
        <f>AH590/AJ590%</f>
        <v/>
      </c>
      <c r="AN589" s="67">
        <f>AK590-AG590</f>
        <v/>
      </c>
      <c r="AO589" s="68">
        <f>AJ590/L590</f>
        <v/>
      </c>
      <c r="AP589" s="69">
        <f>(AJ590-AB590)/100</f>
        <v/>
      </c>
      <c r="AQ589" s="70">
        <f>(AJ590-AC590)/100</f>
        <v/>
      </c>
      <c r="AR589" s="71">
        <f>AI590/94</f>
        <v/>
      </c>
      <c r="AS589" s="71">
        <f>AJ590/94</f>
        <v/>
      </c>
      <c r="AT589" s="72">
        <f>AI590/24</f>
        <v/>
      </c>
      <c r="AU589" s="72">
        <f>AJ590/24</f>
        <v/>
      </c>
      <c r="AV589" s="73">
        <f>AI590/125</f>
        <v/>
      </c>
      <c r="AW589" s="73">
        <f>AJ590/125</f>
        <v/>
      </c>
    </row>
    <row r="590" ht="15" customHeight="1" s="258">
      <c r="A590" s="2" t="n"/>
      <c r="B590" s="2" t="inlineStr">
        <is>
          <t>Blue / 3.5 in</t>
        </is>
      </c>
      <c r="C590" s="2" t="inlineStr">
        <is>
          <t>MI-SB-P-SS-B-3.5</t>
        </is>
      </c>
      <c r="D590" s="118" t="n">
        <v>350</v>
      </c>
      <c r="E590" s="2" t="n">
        <v>110</v>
      </c>
      <c r="F590" s="2" t="n">
        <v>85</v>
      </c>
      <c r="G590" s="118" t="n">
        <v>83061000</v>
      </c>
      <c r="H590" s="255" t="n">
        <v>0.05</v>
      </c>
      <c r="I590" s="2">
        <f>D591*H591</f>
        <v/>
      </c>
      <c r="K590" s="2" t="n">
        <v>50</v>
      </c>
      <c r="L590" s="4">
        <f>K591+J591+I591+F591+E591+D591</f>
        <v/>
      </c>
      <c r="M590" s="2">
        <f>D591*1%</f>
        <v/>
      </c>
      <c r="N590" s="12">
        <f>L591*8%</f>
        <v/>
      </c>
      <c r="O590" s="12">
        <f>L591*10%</f>
        <v/>
      </c>
      <c r="P590" s="12">
        <f>L591*5%</f>
        <v/>
      </c>
      <c r="Q590" s="12">
        <f>L591*2%</f>
        <v/>
      </c>
      <c r="R590" s="12">
        <f>AC591*0.5%</f>
        <v/>
      </c>
      <c r="S590" s="12">
        <f>L591*1%</f>
        <v/>
      </c>
      <c r="T590" s="60">
        <f>S591+Q591+P591+O591+N591+M591</f>
        <v/>
      </c>
      <c r="U590" s="2">
        <f>AC591*1%</f>
        <v/>
      </c>
      <c r="V590" s="44">
        <f>AC591*5%</f>
        <v/>
      </c>
      <c r="W590" s="2">
        <f>AC591*1%</f>
        <v/>
      </c>
      <c r="X590" s="2">
        <f>AC591*8%</f>
        <v/>
      </c>
      <c r="Y590" s="2">
        <f>U591+V591+W591+X591</f>
        <v/>
      </c>
      <c r="Z590" s="60">
        <f>Y591+T591+L591</f>
        <v/>
      </c>
      <c r="AA590" s="11">
        <f>Z591*20%</f>
        <v/>
      </c>
      <c r="AB590" s="12">
        <f>Z591+AA591</f>
        <v/>
      </c>
      <c r="AC590" s="2">
        <f>D591*2.1</f>
        <v/>
      </c>
      <c r="AD590" s="12">
        <f>AB591-AC591</f>
        <v/>
      </c>
      <c r="AE590" s="12">
        <f>AD591/AB591*100</f>
        <v/>
      </c>
      <c r="AF590" s="92" t="n">
        <v>1295</v>
      </c>
      <c r="AG590" s="62">
        <f>((AF591-L591)/L591)*100</f>
        <v/>
      </c>
      <c r="AH590" s="106">
        <f>AJ591-AF591</f>
        <v/>
      </c>
      <c r="AI590" s="65">
        <f>AB591</f>
        <v/>
      </c>
      <c r="AJ590" s="65" t="n">
        <v>1390</v>
      </c>
      <c r="AK590" s="66">
        <f>(AJ591-L591)/L591*100</f>
        <v/>
      </c>
      <c r="AL590" s="66" t="n"/>
      <c r="AM590" s="14">
        <f>AH591/AJ591%</f>
        <v/>
      </c>
      <c r="AN590" s="67">
        <f>AK591-AG591</f>
        <v/>
      </c>
      <c r="AO590" s="68">
        <f>AJ591/L591</f>
        <v/>
      </c>
      <c r="AP590" s="69">
        <f>(AJ591-AB591)/100</f>
        <v/>
      </c>
      <c r="AQ590" s="70">
        <f>(AJ591-AC591)/100</f>
        <v/>
      </c>
      <c r="AR590" s="71">
        <f>AI591/94</f>
        <v/>
      </c>
      <c r="AS590" s="71">
        <f>AJ591/94</f>
        <v/>
      </c>
      <c r="AT590" s="72">
        <f>AI591/24</f>
        <v/>
      </c>
      <c r="AU590" s="72">
        <f>AJ591/24</f>
        <v/>
      </c>
      <c r="AV590" s="73">
        <f>AI591/125</f>
        <v/>
      </c>
      <c r="AW590" s="73">
        <f>AJ591/125</f>
        <v/>
      </c>
    </row>
    <row r="591" ht="15.75" customHeight="1" s="258">
      <c r="A591" s="2" t="n"/>
      <c r="B591" s="2" t="inlineStr">
        <is>
          <t>Blue / 4 in</t>
        </is>
      </c>
      <c r="C591" s="2" t="inlineStr">
        <is>
          <t>MI-SB-P-SS-B-4</t>
        </is>
      </c>
      <c r="D591" s="118" t="n">
        <v>575</v>
      </c>
      <c r="E591" s="2" t="n">
        <v>110</v>
      </c>
      <c r="F591" s="2" t="n">
        <v>85</v>
      </c>
      <c r="G591" s="118" t="n">
        <v>83061000</v>
      </c>
      <c r="H591" s="255" t="n">
        <v>0.05</v>
      </c>
      <c r="I591" s="2">
        <f>D592*H592</f>
        <v/>
      </c>
      <c r="K591" s="2" t="n">
        <v>50</v>
      </c>
      <c r="L591" s="4">
        <f>K592+J592+I592+F592+E592+D592</f>
        <v/>
      </c>
      <c r="M591" s="2">
        <f>D592*1%</f>
        <v/>
      </c>
      <c r="N591" s="12">
        <f>L592*8%</f>
        <v/>
      </c>
      <c r="O591" s="12">
        <f>L592*10%</f>
        <v/>
      </c>
      <c r="P591" s="12">
        <f>L592*5%</f>
        <v/>
      </c>
      <c r="Q591" s="12">
        <f>L592*2%</f>
        <v/>
      </c>
      <c r="R591" s="12">
        <f>AC592*0.5%</f>
        <v/>
      </c>
      <c r="S591" s="12">
        <f>L592*1%</f>
        <v/>
      </c>
      <c r="T591" s="60">
        <f>S592+Q592+P592+O592+N592+M592</f>
        <v/>
      </c>
      <c r="U591" s="2">
        <f>AC592*1%</f>
        <v/>
      </c>
      <c r="V591" s="44">
        <f>AC592*5%</f>
        <v/>
      </c>
      <c r="W591" s="2">
        <f>AC592*1%</f>
        <v/>
      </c>
      <c r="X591" s="2">
        <f>AC592*8%</f>
        <v/>
      </c>
      <c r="Y591" s="2">
        <f>U592+V592+W592+X592</f>
        <v/>
      </c>
      <c r="Z591" s="60">
        <f>Y592+T592+L592</f>
        <v/>
      </c>
      <c r="AA591" s="11">
        <f>Z592*20%</f>
        <v/>
      </c>
      <c r="AB591" s="12">
        <f>Z592+AA592</f>
        <v/>
      </c>
      <c r="AC591" s="2">
        <f>D592*2.1</f>
        <v/>
      </c>
      <c r="AD591" s="12">
        <f>AB592-AC592</f>
        <v/>
      </c>
      <c r="AE591" s="12">
        <f>AD592/AB592*100</f>
        <v/>
      </c>
      <c r="AF591" s="92" t="n">
        <v>1545</v>
      </c>
      <c r="AG591" s="62">
        <f>((AF592-L592)/L592)*100</f>
        <v/>
      </c>
      <c r="AH591" s="106">
        <f>AJ592-AF592</f>
        <v/>
      </c>
      <c r="AI591" s="65">
        <f>AB592</f>
        <v/>
      </c>
      <c r="AJ591" s="65" t="n">
        <v>1690</v>
      </c>
      <c r="AK591" s="66">
        <f>(AJ592-L592)/L592*100</f>
        <v/>
      </c>
      <c r="AL591" s="66" t="n"/>
      <c r="AM591" s="14">
        <f>AH592/AJ592%</f>
        <v/>
      </c>
      <c r="AN591" s="67">
        <f>AK592-AG592</f>
        <v/>
      </c>
      <c r="AO591" s="68">
        <f>AJ592/L592</f>
        <v/>
      </c>
      <c r="AP591" s="69">
        <f>(AJ592-AB592)/100</f>
        <v/>
      </c>
      <c r="AQ591" s="70">
        <f>(AJ592-AC592)/100</f>
        <v/>
      </c>
      <c r="AR591" s="71">
        <f>AI592/94</f>
        <v/>
      </c>
      <c r="AS591" s="71">
        <f>AJ592/94</f>
        <v/>
      </c>
      <c r="AT591" s="72">
        <f>AI592/24</f>
        <v/>
      </c>
      <c r="AU591" s="72">
        <f>AJ592/24</f>
        <v/>
      </c>
      <c r="AV591" s="73">
        <f>AI592/125</f>
        <v/>
      </c>
      <c r="AW591" s="73">
        <f>AJ592/125</f>
        <v/>
      </c>
    </row>
    <row r="592" ht="15.75" customHeight="1" s="258">
      <c r="A592" s="2" t="n"/>
      <c r="B592" s="2" t="inlineStr">
        <is>
          <t>Blue / 5.5 in</t>
        </is>
      </c>
      <c r="C592" s="2" t="inlineStr">
        <is>
          <t>MI-SB-P-SS-B-5.5</t>
        </is>
      </c>
      <c r="D592" s="118" t="n">
        <v>1150</v>
      </c>
      <c r="E592" s="2" t="n">
        <v>110</v>
      </c>
      <c r="F592" s="2" t="n">
        <v>85</v>
      </c>
      <c r="G592" s="118" t="n">
        <v>83061000</v>
      </c>
      <c r="H592" s="255" t="n">
        <v>0.05</v>
      </c>
      <c r="I592" s="2">
        <f>D593*H593</f>
        <v/>
      </c>
      <c r="K592" s="2" t="n">
        <v>50</v>
      </c>
      <c r="L592" s="4">
        <f>K593+J593+I593+F593+E593+D593</f>
        <v/>
      </c>
      <c r="M592" s="2">
        <f>D593*1%</f>
        <v/>
      </c>
      <c r="N592" s="12">
        <f>L593*8%</f>
        <v/>
      </c>
      <c r="O592" s="12">
        <f>L593*10%</f>
        <v/>
      </c>
      <c r="P592" s="12">
        <f>L593*5%</f>
        <v/>
      </c>
      <c r="Q592" s="12">
        <f>L593*2%</f>
        <v/>
      </c>
      <c r="R592" s="12">
        <f>AC593*0.5%</f>
        <v/>
      </c>
      <c r="S592" s="12">
        <f>L593*1%</f>
        <v/>
      </c>
      <c r="T592" s="60">
        <f>S593+Q593+P593+O593+N593+M593</f>
        <v/>
      </c>
      <c r="U592" s="2">
        <f>AC593*1%</f>
        <v/>
      </c>
      <c r="V592" s="44">
        <f>AC593*5%</f>
        <v/>
      </c>
      <c r="W592" s="2">
        <f>AC593*1%</f>
        <v/>
      </c>
      <c r="X592" s="2">
        <f>AC593*8%</f>
        <v/>
      </c>
      <c r="Y592" s="2">
        <f>U593+V593+W593+X593</f>
        <v/>
      </c>
      <c r="Z592" s="60">
        <f>Y593+T593+L593</f>
        <v/>
      </c>
      <c r="AA592" s="11">
        <f>Z593*20%</f>
        <v/>
      </c>
      <c r="AB592" s="12">
        <f>Z593+AA593</f>
        <v/>
      </c>
      <c r="AC592" s="2">
        <f>D593*2.1</f>
        <v/>
      </c>
      <c r="AD592" s="12">
        <f>AB593-AC593</f>
        <v/>
      </c>
      <c r="AE592" s="12">
        <f>AD593/AB593*100</f>
        <v/>
      </c>
      <c r="AF592" s="92" t="n">
        <v>1995</v>
      </c>
      <c r="AG592" s="62">
        <f>((AF593-L593)/L593)*100</f>
        <v/>
      </c>
      <c r="AH592" s="106">
        <f>AJ593-AF593</f>
        <v/>
      </c>
      <c r="AI592" s="65">
        <f>AB593</f>
        <v/>
      </c>
      <c r="AJ592" s="65" t="n">
        <v>2090</v>
      </c>
      <c r="AK592" s="66">
        <f>(AJ593-L593)/L593*100</f>
        <v/>
      </c>
      <c r="AL592" s="66" t="n"/>
      <c r="AM592" s="14">
        <f>AH593/AJ593%</f>
        <v/>
      </c>
      <c r="AN592" s="67">
        <f>AK593-AG593</f>
        <v/>
      </c>
      <c r="AO592" s="68">
        <f>AJ593/L593</f>
        <v/>
      </c>
      <c r="AP592" s="69">
        <f>(AJ593-AB593)/100</f>
        <v/>
      </c>
      <c r="AQ592" s="70">
        <f>(AJ593-AC593)/100</f>
        <v/>
      </c>
      <c r="AR592" s="71">
        <f>AI593/94</f>
        <v/>
      </c>
      <c r="AS592" s="71">
        <f>AJ593/94</f>
        <v/>
      </c>
      <c r="AT592" s="72">
        <f>AI593/24</f>
        <v/>
      </c>
      <c r="AU592" s="72">
        <f>AJ593/24</f>
        <v/>
      </c>
      <c r="AV592" s="73">
        <f>AI593/125</f>
        <v/>
      </c>
      <c r="AW592" s="73">
        <f>AJ593/125</f>
        <v/>
      </c>
    </row>
    <row r="593" ht="15.75" customHeight="1" s="258">
      <c r="A593" s="2" t="n"/>
      <c r="B593" s="2" t="inlineStr">
        <is>
          <t>Black / 3.5 in</t>
        </is>
      </c>
      <c r="C593" s="2" t="inlineStr">
        <is>
          <t>MI-SB-P-SS-BK-3.5</t>
        </is>
      </c>
      <c r="D593" s="118" t="n">
        <v>350</v>
      </c>
      <c r="E593" s="2" t="n">
        <v>110</v>
      </c>
      <c r="F593" s="2" t="n">
        <v>85</v>
      </c>
      <c r="G593" s="118" t="n">
        <v>83061000</v>
      </c>
      <c r="H593" s="255" t="n">
        <v>0.05</v>
      </c>
      <c r="I593" s="2">
        <f>D594*H594</f>
        <v/>
      </c>
      <c r="K593" s="2" t="n">
        <v>50</v>
      </c>
      <c r="L593" s="4">
        <f>K594+J594+I594+F594+E594+D594</f>
        <v/>
      </c>
      <c r="M593" s="2">
        <f>D594*1%</f>
        <v/>
      </c>
      <c r="N593" s="12">
        <f>L594*8%</f>
        <v/>
      </c>
      <c r="O593" s="12">
        <f>L594*10%</f>
        <v/>
      </c>
      <c r="P593" s="12">
        <f>L594*5%</f>
        <v/>
      </c>
      <c r="Q593" s="12">
        <f>L594*2%</f>
        <v/>
      </c>
      <c r="R593" s="12">
        <f>AC594*0.5%</f>
        <v/>
      </c>
      <c r="S593" s="12">
        <f>L594*1%</f>
        <v/>
      </c>
      <c r="T593" s="60">
        <f>S594+Q594+P594+O594+N594+M594</f>
        <v/>
      </c>
      <c r="U593" s="2">
        <f>AC594*1%</f>
        <v/>
      </c>
      <c r="V593" s="44">
        <f>AC594*5%</f>
        <v/>
      </c>
      <c r="W593" s="2">
        <f>AC594*1%</f>
        <v/>
      </c>
      <c r="X593" s="2">
        <f>AC594*8%</f>
        <v/>
      </c>
      <c r="Y593" s="2">
        <f>U594+V594+W594+X594</f>
        <v/>
      </c>
      <c r="Z593" s="60">
        <f>Y594+T594+L594</f>
        <v/>
      </c>
      <c r="AA593" s="11">
        <f>Z594*20%</f>
        <v/>
      </c>
      <c r="AB593" s="12">
        <f>Z594+AA594</f>
        <v/>
      </c>
      <c r="AC593" s="2">
        <f>D594*2.1</f>
        <v/>
      </c>
      <c r="AD593" s="12">
        <f>AB594-AC594</f>
        <v/>
      </c>
      <c r="AE593" s="12">
        <f>AD594/AB594*100</f>
        <v/>
      </c>
      <c r="AF593" s="92" t="n">
        <v>1295</v>
      </c>
      <c r="AG593" s="62">
        <f>((AF594-L594)/L594)*100</f>
        <v/>
      </c>
      <c r="AH593" s="106">
        <f>AJ594-AF594</f>
        <v/>
      </c>
      <c r="AI593" s="65">
        <f>AB594</f>
        <v/>
      </c>
      <c r="AJ593" s="65" t="n">
        <v>1390</v>
      </c>
      <c r="AK593" s="66">
        <f>(AJ594-L594)/L594*100</f>
        <v/>
      </c>
      <c r="AL593" s="66" t="n"/>
      <c r="AM593" s="14">
        <f>AH594/AJ594%</f>
        <v/>
      </c>
      <c r="AN593" s="67">
        <f>AK594-AG594</f>
        <v/>
      </c>
      <c r="AO593" s="68">
        <f>AJ594/L594</f>
        <v/>
      </c>
      <c r="AP593" s="69">
        <f>(AJ594-AB594)/100</f>
        <v/>
      </c>
      <c r="AQ593" s="70">
        <f>(AJ594-AC594)/100</f>
        <v/>
      </c>
      <c r="AR593" s="71">
        <f>AI594/94</f>
        <v/>
      </c>
      <c r="AS593" s="71">
        <f>AJ594/94</f>
        <v/>
      </c>
      <c r="AT593" s="72">
        <f>AI594/24</f>
        <v/>
      </c>
      <c r="AU593" s="72">
        <f>AJ594/24</f>
        <v/>
      </c>
      <c r="AV593" s="73">
        <f>AI594/125</f>
        <v/>
      </c>
      <c r="AW593" s="73">
        <f>AJ594/125</f>
        <v/>
      </c>
    </row>
    <row r="594" ht="15.75" customHeight="1" s="258">
      <c r="A594" s="2" t="n"/>
      <c r="B594" s="2" t="inlineStr">
        <is>
          <t>Black / 4 in</t>
        </is>
      </c>
      <c r="C594" s="2" t="inlineStr">
        <is>
          <t>MI-SB-P-SS-BK-4</t>
        </is>
      </c>
      <c r="D594" s="118" t="n">
        <v>575</v>
      </c>
      <c r="E594" s="2" t="n">
        <v>110</v>
      </c>
      <c r="F594" s="2" t="n">
        <v>85</v>
      </c>
      <c r="G594" s="118" t="n">
        <v>83061000</v>
      </c>
      <c r="H594" s="255" t="n">
        <v>0.05</v>
      </c>
      <c r="I594" s="2">
        <f>D595*H595</f>
        <v/>
      </c>
      <c r="K594" s="2" t="n">
        <v>50</v>
      </c>
      <c r="L594" s="4">
        <f>K595+J595+I595+F595+E595+D595</f>
        <v/>
      </c>
      <c r="M594" s="2">
        <f>D595*1%</f>
        <v/>
      </c>
      <c r="N594" s="12">
        <f>L595*8%</f>
        <v/>
      </c>
      <c r="O594" s="12">
        <f>L595*10%</f>
        <v/>
      </c>
      <c r="P594" s="12">
        <f>L595*5%</f>
        <v/>
      </c>
      <c r="Q594" s="12">
        <f>L595*2%</f>
        <v/>
      </c>
      <c r="R594" s="12">
        <f>AC595*0.5%</f>
        <v/>
      </c>
      <c r="S594" s="12">
        <f>L595*1%</f>
        <v/>
      </c>
      <c r="T594" s="60">
        <f>S595+Q595+P595+O595+N595+M595</f>
        <v/>
      </c>
      <c r="U594" s="2">
        <f>AC595*1%</f>
        <v/>
      </c>
      <c r="V594" s="44">
        <f>AC595*5%</f>
        <v/>
      </c>
      <c r="W594" s="2">
        <f>AC595*1%</f>
        <v/>
      </c>
      <c r="X594" s="2">
        <f>AC595*8%</f>
        <v/>
      </c>
      <c r="Y594" s="2">
        <f>U595+V595+W595+X595</f>
        <v/>
      </c>
      <c r="Z594" s="60">
        <f>Y595+T595+L595</f>
        <v/>
      </c>
      <c r="AA594" s="11">
        <f>Z595*20%</f>
        <v/>
      </c>
      <c r="AB594" s="12">
        <f>Z595+AA595</f>
        <v/>
      </c>
      <c r="AC594" s="2">
        <f>D595*2.1</f>
        <v/>
      </c>
      <c r="AD594" s="12">
        <f>AB595-AC595</f>
        <v/>
      </c>
      <c r="AE594" s="12">
        <f>AD595/AB595*100</f>
        <v/>
      </c>
      <c r="AF594" s="92" t="n">
        <v>1545</v>
      </c>
      <c r="AG594" s="62">
        <f>((AF595-L595)/L595)*100</f>
        <v/>
      </c>
      <c r="AH594" s="106">
        <f>AJ595-AF595</f>
        <v/>
      </c>
      <c r="AI594" s="65">
        <f>AB595</f>
        <v/>
      </c>
      <c r="AJ594" s="65" t="n">
        <v>1690</v>
      </c>
      <c r="AK594" s="66">
        <f>(AJ595-L595)/L595*100</f>
        <v/>
      </c>
      <c r="AL594" s="66" t="n"/>
      <c r="AM594" s="14">
        <f>AH595/AJ595%</f>
        <v/>
      </c>
      <c r="AN594" s="67">
        <f>AK595-AG595</f>
        <v/>
      </c>
      <c r="AO594" s="68">
        <f>AJ595/L595</f>
        <v/>
      </c>
      <c r="AP594" s="69">
        <f>(AJ595-AB595)/100</f>
        <v/>
      </c>
      <c r="AQ594" s="70">
        <f>(AJ595-AC595)/100</f>
        <v/>
      </c>
      <c r="AR594" s="71">
        <f>AI595/94</f>
        <v/>
      </c>
      <c r="AS594" s="71">
        <f>AJ595/94</f>
        <v/>
      </c>
      <c r="AT594" s="72">
        <f>AI595/24</f>
        <v/>
      </c>
      <c r="AU594" s="72">
        <f>AJ595/24</f>
        <v/>
      </c>
      <c r="AV594" s="73">
        <f>AI595/125</f>
        <v/>
      </c>
      <c r="AW594" s="73">
        <f>AJ595/125</f>
        <v/>
      </c>
    </row>
    <row r="595" ht="15.75" customHeight="1" s="258">
      <c r="A595" s="2" t="n"/>
      <c r="B595" s="2" t="inlineStr">
        <is>
          <t>Black / 5.5 in</t>
        </is>
      </c>
      <c r="C595" s="2" t="inlineStr">
        <is>
          <t>MI-SB-P-SS-BK-5.5</t>
        </is>
      </c>
      <c r="D595" s="118" t="n">
        <v>1150</v>
      </c>
      <c r="E595" s="2" t="n">
        <v>110</v>
      </c>
      <c r="F595" s="2" t="n">
        <v>85</v>
      </c>
      <c r="G595" s="118" t="n">
        <v>83061000</v>
      </c>
      <c r="H595" s="255" t="n">
        <v>0.05</v>
      </c>
      <c r="I595" s="2">
        <f>D596*H596</f>
        <v/>
      </c>
      <c r="K595" s="2" t="n">
        <v>50</v>
      </c>
      <c r="L595" s="4">
        <f>K596+J596+I596+F596+E596+D596</f>
        <v/>
      </c>
      <c r="M595" s="2">
        <f>D596*1%</f>
        <v/>
      </c>
      <c r="N595" s="12">
        <f>L596*8%</f>
        <v/>
      </c>
      <c r="O595" s="12">
        <f>L596*10%</f>
        <v/>
      </c>
      <c r="P595" s="12">
        <f>L596*5%</f>
        <v/>
      </c>
      <c r="Q595" s="12">
        <f>L596*2%</f>
        <v/>
      </c>
      <c r="R595" s="12">
        <f>AC596*0.5%</f>
        <v/>
      </c>
      <c r="S595" s="12">
        <f>L596*1%</f>
        <v/>
      </c>
      <c r="T595" s="60">
        <f>S596+Q596+P596+O596+N596+M596</f>
        <v/>
      </c>
      <c r="U595" s="2">
        <f>AC596*1%</f>
        <v/>
      </c>
      <c r="V595" s="44">
        <f>AC596*5%</f>
        <v/>
      </c>
      <c r="W595" s="2">
        <f>AC596*1%</f>
        <v/>
      </c>
      <c r="X595" s="2">
        <f>AC596*8%</f>
        <v/>
      </c>
      <c r="Y595" s="2">
        <f>U596+V596+W596+X596</f>
        <v/>
      </c>
      <c r="Z595" s="60">
        <f>Y596+T596+L596</f>
        <v/>
      </c>
      <c r="AA595" s="11">
        <f>Z596*20%</f>
        <v/>
      </c>
      <c r="AB595" s="12">
        <f>Z596+AA596</f>
        <v/>
      </c>
      <c r="AC595" s="2">
        <f>D596*2.1</f>
        <v/>
      </c>
      <c r="AD595" s="12">
        <f>AB596-AC596</f>
        <v/>
      </c>
      <c r="AE595" s="12">
        <f>AD596/AB596*100</f>
        <v/>
      </c>
      <c r="AF595" s="92" t="n">
        <v>1995</v>
      </c>
      <c r="AG595" s="62">
        <f>((AF596-L596)/L596)*100</f>
        <v/>
      </c>
      <c r="AH595" s="106">
        <f>AJ596-AF596</f>
        <v/>
      </c>
      <c r="AI595" s="65">
        <f>AB596</f>
        <v/>
      </c>
      <c r="AJ595" s="65" t="n">
        <v>2090</v>
      </c>
      <c r="AK595" s="66">
        <f>(AJ596-L596)/L596*100</f>
        <v/>
      </c>
      <c r="AL595" s="66" t="n"/>
      <c r="AM595" s="14">
        <f>AH596/AJ596%</f>
        <v/>
      </c>
      <c r="AN595" s="67">
        <f>AK596-AG596</f>
        <v/>
      </c>
      <c r="AO595" s="68">
        <f>AJ596/L596</f>
        <v/>
      </c>
      <c r="AP595" s="69">
        <f>(AJ596-AB596)/100</f>
        <v/>
      </c>
      <c r="AQ595" s="70">
        <f>(AJ596-AC596)/100</f>
        <v/>
      </c>
      <c r="AR595" s="71">
        <f>AI596/94</f>
        <v/>
      </c>
      <c r="AS595" s="71">
        <f>AJ596/94</f>
        <v/>
      </c>
      <c r="AT595" s="72">
        <f>AI596/24</f>
        <v/>
      </c>
      <c r="AU595" s="72">
        <f>AJ596/24</f>
        <v/>
      </c>
      <c r="AV595" s="73">
        <f>AI596/125</f>
        <v/>
      </c>
      <c r="AW595" s="73">
        <f>AJ596/125</f>
        <v/>
      </c>
    </row>
    <row r="596" ht="15.75" customHeight="1" s="258">
      <c r="A596" s="76" t="n"/>
      <c r="B596" s="76" t="inlineStr">
        <is>
          <t>3.5 in / Green</t>
        </is>
      </c>
      <c r="C596" s="76" t="inlineStr">
        <is>
          <t>MI-SB-P-SS-G-3.5-1</t>
        </is>
      </c>
      <c r="D596" s="77" t="n">
        <v>575</v>
      </c>
      <c r="E596" s="76" t="n">
        <v>110</v>
      </c>
      <c r="F596" s="76" t="n">
        <v>85</v>
      </c>
      <c r="G596" s="77" t="n">
        <v>83061000</v>
      </c>
      <c r="H596" s="78" t="n">
        <v>0.05</v>
      </c>
      <c r="I596" s="76">
        <f>D597*H597</f>
        <v/>
      </c>
      <c r="J596" s="79" t="n"/>
      <c r="K596" s="76" t="n">
        <v>50</v>
      </c>
      <c r="L596" s="80">
        <f>K597+J597+I597+F597+E597+D597</f>
        <v/>
      </c>
      <c r="M596" s="76">
        <f>D597*1%</f>
        <v/>
      </c>
      <c r="N596" s="81">
        <f>L597*8%</f>
        <v/>
      </c>
      <c r="O596" s="81">
        <f>L597*10%</f>
        <v/>
      </c>
      <c r="P596" s="81">
        <f>L597*5%</f>
        <v/>
      </c>
      <c r="Q596" s="81">
        <f>L597*2%</f>
        <v/>
      </c>
      <c r="R596" s="81">
        <f>AC597*0.5%</f>
        <v/>
      </c>
      <c r="S596" s="81">
        <f>L597*1%</f>
        <v/>
      </c>
      <c r="T596" s="82">
        <f>S597+Q597+P597+O597+N597+M597</f>
        <v/>
      </c>
      <c r="U596" s="76">
        <f>AC597*1%</f>
        <v/>
      </c>
      <c r="V596" s="76">
        <f>AC597*5%</f>
        <v/>
      </c>
      <c r="W596" s="76">
        <f>AC597*1%</f>
        <v/>
      </c>
      <c r="X596" s="76">
        <f>AC597*8%</f>
        <v/>
      </c>
      <c r="Y596" s="76">
        <f>U597+V597+W597+X597</f>
        <v/>
      </c>
      <c r="Z596" s="82">
        <f>Y597+T597+L597</f>
        <v/>
      </c>
      <c r="AA596" s="83">
        <f>Z597*20%</f>
        <v/>
      </c>
      <c r="AB596" s="81">
        <f>Z597+AA597</f>
        <v/>
      </c>
      <c r="AC596" s="76">
        <f>D597*2.1</f>
        <v/>
      </c>
      <c r="AD596" s="81">
        <f>AB597-AC597</f>
        <v/>
      </c>
      <c r="AE596" s="81">
        <f>AD597/AB597*100</f>
        <v/>
      </c>
      <c r="AF596" s="79" t="n">
        <v>1545</v>
      </c>
      <c r="AG596" s="84">
        <f>((AF597-L597)/L597)*100</f>
        <v/>
      </c>
      <c r="AH596" s="86">
        <f>AJ597-AF597</f>
        <v/>
      </c>
      <c r="AI596" s="86">
        <f>AB597</f>
        <v/>
      </c>
      <c r="AJ596" s="86" t="n">
        <v>1690</v>
      </c>
      <c r="AK596" s="87">
        <f>(AJ597-L597)/L597*100</f>
        <v/>
      </c>
      <c r="AL596" s="87" t="n"/>
      <c r="AM596" s="87">
        <f>AH597/AJ597%</f>
        <v/>
      </c>
      <c r="AN596" s="87">
        <f>AK597-AG597</f>
        <v/>
      </c>
      <c r="AO596" s="88">
        <f>AJ597/L597</f>
        <v/>
      </c>
      <c r="AP596" s="87">
        <f>(AJ597-AB597)/100</f>
        <v/>
      </c>
      <c r="AQ596" s="87">
        <f>(AJ597-AC597)/100</f>
        <v/>
      </c>
      <c r="AR596" s="89">
        <f>AI597/94</f>
        <v/>
      </c>
      <c r="AS596" s="89">
        <f>AJ597/94</f>
        <v/>
      </c>
      <c r="AT596" s="90">
        <f>AI597/24</f>
        <v/>
      </c>
      <c r="AU596" s="90">
        <f>AJ597/24</f>
        <v/>
      </c>
      <c r="AV596" s="90">
        <f>AI597/125</f>
        <v/>
      </c>
      <c r="AW596" s="90">
        <f>AJ597/125</f>
        <v/>
      </c>
      <c r="AX596" s="79" t="n"/>
      <c r="AY596" s="79" t="n"/>
    </row>
    <row r="597" ht="15.75" customHeight="1" s="258">
      <c r="A597" s="2" t="n"/>
      <c r="B597" s="2" t="inlineStr">
        <is>
          <t>4 in / Green</t>
        </is>
      </c>
      <c r="C597" s="2" t="inlineStr">
        <is>
          <t>MI-SB-P-SS-G-4</t>
        </is>
      </c>
      <c r="D597" s="118" t="n">
        <v>575</v>
      </c>
      <c r="E597" s="2" t="n">
        <v>110</v>
      </c>
      <c r="F597" s="2" t="n">
        <v>85</v>
      </c>
      <c r="G597" s="118" t="n">
        <v>83061000</v>
      </c>
      <c r="H597" s="255" t="n">
        <v>0.05</v>
      </c>
      <c r="I597" s="2">
        <f>D598*H598</f>
        <v/>
      </c>
      <c r="K597" s="2" t="n">
        <v>50</v>
      </c>
      <c r="L597" s="4">
        <f>K598+J598+I598+F598+E598+D598</f>
        <v/>
      </c>
      <c r="M597" s="2">
        <f>D598*1%</f>
        <v/>
      </c>
      <c r="N597" s="12">
        <f>L598*8%</f>
        <v/>
      </c>
      <c r="O597" s="12">
        <f>L598*10%</f>
        <v/>
      </c>
      <c r="P597" s="12">
        <f>L598*5%</f>
        <v/>
      </c>
      <c r="Q597" s="12">
        <f>L598*2%</f>
        <v/>
      </c>
      <c r="R597" s="12">
        <f>AC598*0.5%</f>
        <v/>
      </c>
      <c r="S597" s="12">
        <f>L598*1%</f>
        <v/>
      </c>
      <c r="T597" s="60">
        <f>S598+Q598+P598+O598+N598+M598</f>
        <v/>
      </c>
      <c r="U597" s="2">
        <f>AC598*1%</f>
        <v/>
      </c>
      <c r="V597" s="44">
        <f>AC598*5%</f>
        <v/>
      </c>
      <c r="W597" s="2">
        <f>AC598*1%</f>
        <v/>
      </c>
      <c r="X597" s="2">
        <f>AC598*8%</f>
        <v/>
      </c>
      <c r="Y597" s="2">
        <f>U598+V598+W598+X598</f>
        <v/>
      </c>
      <c r="Z597" s="60">
        <f>Y598+T598+L598</f>
        <v/>
      </c>
      <c r="AA597" s="11">
        <f>Z598*20%</f>
        <v/>
      </c>
      <c r="AB597" s="12">
        <f>Z598+AA598</f>
        <v/>
      </c>
      <c r="AC597" s="2">
        <f>D598*2.1</f>
        <v/>
      </c>
      <c r="AD597" s="12">
        <f>AB598-AC598</f>
        <v/>
      </c>
      <c r="AE597" s="12">
        <f>AD598/AB598*100</f>
        <v/>
      </c>
      <c r="AF597" s="92" t="n">
        <v>1545</v>
      </c>
      <c r="AG597" s="62">
        <f>((AF598-L598)/L598)*100</f>
        <v/>
      </c>
      <c r="AH597" s="106">
        <f>AJ598-AF598</f>
        <v/>
      </c>
      <c r="AI597" s="65">
        <f>AB598</f>
        <v/>
      </c>
      <c r="AJ597" s="65" t="n">
        <v>1690</v>
      </c>
      <c r="AK597" s="66">
        <f>(AJ598-L598)/L598*100</f>
        <v/>
      </c>
      <c r="AL597" s="66" t="n"/>
      <c r="AM597" s="14">
        <f>AH598/AJ598%</f>
        <v/>
      </c>
      <c r="AN597" s="67">
        <f>AK598-AG598</f>
        <v/>
      </c>
      <c r="AO597" s="68">
        <f>AJ598/L598</f>
        <v/>
      </c>
      <c r="AP597" s="69">
        <f>(AJ598-AB598)/100</f>
        <v/>
      </c>
      <c r="AQ597" s="70">
        <f>(AJ598-AC598)/100</f>
        <v/>
      </c>
      <c r="AR597" s="71">
        <f>AI598/94</f>
        <v/>
      </c>
      <c r="AS597" s="71">
        <f>AJ598/94</f>
        <v/>
      </c>
      <c r="AT597" s="72">
        <f>AI598/24</f>
        <v/>
      </c>
      <c r="AU597" s="72">
        <f>AJ598/24</f>
        <v/>
      </c>
      <c r="AV597" s="73">
        <f>AI598/125</f>
        <v/>
      </c>
      <c r="AW597" s="73">
        <f>AJ598/125</f>
        <v/>
      </c>
    </row>
    <row r="598" ht="15.75" customHeight="1" s="258">
      <c r="A598" s="2" t="n"/>
      <c r="B598" s="2" t="inlineStr">
        <is>
          <t>5.5 in / Green</t>
        </is>
      </c>
      <c r="C598" s="2" t="inlineStr">
        <is>
          <t>MI-SB-P-SS-G-5.5</t>
        </is>
      </c>
      <c r="D598" s="118" t="n">
        <v>1150</v>
      </c>
      <c r="E598" s="2" t="n">
        <v>110</v>
      </c>
      <c r="F598" s="2" t="n">
        <v>85</v>
      </c>
      <c r="G598" s="118" t="n">
        <v>83061000</v>
      </c>
      <c r="H598" s="255" t="n">
        <v>0.05</v>
      </c>
      <c r="I598" s="2">
        <f>D599*H599</f>
        <v/>
      </c>
      <c r="K598" s="2" t="n">
        <v>50</v>
      </c>
      <c r="L598" s="4">
        <f>K599+J599+I599+F599+E599+D599</f>
        <v/>
      </c>
      <c r="M598" s="2">
        <f>D599*1%</f>
        <v/>
      </c>
      <c r="N598" s="12">
        <f>L599*8%</f>
        <v/>
      </c>
      <c r="O598" s="12">
        <f>L599*10%</f>
        <v/>
      </c>
      <c r="P598" s="12">
        <f>L599*5%</f>
        <v/>
      </c>
      <c r="Q598" s="12">
        <f>L599*2%</f>
        <v/>
      </c>
      <c r="R598" s="12">
        <f>AC599*0.5%</f>
        <v/>
      </c>
      <c r="S598" s="12">
        <f>L599*1%</f>
        <v/>
      </c>
      <c r="T598" s="60">
        <f>S599+Q599+P599+O599+N599+M599</f>
        <v/>
      </c>
      <c r="U598" s="2">
        <f>AC599*1%</f>
        <v/>
      </c>
      <c r="V598" s="44">
        <f>AC599*5%</f>
        <v/>
      </c>
      <c r="W598" s="2">
        <f>AC599*1%</f>
        <v/>
      </c>
      <c r="X598" s="2">
        <f>AC599*8%</f>
        <v/>
      </c>
      <c r="Y598" s="2">
        <f>U599+V599+W599+X599</f>
        <v/>
      </c>
      <c r="Z598" s="60">
        <f>Y599+T599+L599</f>
        <v/>
      </c>
      <c r="AA598" s="11">
        <f>Z599*20%</f>
        <v/>
      </c>
      <c r="AB598" s="12">
        <f>Z599+AA599</f>
        <v/>
      </c>
      <c r="AC598" s="2">
        <f>D599*2.1</f>
        <v/>
      </c>
      <c r="AD598" s="12">
        <f>AB599-AC599</f>
        <v/>
      </c>
      <c r="AE598" s="12">
        <f>AD599/AB599*100</f>
        <v/>
      </c>
      <c r="AF598" s="92" t="n">
        <v>1995</v>
      </c>
      <c r="AG598" s="62">
        <f>((AF599-L599)/L599)*100</f>
        <v/>
      </c>
      <c r="AH598" s="106">
        <f>AJ599-AF599</f>
        <v/>
      </c>
      <c r="AI598" s="65">
        <f>AB599</f>
        <v/>
      </c>
      <c r="AJ598" s="65" t="n">
        <v>2090</v>
      </c>
      <c r="AK598" s="66">
        <f>(AJ599-L599)/L599*100</f>
        <v/>
      </c>
      <c r="AL598" s="66" t="n"/>
      <c r="AM598" s="14">
        <f>AH599/AJ599%</f>
        <v/>
      </c>
      <c r="AN598" s="67">
        <f>AK599-AG599</f>
        <v/>
      </c>
      <c r="AO598" s="68">
        <f>AJ599/L599</f>
        <v/>
      </c>
      <c r="AP598" s="69">
        <f>(AJ599-AB599)/100</f>
        <v/>
      </c>
      <c r="AQ598" s="70">
        <f>(AJ599-AC599)/100</f>
        <v/>
      </c>
      <c r="AR598" s="71">
        <f>AI599/94</f>
        <v/>
      </c>
      <c r="AS598" s="71">
        <f>AJ599/94</f>
        <v/>
      </c>
      <c r="AT598" s="72">
        <f>AI599/24</f>
        <v/>
      </c>
      <c r="AU598" s="72">
        <f>AJ599/24</f>
        <v/>
      </c>
      <c r="AV598" s="73">
        <f>AI599/125</f>
        <v/>
      </c>
      <c r="AW598" s="73">
        <f>AJ599/125</f>
        <v/>
      </c>
    </row>
    <row r="599" ht="15.75" customHeight="1" s="258">
      <c r="A599" s="2" t="n"/>
      <c r="B599" s="2" t="inlineStr">
        <is>
          <t>Red / 3.5 in</t>
        </is>
      </c>
      <c r="C599" s="2" t="inlineStr">
        <is>
          <t>MI-SB-P-SS-R-3.5</t>
        </is>
      </c>
      <c r="D599" s="118" t="n">
        <v>350</v>
      </c>
      <c r="E599" s="2" t="n">
        <v>110</v>
      </c>
      <c r="F599" s="2" t="n">
        <v>85</v>
      </c>
      <c r="G599" s="118" t="n">
        <v>83061000</v>
      </c>
      <c r="H599" s="255" t="n">
        <v>0.05</v>
      </c>
      <c r="I599" s="2">
        <f>D600*H600</f>
        <v/>
      </c>
      <c r="K599" s="2" t="n">
        <v>50</v>
      </c>
      <c r="L599" s="4">
        <f>K600+J600+I600+F600+E600+D600</f>
        <v/>
      </c>
      <c r="M599" s="2">
        <f>D600*1%</f>
        <v/>
      </c>
      <c r="N599" s="12">
        <f>L600*8%</f>
        <v/>
      </c>
      <c r="O599" s="12">
        <f>L600*10%</f>
        <v/>
      </c>
      <c r="P599" s="12">
        <f>L600*5%</f>
        <v/>
      </c>
      <c r="Q599" s="12">
        <f>L600*2%</f>
        <v/>
      </c>
      <c r="R599" s="12">
        <f>AC600*0.5%</f>
        <v/>
      </c>
      <c r="S599" s="12">
        <f>L600*1%</f>
        <v/>
      </c>
      <c r="T599" s="60">
        <f>S600+Q600+P600+O600+N600+M600</f>
        <v/>
      </c>
      <c r="U599" s="2">
        <f>AC600*1%</f>
        <v/>
      </c>
      <c r="V599" s="44">
        <f>AC600*5%</f>
        <v/>
      </c>
      <c r="W599" s="2">
        <f>AC600*1%</f>
        <v/>
      </c>
      <c r="X599" s="2">
        <f>AC600*8%</f>
        <v/>
      </c>
      <c r="Y599" s="2">
        <f>U600+V600+W600+X600</f>
        <v/>
      </c>
      <c r="Z599" s="60">
        <f>Y600+T600+L600</f>
        <v/>
      </c>
      <c r="AA599" s="11">
        <f>Z600*20%</f>
        <v/>
      </c>
      <c r="AB599" s="12">
        <f>Z600+AA600</f>
        <v/>
      </c>
      <c r="AC599" s="2">
        <f>D600*2.1</f>
        <v/>
      </c>
      <c r="AD599" s="12">
        <f>AB600-AC600</f>
        <v/>
      </c>
      <c r="AE599" s="12">
        <f>AD600/AB600*100</f>
        <v/>
      </c>
      <c r="AF599" s="92" t="n">
        <v>1295</v>
      </c>
      <c r="AG599" s="62">
        <f>((AF600-L600)/L600)*100</f>
        <v/>
      </c>
      <c r="AH599" s="106">
        <f>AJ600-AF600</f>
        <v/>
      </c>
      <c r="AI599" s="65">
        <f>AB600</f>
        <v/>
      </c>
      <c r="AJ599" s="65" t="n">
        <v>1390</v>
      </c>
      <c r="AK599" s="66">
        <f>(AJ600-L600)/L600*100</f>
        <v/>
      </c>
      <c r="AL599" s="66" t="n"/>
      <c r="AM599" s="14">
        <f>AH600/AJ600%</f>
        <v/>
      </c>
      <c r="AN599" s="67">
        <f>AK600-AG600</f>
        <v/>
      </c>
      <c r="AO599" s="68">
        <f>AJ600/L600</f>
        <v/>
      </c>
      <c r="AP599" s="69">
        <f>(AJ600-AB600)/100</f>
        <v/>
      </c>
      <c r="AQ599" s="70">
        <f>(AJ600-AC600)/100</f>
        <v/>
      </c>
      <c r="AR599" s="71">
        <f>AI600/94</f>
        <v/>
      </c>
      <c r="AS599" s="71">
        <f>AJ600/94</f>
        <v/>
      </c>
      <c r="AT599" s="72">
        <f>AI600/24</f>
        <v/>
      </c>
      <c r="AU599" s="72">
        <f>AJ600/24</f>
        <v/>
      </c>
      <c r="AV599" s="73">
        <f>AI600/125</f>
        <v/>
      </c>
      <c r="AW599" s="73">
        <f>AJ600/125</f>
        <v/>
      </c>
    </row>
    <row r="600" ht="15.75" customHeight="1" s="258">
      <c r="A600" s="2" t="n"/>
      <c r="B600" s="2" t="inlineStr">
        <is>
          <t>Red / 4 in</t>
        </is>
      </c>
      <c r="C600" s="2" t="inlineStr">
        <is>
          <t>MI-SB-P-SS-R-4</t>
        </is>
      </c>
      <c r="D600" s="118" t="n">
        <v>575</v>
      </c>
      <c r="E600" s="2" t="n">
        <v>110</v>
      </c>
      <c r="F600" s="2" t="n">
        <v>85</v>
      </c>
      <c r="G600" s="118" t="n">
        <v>83061000</v>
      </c>
      <c r="H600" s="255" t="n">
        <v>0.05</v>
      </c>
      <c r="I600" s="2">
        <f>D601*H601</f>
        <v/>
      </c>
      <c r="K600" s="2" t="n">
        <v>50</v>
      </c>
      <c r="L600" s="4">
        <f>K601+J601+I601+F601+E601+D601</f>
        <v/>
      </c>
      <c r="M600" s="2">
        <f>D601*1%</f>
        <v/>
      </c>
      <c r="N600" s="12">
        <f>L601*8%</f>
        <v/>
      </c>
      <c r="O600" s="12">
        <f>L601*10%</f>
        <v/>
      </c>
      <c r="P600" s="12">
        <f>L601*5%</f>
        <v/>
      </c>
      <c r="Q600" s="12">
        <f>L601*2%</f>
        <v/>
      </c>
      <c r="R600" s="12">
        <f>AC601*0.5%</f>
        <v/>
      </c>
      <c r="S600" s="12">
        <f>L601*1%</f>
        <v/>
      </c>
      <c r="T600" s="60">
        <f>S601+Q601+P601+O601+N601+M601</f>
        <v/>
      </c>
      <c r="U600" s="2">
        <f>AC601*1%</f>
        <v/>
      </c>
      <c r="V600" s="44">
        <f>AC601*5%</f>
        <v/>
      </c>
      <c r="W600" s="2">
        <f>AC601*1%</f>
        <v/>
      </c>
      <c r="X600" s="2">
        <f>AC601*8%</f>
        <v/>
      </c>
      <c r="Y600" s="2">
        <f>U601+V601+W601+X601</f>
        <v/>
      </c>
      <c r="Z600" s="60">
        <f>Y601+T601+L601</f>
        <v/>
      </c>
      <c r="AA600" s="11">
        <f>Z601*20%</f>
        <v/>
      </c>
      <c r="AB600" s="12">
        <f>Z601+AA601</f>
        <v/>
      </c>
      <c r="AC600" s="2">
        <f>D601*2.1</f>
        <v/>
      </c>
      <c r="AD600" s="12">
        <f>AB601-AC601</f>
        <v/>
      </c>
      <c r="AE600" s="12">
        <f>AD601/AB601*100</f>
        <v/>
      </c>
      <c r="AF600" s="92" t="n">
        <v>1545</v>
      </c>
      <c r="AG600" s="62">
        <f>((AF601-L601)/L601)*100</f>
        <v/>
      </c>
      <c r="AH600" s="106">
        <f>AJ601-AF601</f>
        <v/>
      </c>
      <c r="AI600" s="65">
        <f>AB601</f>
        <v/>
      </c>
      <c r="AJ600" s="65" t="n">
        <v>1690</v>
      </c>
      <c r="AK600" s="66">
        <f>(AJ601-L601)/L601*100</f>
        <v/>
      </c>
      <c r="AL600" s="66" t="n"/>
      <c r="AM600" s="14">
        <f>AH601/AJ601%</f>
        <v/>
      </c>
      <c r="AN600" s="67">
        <f>AK601-AG601</f>
        <v/>
      </c>
      <c r="AO600" s="68">
        <f>AJ601/L601</f>
        <v/>
      </c>
      <c r="AP600" s="69">
        <f>(AJ601-AB601)/100</f>
        <v/>
      </c>
      <c r="AQ600" s="70">
        <f>(AJ601-AC601)/100</f>
        <v/>
      </c>
      <c r="AR600" s="71">
        <f>AI601/94</f>
        <v/>
      </c>
      <c r="AS600" s="71">
        <f>AJ601/94</f>
        <v/>
      </c>
      <c r="AT600" s="72">
        <f>AI601/24</f>
        <v/>
      </c>
      <c r="AU600" s="72">
        <f>AJ601/24</f>
        <v/>
      </c>
      <c r="AV600" s="73">
        <f>AI601/125</f>
        <v/>
      </c>
      <c r="AW600" s="73">
        <f>AJ601/125</f>
        <v/>
      </c>
    </row>
    <row r="601" ht="15.75" customHeight="1" s="258">
      <c r="A601" s="2" t="n"/>
      <c r="B601" s="2" t="inlineStr">
        <is>
          <t>Red / 5.5 in</t>
        </is>
      </c>
      <c r="C601" s="2" t="inlineStr">
        <is>
          <t>MI-SB-P-SS-R-5.5</t>
        </is>
      </c>
      <c r="D601" s="118" t="n">
        <v>1150</v>
      </c>
      <c r="E601" s="2" t="n">
        <v>110</v>
      </c>
      <c r="F601" s="2" t="n">
        <v>85</v>
      </c>
      <c r="G601" s="118" t="n">
        <v>83061000</v>
      </c>
      <c r="H601" s="255" t="n">
        <v>0.05</v>
      </c>
      <c r="I601" s="2">
        <f>D602*H602</f>
        <v/>
      </c>
      <c r="K601" s="2" t="n">
        <v>50</v>
      </c>
      <c r="L601" s="4">
        <f>K602+J602+I602+F602+E602+D602</f>
        <v/>
      </c>
      <c r="M601" s="2">
        <f>D602*1%</f>
        <v/>
      </c>
      <c r="N601" s="12">
        <f>L602*8%</f>
        <v/>
      </c>
      <c r="O601" s="12">
        <f>L602*10%</f>
        <v/>
      </c>
      <c r="P601" s="12">
        <f>L602*5%</f>
        <v/>
      </c>
      <c r="Q601" s="12">
        <f>L602*2%</f>
        <v/>
      </c>
      <c r="R601" s="12">
        <f>AC602*0.5%</f>
        <v/>
      </c>
      <c r="S601" s="12">
        <f>L602*1%</f>
        <v/>
      </c>
      <c r="T601" s="60">
        <f>S602+Q602+P602+O602+N602+M602</f>
        <v/>
      </c>
      <c r="U601" s="2">
        <f>AC602*1%</f>
        <v/>
      </c>
      <c r="V601" s="44">
        <f>AC602*5%</f>
        <v/>
      </c>
      <c r="W601" s="2">
        <f>AC602*1%</f>
        <v/>
      </c>
      <c r="X601" s="2">
        <f>AC602*8%</f>
        <v/>
      </c>
      <c r="Y601" s="2">
        <f>U602+V602+W602+X602</f>
        <v/>
      </c>
      <c r="Z601" s="60">
        <f>Y602+T602+L602</f>
        <v/>
      </c>
      <c r="AA601" s="11">
        <f>Z602*20%</f>
        <v/>
      </c>
      <c r="AB601" s="12">
        <f>Z602+AA602</f>
        <v/>
      </c>
      <c r="AC601" s="2">
        <f>D602*2.1</f>
        <v/>
      </c>
      <c r="AD601" s="12">
        <f>AB602-AC602</f>
        <v/>
      </c>
      <c r="AE601" s="12">
        <f>AD602/AB602*100</f>
        <v/>
      </c>
      <c r="AF601" s="92" t="n">
        <v>1995</v>
      </c>
      <c r="AG601" s="62">
        <f>((AF602-L602)/L602)*100</f>
        <v/>
      </c>
      <c r="AH601" s="106">
        <f>AJ602-AF602</f>
        <v/>
      </c>
      <c r="AI601" s="65">
        <f>AB602</f>
        <v/>
      </c>
      <c r="AJ601" s="65" t="n">
        <v>2090</v>
      </c>
      <c r="AK601" s="66">
        <f>(AJ602-L602)/L602*100</f>
        <v/>
      </c>
      <c r="AL601" s="66" t="n"/>
      <c r="AM601" s="14">
        <f>AH602/AJ602%</f>
        <v/>
      </c>
      <c r="AN601" s="67">
        <f>AK602-AG602</f>
        <v/>
      </c>
      <c r="AO601" s="68">
        <f>AJ602/L602</f>
        <v/>
      </c>
      <c r="AP601" s="69">
        <f>(AJ602-AB602)/100</f>
        <v/>
      </c>
      <c r="AQ601" s="70">
        <f>(AJ602-AC602)/100</f>
        <v/>
      </c>
      <c r="AR601" s="71">
        <f>AI602/94</f>
        <v/>
      </c>
      <c r="AS601" s="71">
        <f>AJ602/94</f>
        <v/>
      </c>
      <c r="AT601" s="72">
        <f>AI602/24</f>
        <v/>
      </c>
      <c r="AU601" s="72">
        <f>AJ602/24</f>
        <v/>
      </c>
      <c r="AV601" s="73">
        <f>AI602/125</f>
        <v/>
      </c>
      <c r="AW601" s="73">
        <f>AJ602/125</f>
        <v/>
      </c>
    </row>
    <row r="602" ht="15.75" customHeight="1" s="258">
      <c r="A602" s="2" t="n"/>
      <c r="B602" s="2" t="inlineStr">
        <is>
          <t>Yellow / 3.5 in</t>
        </is>
      </c>
      <c r="C602" s="2" t="inlineStr">
        <is>
          <t>MI-SB-P-SS-Y-3.5</t>
        </is>
      </c>
      <c r="D602" s="118" t="n">
        <v>350</v>
      </c>
      <c r="E602" s="2" t="n">
        <v>110</v>
      </c>
      <c r="F602" s="2" t="n">
        <v>85</v>
      </c>
      <c r="G602" s="118" t="n">
        <v>83061000</v>
      </c>
      <c r="H602" s="255" t="n">
        <v>0.05</v>
      </c>
      <c r="I602" s="2">
        <f>D603*H603</f>
        <v/>
      </c>
      <c r="K602" s="2" t="n">
        <v>50</v>
      </c>
      <c r="L602" s="4">
        <f>K603+J603+I603+F603+E603+D603</f>
        <v/>
      </c>
      <c r="M602" s="2">
        <f>D603*1%</f>
        <v/>
      </c>
      <c r="N602" s="12">
        <f>L603*8%</f>
        <v/>
      </c>
      <c r="O602" s="12">
        <f>L603*10%</f>
        <v/>
      </c>
      <c r="P602" s="12">
        <f>L603*5%</f>
        <v/>
      </c>
      <c r="Q602" s="12">
        <f>L603*2%</f>
        <v/>
      </c>
      <c r="R602" s="12">
        <f>AC603*0.5%</f>
        <v/>
      </c>
      <c r="S602" s="12">
        <f>L603*1%</f>
        <v/>
      </c>
      <c r="T602" s="60">
        <f>S603+Q603+P603+O603+N603+M603</f>
        <v/>
      </c>
      <c r="U602" s="2">
        <f>AC603*1%</f>
        <v/>
      </c>
      <c r="V602" s="44">
        <f>AC603*5%</f>
        <v/>
      </c>
      <c r="W602" s="2">
        <f>AC603*1%</f>
        <v/>
      </c>
      <c r="X602" s="2">
        <f>AC603*8%</f>
        <v/>
      </c>
      <c r="Y602" s="2">
        <f>U603+V603+W603+X603</f>
        <v/>
      </c>
      <c r="Z602" s="60">
        <f>Y603+T603+L603</f>
        <v/>
      </c>
      <c r="AA602" s="11">
        <f>Z603*20%</f>
        <v/>
      </c>
      <c r="AB602" s="12">
        <f>Z603+AA603</f>
        <v/>
      </c>
      <c r="AC602" s="2">
        <f>D603*2.1</f>
        <v/>
      </c>
      <c r="AD602" s="12">
        <f>AB603-AC603</f>
        <v/>
      </c>
      <c r="AE602" s="12">
        <f>AD603/AB603*100</f>
        <v/>
      </c>
      <c r="AF602" s="92" t="n">
        <v>1295</v>
      </c>
      <c r="AG602" s="62">
        <f>((AF603-L603)/L603)*100</f>
        <v/>
      </c>
      <c r="AH602" s="106">
        <f>AJ603-AF603</f>
        <v/>
      </c>
      <c r="AI602" s="65" t="n">
        <v>1390</v>
      </c>
      <c r="AJ602" s="65" t="n">
        <v>1390</v>
      </c>
      <c r="AK602" s="66">
        <f>(AJ603-L603)/L603*100</f>
        <v/>
      </c>
      <c r="AL602" s="66" t="n"/>
      <c r="AM602" s="14">
        <f>AH603/AJ603%</f>
        <v/>
      </c>
      <c r="AN602" s="67">
        <f>AK603-AG603</f>
        <v/>
      </c>
      <c r="AO602" s="68">
        <f>AJ603/L603</f>
        <v/>
      </c>
      <c r="AP602" s="69">
        <f>(AJ603-AB603)/100</f>
        <v/>
      </c>
      <c r="AQ602" s="70">
        <f>(AJ603-AC603)/100</f>
        <v/>
      </c>
      <c r="AR602" s="71">
        <f>AI603/94</f>
        <v/>
      </c>
      <c r="AS602" s="71">
        <f>AJ603/94</f>
        <v/>
      </c>
      <c r="AT602" s="72">
        <f>AI603/24</f>
        <v/>
      </c>
      <c r="AU602" s="72">
        <f>AJ603/24</f>
        <v/>
      </c>
      <c r="AV602" s="73">
        <f>AI603/125</f>
        <v/>
      </c>
      <c r="AW602" s="73">
        <f>AJ603/125</f>
        <v/>
      </c>
    </row>
    <row r="603" ht="15.75" customHeight="1" s="258">
      <c r="A603" s="2" t="n"/>
      <c r="B603" s="2" t="inlineStr">
        <is>
          <t>Yellow / 4 in</t>
        </is>
      </c>
      <c r="C603" s="2" t="inlineStr">
        <is>
          <t>MI-SB-P-SS-Y-4</t>
        </is>
      </c>
      <c r="D603" s="118" t="n">
        <v>575</v>
      </c>
      <c r="E603" s="2" t="n">
        <v>110</v>
      </c>
      <c r="F603" s="2" t="n">
        <v>85</v>
      </c>
      <c r="G603" s="118" t="n">
        <v>83061000</v>
      </c>
      <c r="H603" s="255" t="n">
        <v>0.05</v>
      </c>
      <c r="I603" s="2">
        <f>D604*H604</f>
        <v/>
      </c>
      <c r="K603" s="2" t="n">
        <v>50</v>
      </c>
      <c r="L603" s="4">
        <f>K604+J604+I604+F604+E604+D604</f>
        <v/>
      </c>
      <c r="M603" s="2">
        <f>D604*1%</f>
        <v/>
      </c>
      <c r="N603" s="12">
        <f>L604*8%</f>
        <v/>
      </c>
      <c r="O603" s="12">
        <f>L604*10%</f>
        <v/>
      </c>
      <c r="P603" s="12">
        <f>L604*5%</f>
        <v/>
      </c>
      <c r="Q603" s="12">
        <f>L604*2%</f>
        <v/>
      </c>
      <c r="R603" s="12">
        <f>AC604*0.5%</f>
        <v/>
      </c>
      <c r="S603" s="12">
        <f>L604*1%</f>
        <v/>
      </c>
      <c r="T603" s="60">
        <f>S604+Q604+P604+O604+N604+M604</f>
        <v/>
      </c>
      <c r="U603" s="2">
        <f>AC604*1%</f>
        <v/>
      </c>
      <c r="V603" s="44">
        <f>AC604*5%</f>
        <v/>
      </c>
      <c r="W603" s="2">
        <f>AC604*1%</f>
        <v/>
      </c>
      <c r="X603" s="2">
        <f>AC604*8%</f>
        <v/>
      </c>
      <c r="Y603" s="2">
        <f>U604+V604+W604+X604</f>
        <v/>
      </c>
      <c r="Z603" s="60">
        <f>Y604+T604+L604</f>
        <v/>
      </c>
      <c r="AA603" s="11">
        <f>Z604*20%</f>
        <v/>
      </c>
      <c r="AB603" s="12">
        <f>Z604+AA604</f>
        <v/>
      </c>
      <c r="AC603" s="2">
        <f>D604*2.1</f>
        <v/>
      </c>
      <c r="AD603" s="12">
        <f>AB604-AC604</f>
        <v/>
      </c>
      <c r="AE603" s="12">
        <f>AD604/AB604*100</f>
        <v/>
      </c>
      <c r="AF603" s="92" t="n">
        <v>1545</v>
      </c>
      <c r="AG603" s="62">
        <f>((AF604-L604)/L604)*100</f>
        <v/>
      </c>
      <c r="AH603" s="106">
        <f>AJ604-AF604</f>
        <v/>
      </c>
      <c r="AI603" s="65" t="n">
        <v>1790</v>
      </c>
      <c r="AJ603" s="65" t="n">
        <v>1690</v>
      </c>
      <c r="AK603" s="66">
        <f>(AJ604-L604)/L604*100</f>
        <v/>
      </c>
      <c r="AL603" s="66" t="n"/>
      <c r="AM603" s="14">
        <f>AH604/AJ604%</f>
        <v/>
      </c>
      <c r="AN603" s="67">
        <f>AK604-AG604</f>
        <v/>
      </c>
      <c r="AO603" s="68">
        <f>AJ604/L604</f>
        <v/>
      </c>
      <c r="AP603" s="69">
        <f>(AJ604-AB604)/100</f>
        <v/>
      </c>
      <c r="AQ603" s="70">
        <f>(AJ604-AC604)/100</f>
        <v/>
      </c>
      <c r="AR603" s="71">
        <f>AI604/94</f>
        <v/>
      </c>
      <c r="AS603" s="71">
        <f>AJ604/94</f>
        <v/>
      </c>
      <c r="AT603" s="72">
        <f>AI604/24</f>
        <v/>
      </c>
      <c r="AU603" s="72">
        <f>AJ604/24</f>
        <v/>
      </c>
      <c r="AV603" s="73">
        <f>AI604/125</f>
        <v/>
      </c>
      <c r="AW603" s="73">
        <f>AJ604/125</f>
        <v/>
      </c>
    </row>
    <row r="604" ht="15.75" customHeight="1" s="258">
      <c r="A604" s="2" t="n"/>
      <c r="B604" s="2" t="inlineStr">
        <is>
          <t>Yellow / 5.5 in</t>
        </is>
      </c>
      <c r="C604" s="2" t="inlineStr">
        <is>
          <t>MI-SB-P-SS-Y-5.5</t>
        </is>
      </c>
      <c r="D604" s="118" t="n">
        <v>1150</v>
      </c>
      <c r="E604" s="2" t="n">
        <v>110</v>
      </c>
      <c r="F604" s="2" t="n">
        <v>85</v>
      </c>
      <c r="G604" s="118" t="n">
        <v>83061000</v>
      </c>
      <c r="H604" s="255" t="n">
        <v>0.05</v>
      </c>
      <c r="I604" s="2">
        <f>D605*H605</f>
        <v/>
      </c>
      <c r="K604" s="2" t="n">
        <v>50</v>
      </c>
      <c r="L604" s="4">
        <f>K605+J605+I605+F605+E605+D605</f>
        <v/>
      </c>
      <c r="M604" s="2">
        <f>D605*1%</f>
        <v/>
      </c>
      <c r="N604" s="12">
        <f>L605*8%</f>
        <v/>
      </c>
      <c r="O604" s="12">
        <f>L605*10%</f>
        <v/>
      </c>
      <c r="P604" s="12">
        <f>L605*5%</f>
        <v/>
      </c>
      <c r="Q604" s="12">
        <f>L605*2%</f>
        <v/>
      </c>
      <c r="R604" s="12">
        <f>AC605*0.5%</f>
        <v/>
      </c>
      <c r="S604" s="12">
        <f>L605*1%</f>
        <v/>
      </c>
      <c r="T604" s="60">
        <f>S605+Q605+P605+O605+N605+M605</f>
        <v/>
      </c>
      <c r="U604" s="2">
        <f>AC605*1%</f>
        <v/>
      </c>
      <c r="V604" s="44">
        <f>AC605*5%</f>
        <v/>
      </c>
      <c r="W604" s="2">
        <f>AC605*1%</f>
        <v/>
      </c>
      <c r="X604" s="2">
        <f>AC605*8%</f>
        <v/>
      </c>
      <c r="Y604" s="2">
        <f>U605+V605+W605+X605</f>
        <v/>
      </c>
      <c r="Z604" s="60">
        <f>Y605+T605+L605</f>
        <v/>
      </c>
      <c r="AA604" s="11">
        <f>Z605*20%</f>
        <v/>
      </c>
      <c r="AB604" s="12">
        <f>Z605+AA605</f>
        <v/>
      </c>
      <c r="AC604" s="2">
        <f>D605*2.1</f>
        <v/>
      </c>
      <c r="AD604" s="12">
        <f>AB605-AC605</f>
        <v/>
      </c>
      <c r="AE604" s="12">
        <f>AD605/AB605*100</f>
        <v/>
      </c>
      <c r="AF604" s="92" t="n">
        <v>1995</v>
      </c>
      <c r="AG604" s="62">
        <f>((AF605-L605)/L605)*100</f>
        <v/>
      </c>
      <c r="AH604" s="106">
        <f>AJ605-AF605</f>
        <v/>
      </c>
      <c r="AI604" s="65">
        <f>AB605</f>
        <v/>
      </c>
      <c r="AJ604" s="65" t="n">
        <v>2090</v>
      </c>
      <c r="AK604" s="66">
        <f>(AJ605-L605)/L605*100</f>
        <v/>
      </c>
      <c r="AL604" s="66" t="n"/>
      <c r="AM604" s="14">
        <f>AH605/AJ605%</f>
        <v/>
      </c>
      <c r="AN604" s="67">
        <f>AK605-AG605</f>
        <v/>
      </c>
      <c r="AO604" s="68">
        <f>AJ605/L605</f>
        <v/>
      </c>
      <c r="AP604" s="69">
        <f>(AJ605-AB605)/100</f>
        <v/>
      </c>
      <c r="AQ604" s="70">
        <f>(AJ605-AC605)/100</f>
        <v/>
      </c>
      <c r="AR604" s="71">
        <f>AI605/94</f>
        <v/>
      </c>
      <c r="AS604" s="71">
        <f>AJ605/94</f>
        <v/>
      </c>
      <c r="AT604" s="72">
        <f>AI605/24</f>
        <v/>
      </c>
      <c r="AU604" s="72">
        <f>AJ605/24</f>
        <v/>
      </c>
      <c r="AV604" s="73">
        <f>AI605/125</f>
        <v/>
      </c>
      <c r="AW604" s="73">
        <f>AJ605/125</f>
        <v/>
      </c>
    </row>
    <row r="605" ht="15.75" customHeight="1" s="258">
      <c r="A605" s="2" t="inlineStr">
        <is>
          <t>Shamanic Drum</t>
        </is>
      </c>
      <c r="B605" s="2" t="inlineStr">
        <is>
          <t>Plain / 30 cms</t>
        </is>
      </c>
      <c r="C605" s="2" t="inlineStr">
        <is>
          <t>MI-SD-P-30</t>
        </is>
      </c>
      <c r="D605" s="121" t="n">
        <v>1200</v>
      </c>
      <c r="E605" s="92" t="n">
        <v>105</v>
      </c>
      <c r="F605" s="2" t="n">
        <v>145</v>
      </c>
      <c r="G605" s="118" t="n">
        <v>44201900</v>
      </c>
      <c r="H605" s="255" t="n">
        <v>0.05</v>
      </c>
      <c r="I605" s="2">
        <f>D606*H606</f>
        <v/>
      </c>
      <c r="J605" s="2">
        <f>D606*5%</f>
        <v/>
      </c>
      <c r="K605" s="2" t="n">
        <v>500</v>
      </c>
      <c r="L605" s="4">
        <f>K606+J606+I606+F606+E606+D606</f>
        <v/>
      </c>
      <c r="M605" s="2">
        <f>D606*1%</f>
        <v/>
      </c>
      <c r="N605" s="12">
        <f>L606*8%</f>
        <v/>
      </c>
      <c r="O605" s="12">
        <f>L606*10%</f>
        <v/>
      </c>
      <c r="P605" s="12">
        <f>L606*5%</f>
        <v/>
      </c>
      <c r="Q605" s="12">
        <f>L606*2%</f>
        <v/>
      </c>
      <c r="R605" s="12">
        <f>AC606*0.5%</f>
        <v/>
      </c>
      <c r="S605" s="12">
        <f>L606*1%</f>
        <v/>
      </c>
      <c r="T605" s="60">
        <f>S606+Q606+P606+O606+N606+M606</f>
        <v/>
      </c>
      <c r="U605" s="2">
        <f>AC606*1%</f>
        <v/>
      </c>
      <c r="V605" s="44">
        <f>AC606*5%</f>
        <v/>
      </c>
      <c r="W605" s="2">
        <f>AC606*1%</f>
        <v/>
      </c>
      <c r="X605" s="2">
        <f>AC606*8%</f>
        <v/>
      </c>
      <c r="Y605" s="2">
        <f>U606+V606+W606+X606</f>
        <v/>
      </c>
      <c r="Z605" s="60">
        <f>Y606+T606+L606</f>
        <v/>
      </c>
      <c r="AA605" s="11">
        <f>Z606*20%</f>
        <v/>
      </c>
      <c r="AB605" s="12">
        <f>Z606+AA606</f>
        <v/>
      </c>
      <c r="AC605" s="2">
        <f>D606*2.1</f>
        <v/>
      </c>
      <c r="AD605" s="12">
        <f>AB606-AC606</f>
        <v/>
      </c>
      <c r="AE605" s="12">
        <f>AD606/AB606*100</f>
        <v/>
      </c>
      <c r="AF605" s="92" t="n">
        <v>4650</v>
      </c>
      <c r="AG605" s="62">
        <f>((AF606-L606)/L606)*100</f>
        <v/>
      </c>
      <c r="AH605" s="106">
        <f>AJ606-AF606</f>
        <v/>
      </c>
      <c r="AI605" s="65" t="n">
        <v>5190</v>
      </c>
      <c r="AJ605" s="65" t="n">
        <v>5290</v>
      </c>
      <c r="AK605" s="66">
        <f>(AJ606-L606)/L606*100</f>
        <v/>
      </c>
      <c r="AL605" s="66" t="n"/>
      <c r="AM605" s="14">
        <f>AH606/AJ606%</f>
        <v/>
      </c>
      <c r="AN605" s="67">
        <f>AK606-AG606</f>
        <v/>
      </c>
      <c r="AO605" s="68">
        <f>AJ606/L606</f>
        <v/>
      </c>
      <c r="AP605" s="69">
        <f>(AJ606-AB606)/100</f>
        <v/>
      </c>
      <c r="AQ605" s="70">
        <f>(AJ606-AC606)/100</f>
        <v/>
      </c>
      <c r="AR605" s="71">
        <f>AI606/94</f>
        <v/>
      </c>
      <c r="AS605" s="71">
        <f>AJ606/94</f>
        <v/>
      </c>
      <c r="AT605" s="72">
        <f>AI606/24</f>
        <v/>
      </c>
      <c r="AU605" s="72">
        <f>AJ606/24</f>
        <v/>
      </c>
      <c r="AV605" s="73">
        <f>AI606/125</f>
        <v/>
      </c>
      <c r="AW605" s="73">
        <f>AJ606/125</f>
        <v/>
      </c>
    </row>
    <row r="606" ht="15" customHeight="1" s="258">
      <c r="A606" s="2" t="n"/>
      <c r="B606" s="2" t="inlineStr">
        <is>
          <t>30 cms / Butterfly</t>
        </is>
      </c>
      <c r="C606" s="2" t="inlineStr">
        <is>
          <t>MI-SD-B-30</t>
        </is>
      </c>
      <c r="D606" s="121" t="n">
        <v>1400</v>
      </c>
      <c r="E606" s="92" t="n">
        <v>105</v>
      </c>
      <c r="F606" s="2" t="n">
        <v>145</v>
      </c>
      <c r="G606" s="118" t="n">
        <v>44201900</v>
      </c>
      <c r="H606" s="255" t="n">
        <v>0.05</v>
      </c>
      <c r="I606" s="2">
        <f>D607*H607</f>
        <v/>
      </c>
      <c r="J606" s="2">
        <f>D607*5%</f>
        <v/>
      </c>
      <c r="K606" s="2" t="n">
        <v>500</v>
      </c>
      <c r="L606" s="4">
        <f>K607+J607+I607+F607+E607+D607</f>
        <v/>
      </c>
      <c r="M606" s="2">
        <f>D607*1%</f>
        <v/>
      </c>
      <c r="N606" s="12">
        <f>L607*8%</f>
        <v/>
      </c>
      <c r="O606" s="12">
        <f>L607*10%</f>
        <v/>
      </c>
      <c r="P606" s="12">
        <f>L607*5%</f>
        <v/>
      </c>
      <c r="Q606" s="12">
        <f>L607*2%</f>
        <v/>
      </c>
      <c r="R606" s="12">
        <f>AC607*0.5%</f>
        <v/>
      </c>
      <c r="S606" s="12">
        <f>L607*1%</f>
        <v/>
      </c>
      <c r="T606" s="60">
        <f>S607+Q607+P607+O607+N607+M607</f>
        <v/>
      </c>
      <c r="U606" s="2">
        <f>AC607*1%</f>
        <v/>
      </c>
      <c r="V606" s="44">
        <f>AC607*5%</f>
        <v/>
      </c>
      <c r="W606" s="2">
        <f>AC607*1%</f>
        <v/>
      </c>
      <c r="X606" s="2">
        <f>AC607*8%</f>
        <v/>
      </c>
      <c r="Y606" s="2">
        <f>U607+V607+W607+X607</f>
        <v/>
      </c>
      <c r="Z606" s="60">
        <f>Y607+T607+L607</f>
        <v/>
      </c>
      <c r="AA606" s="11">
        <f>Z607*20%</f>
        <v/>
      </c>
      <c r="AB606" s="12">
        <f>Z607+AA607</f>
        <v/>
      </c>
      <c r="AC606" s="2">
        <f>D607*2.1</f>
        <v/>
      </c>
      <c r="AD606" s="12">
        <f>AB607-AC607</f>
        <v/>
      </c>
      <c r="AE606" s="12">
        <f>AD607/AB607*100</f>
        <v/>
      </c>
      <c r="AF606" s="92" t="n">
        <v>4950</v>
      </c>
      <c r="AG606" s="62">
        <f>((AF607-L607)/L607)*100</f>
        <v/>
      </c>
      <c r="AH606" s="106">
        <f>AJ607-AF607</f>
        <v/>
      </c>
      <c r="AI606" s="65" t="n">
        <v>5490</v>
      </c>
      <c r="AJ606" s="65" t="n">
        <v>5290</v>
      </c>
      <c r="AK606" s="66">
        <f>(AJ607-L607)/L607*100</f>
        <v/>
      </c>
      <c r="AL606" s="66" t="n"/>
      <c r="AM606" s="14">
        <f>AH607/AJ607%</f>
        <v/>
      </c>
      <c r="AN606" s="67">
        <f>AK607-AG607</f>
        <v/>
      </c>
      <c r="AO606" s="68">
        <f>AJ607/L607</f>
        <v/>
      </c>
      <c r="AP606" s="69">
        <f>(AJ607-AB607)/100</f>
        <v/>
      </c>
      <c r="AQ606" s="70">
        <f>(AJ607-AC607)/100</f>
        <v/>
      </c>
      <c r="AR606" s="71">
        <f>AI607/94</f>
        <v/>
      </c>
      <c r="AS606" s="71">
        <f>AJ607/94</f>
        <v/>
      </c>
      <c r="AT606" s="72">
        <f>AI607/24</f>
        <v/>
      </c>
      <c r="AU606" s="72">
        <f>AJ607/24</f>
        <v/>
      </c>
      <c r="AV606" s="73">
        <f>AI607/125</f>
        <v/>
      </c>
      <c r="AW606" s="73">
        <f>AJ607/125</f>
        <v/>
      </c>
    </row>
    <row r="607" ht="15.75" customHeight="1" s="258">
      <c r="A607" s="2" t="n"/>
      <c r="B607" s="2" t="inlineStr">
        <is>
          <t>40 cms / Butterfly</t>
        </is>
      </c>
      <c r="C607" s="2" t="inlineStr">
        <is>
          <t>MI-SD-B-40</t>
        </is>
      </c>
      <c r="D607" s="121" t="n">
        <v>1500</v>
      </c>
      <c r="E607" s="92" t="n">
        <v>120</v>
      </c>
      <c r="F607" s="2" t="n">
        <v>145</v>
      </c>
      <c r="G607" s="118" t="n">
        <v>44201900</v>
      </c>
      <c r="H607" s="255" t="n">
        <v>0.05</v>
      </c>
      <c r="I607" s="2">
        <f>D608*H608</f>
        <v/>
      </c>
      <c r="J607" s="2">
        <f>D608*5%</f>
        <v/>
      </c>
      <c r="K607" s="2" t="n">
        <v>500</v>
      </c>
      <c r="L607" s="4">
        <f>K608+J608+I608+F608+E608+D608</f>
        <v/>
      </c>
      <c r="M607" s="2">
        <f>D608*1%</f>
        <v/>
      </c>
      <c r="N607" s="12">
        <f>L608*8%</f>
        <v/>
      </c>
      <c r="O607" s="12">
        <f>L608*10%</f>
        <v/>
      </c>
      <c r="P607" s="12">
        <f>L608*5%</f>
        <v/>
      </c>
      <c r="Q607" s="12">
        <f>L608*2%</f>
        <v/>
      </c>
      <c r="R607" s="12">
        <f>AC608*0.5%</f>
        <v/>
      </c>
      <c r="S607" s="12">
        <f>L608*1%</f>
        <v/>
      </c>
      <c r="T607" s="60">
        <f>S608+Q608+P608+O608+N608+M608</f>
        <v/>
      </c>
      <c r="U607" s="2">
        <f>AC608*1%</f>
        <v/>
      </c>
      <c r="V607" s="44">
        <f>AC608*5%</f>
        <v/>
      </c>
      <c r="W607" s="2">
        <f>AC608*1%</f>
        <v/>
      </c>
      <c r="X607" s="2">
        <f>AC608*8%</f>
        <v/>
      </c>
      <c r="Y607" s="2">
        <f>U608+V608+W608+X608</f>
        <v/>
      </c>
      <c r="Z607" s="60">
        <f>Y608+T608+L608</f>
        <v/>
      </c>
      <c r="AA607" s="11">
        <f>Z608*20%</f>
        <v/>
      </c>
      <c r="AB607" s="12">
        <f>Z608+AA608</f>
        <v/>
      </c>
      <c r="AC607" s="2">
        <f>D608*2.1</f>
        <v/>
      </c>
      <c r="AD607" s="12">
        <f>AB608-AC608</f>
        <v/>
      </c>
      <c r="AE607" s="12">
        <f>AD608/AB608*100</f>
        <v/>
      </c>
      <c r="AF607" s="92" t="n">
        <v>5550</v>
      </c>
      <c r="AG607" s="62">
        <f>((AF608-L608)/L608)*100</f>
        <v/>
      </c>
      <c r="AH607" s="106">
        <f>AJ608-AF608</f>
        <v/>
      </c>
      <c r="AI607" s="65" t="n">
        <v>6090</v>
      </c>
      <c r="AJ607" s="65" t="n">
        <v>5890</v>
      </c>
      <c r="AK607" s="66">
        <f>(AJ608-L608)/L608*100</f>
        <v/>
      </c>
      <c r="AL607" s="66" t="n"/>
      <c r="AM607" s="14">
        <f>AH608/AJ608%</f>
        <v/>
      </c>
      <c r="AN607" s="67">
        <f>AK608-AG608</f>
        <v/>
      </c>
      <c r="AO607" s="68">
        <f>AJ608/L608</f>
        <v/>
      </c>
      <c r="AP607" s="69">
        <f>(AJ608-AB608)/100</f>
        <v/>
      </c>
      <c r="AQ607" s="70">
        <f>(AJ608-AC608)/100</f>
        <v/>
      </c>
      <c r="AR607" s="71">
        <f>AI608/94</f>
        <v/>
      </c>
      <c r="AS607" s="71">
        <f>AJ608/94</f>
        <v/>
      </c>
      <c r="AT607" s="72">
        <f>AI608/24</f>
        <v/>
      </c>
      <c r="AU607" s="72">
        <f>AJ608/24</f>
        <v/>
      </c>
      <c r="AV607" s="73">
        <f>AI608/125</f>
        <v/>
      </c>
      <c r="AW607" s="73">
        <f>AJ608/125</f>
        <v/>
      </c>
    </row>
    <row r="608" ht="15.75" customHeight="1" s="258">
      <c r="A608" s="2" t="n"/>
      <c r="B608" s="2" t="inlineStr">
        <is>
          <t>45 cms / Butterfly</t>
        </is>
      </c>
      <c r="C608" s="2" t="inlineStr">
        <is>
          <t>MI-SD-B-45</t>
        </is>
      </c>
      <c r="D608" s="121" t="n">
        <v>1600</v>
      </c>
      <c r="E608" s="92" t="n">
        <v>120</v>
      </c>
      <c r="F608" s="2" t="n">
        <v>145</v>
      </c>
      <c r="G608" s="118" t="n">
        <v>44201900</v>
      </c>
      <c r="H608" s="255" t="n">
        <v>0.05</v>
      </c>
      <c r="I608" s="2">
        <f>D609*H609</f>
        <v/>
      </c>
      <c r="J608" s="2">
        <f>D609*5%</f>
        <v/>
      </c>
      <c r="K608" s="2" t="n">
        <v>500</v>
      </c>
      <c r="L608" s="4">
        <f>K609+J609+I609+F609+E609+D609</f>
        <v/>
      </c>
      <c r="M608" s="2">
        <f>D609*1%</f>
        <v/>
      </c>
      <c r="N608" s="12">
        <f>L609*8%</f>
        <v/>
      </c>
      <c r="O608" s="12">
        <f>L609*10%</f>
        <v/>
      </c>
      <c r="P608" s="12">
        <f>L609*5%</f>
        <v/>
      </c>
      <c r="Q608" s="12">
        <f>L609*2%</f>
        <v/>
      </c>
      <c r="R608" s="12">
        <f>AC609*0.5%</f>
        <v/>
      </c>
      <c r="S608" s="12">
        <f>L609*1%</f>
        <v/>
      </c>
      <c r="T608" s="60">
        <f>S609+Q609+P609+O609+N609+M609</f>
        <v/>
      </c>
      <c r="U608" s="2">
        <f>AC609*1%</f>
        <v/>
      </c>
      <c r="V608" s="44">
        <f>AC609*5%</f>
        <v/>
      </c>
      <c r="W608" s="2">
        <f>AC609*1%</f>
        <v/>
      </c>
      <c r="X608" s="2">
        <f>AC609*8%</f>
        <v/>
      </c>
      <c r="Y608" s="2">
        <f>U609+V609+W609+X609</f>
        <v/>
      </c>
      <c r="Z608" s="60">
        <f>Y609+T609+L609</f>
        <v/>
      </c>
      <c r="AA608" s="11">
        <f>Z609*20%</f>
        <v/>
      </c>
      <c r="AB608" s="12">
        <f>Z609+AA609</f>
        <v/>
      </c>
      <c r="AC608" s="2">
        <f>D609*2.1</f>
        <v/>
      </c>
      <c r="AD608" s="12">
        <f>AB609-AC609</f>
        <v/>
      </c>
      <c r="AE608" s="12">
        <f>AD609/AB609*100</f>
        <v/>
      </c>
      <c r="AF608" s="92" t="n">
        <v>6250</v>
      </c>
      <c r="AG608" s="62">
        <f>((AF609-L609)/L609)*100</f>
        <v/>
      </c>
      <c r="AH608" s="106">
        <f>AJ609-AF609</f>
        <v/>
      </c>
      <c r="AI608" s="65" t="n">
        <v>6890</v>
      </c>
      <c r="AJ608" s="65" t="n">
        <v>6690</v>
      </c>
      <c r="AK608" s="66">
        <f>(AJ609-L609)/L609*100</f>
        <v/>
      </c>
      <c r="AL608" s="66" t="n"/>
      <c r="AM608" s="14">
        <f>AH609/AJ609%</f>
        <v/>
      </c>
      <c r="AN608" s="67">
        <f>AK609-AG609</f>
        <v/>
      </c>
      <c r="AO608" s="68">
        <f>AJ609/L609</f>
        <v/>
      </c>
      <c r="AP608" s="69">
        <f>(AJ609-AB609)/100</f>
        <v/>
      </c>
      <c r="AQ608" s="70">
        <f>(AJ609-AC609)/100</f>
        <v/>
      </c>
      <c r="AR608" s="71">
        <f>AI609/94</f>
        <v/>
      </c>
      <c r="AS608" s="71">
        <f>AJ609/94</f>
        <v/>
      </c>
      <c r="AT608" s="72">
        <f>AI609/24</f>
        <v/>
      </c>
      <c r="AU608" s="72">
        <f>AJ609/24</f>
        <v/>
      </c>
      <c r="AV608" s="73">
        <f>AI609/125</f>
        <v/>
      </c>
      <c r="AW608" s="73">
        <f>AJ609/125</f>
        <v/>
      </c>
    </row>
    <row r="609" ht="15.75" customHeight="1" s="258">
      <c r="A609" s="2" t="n"/>
      <c r="B609" s="2" t="inlineStr">
        <is>
          <t>Plain / 40 cms</t>
        </is>
      </c>
      <c r="C609" s="2" t="inlineStr">
        <is>
          <t>MI-SD-P-40</t>
        </is>
      </c>
      <c r="D609" s="121" t="n">
        <v>1300</v>
      </c>
      <c r="E609" s="92" t="n">
        <v>120</v>
      </c>
      <c r="F609" s="2" t="n">
        <v>145</v>
      </c>
      <c r="G609" s="118" t="n">
        <v>44201900</v>
      </c>
      <c r="H609" s="255" t="n">
        <v>0.05</v>
      </c>
      <c r="I609" s="2">
        <f>D610*H610</f>
        <v/>
      </c>
      <c r="J609" s="2">
        <f>D610*5%</f>
        <v/>
      </c>
      <c r="K609" s="2" t="n">
        <v>500</v>
      </c>
      <c r="L609" s="4">
        <f>K610+J610+I610+F610+E610+D610</f>
        <v/>
      </c>
      <c r="M609" s="2">
        <f>D610*1%</f>
        <v/>
      </c>
      <c r="N609" s="12">
        <f>L610*8%</f>
        <v/>
      </c>
      <c r="O609" s="12">
        <f>L610*10%</f>
        <v/>
      </c>
      <c r="P609" s="12">
        <f>L610*5%</f>
        <v/>
      </c>
      <c r="Q609" s="12">
        <f>L610*2%</f>
        <v/>
      </c>
      <c r="R609" s="12">
        <f>AC610*0.5%</f>
        <v/>
      </c>
      <c r="S609" s="12">
        <f>L610*1%</f>
        <v/>
      </c>
      <c r="T609" s="60">
        <f>S610+Q610+P610+O610+N610+M610</f>
        <v/>
      </c>
      <c r="U609" s="2">
        <f>AC610*1%</f>
        <v/>
      </c>
      <c r="V609" s="44">
        <f>AC610*5%</f>
        <v/>
      </c>
      <c r="W609" s="2">
        <f>AC610*1%</f>
        <v/>
      </c>
      <c r="X609" s="2">
        <f>AC610*8%</f>
        <v/>
      </c>
      <c r="Y609" s="2">
        <f>U610+V610+W610+X610</f>
        <v/>
      </c>
      <c r="Z609" s="60">
        <f>Y610+T610+L610</f>
        <v/>
      </c>
      <c r="AA609" s="11">
        <f>Z610*20%</f>
        <v/>
      </c>
      <c r="AB609" s="12">
        <f>Z610+AA610</f>
        <v/>
      </c>
      <c r="AC609" s="2">
        <f>D610*2.1</f>
        <v/>
      </c>
      <c r="AD609" s="12">
        <f>AB610-AC610</f>
        <v/>
      </c>
      <c r="AE609" s="12">
        <f>AD610/AB610*100</f>
        <v/>
      </c>
      <c r="AF609" s="92" t="n">
        <v>5250</v>
      </c>
      <c r="AG609" s="62">
        <f>((AF610-L610)/L610)*100</f>
        <v/>
      </c>
      <c r="AH609" s="106">
        <f>AJ610-AF610</f>
        <v/>
      </c>
      <c r="AI609" s="65" t="n">
        <v>5890</v>
      </c>
      <c r="AJ609" s="65" t="n">
        <v>5890</v>
      </c>
      <c r="AK609" s="66">
        <f>(AJ610-L610)/L610*100</f>
        <v/>
      </c>
      <c r="AL609" s="66" t="n"/>
      <c r="AM609" s="14">
        <f>AH610/AJ610%</f>
        <v/>
      </c>
      <c r="AN609" s="67">
        <f>AK610-AG610</f>
        <v/>
      </c>
      <c r="AO609" s="68">
        <f>AJ610/L610</f>
        <v/>
      </c>
      <c r="AP609" s="69">
        <f>(AJ610-AB610)/100</f>
        <v/>
      </c>
      <c r="AQ609" s="70">
        <f>(AJ610-AC610)/100</f>
        <v/>
      </c>
      <c r="AR609" s="71">
        <f>AI610/94</f>
        <v/>
      </c>
      <c r="AS609" s="71">
        <f>AJ610/94</f>
        <v/>
      </c>
      <c r="AT609" s="72">
        <f>AI610/24</f>
        <v/>
      </c>
      <c r="AU609" s="72">
        <f>AJ610/24</f>
        <v/>
      </c>
      <c r="AV609" s="73">
        <f>AI610/125</f>
        <v/>
      </c>
      <c r="AW609" s="73">
        <f>AJ610/125</f>
        <v/>
      </c>
    </row>
    <row r="610" ht="15.75" customHeight="1" s="258">
      <c r="A610" s="2" t="n"/>
      <c r="B610" s="2" t="inlineStr">
        <is>
          <t>Plain / 45 cms</t>
        </is>
      </c>
      <c r="C610" s="2" t="inlineStr">
        <is>
          <t>MI-SD-P-45</t>
        </is>
      </c>
      <c r="D610" s="121" t="n">
        <v>1500</v>
      </c>
      <c r="E610" s="92" t="n">
        <v>120</v>
      </c>
      <c r="F610" s="2" t="n">
        <v>145</v>
      </c>
      <c r="G610" s="118" t="n">
        <v>44201900</v>
      </c>
      <c r="H610" s="255" t="n">
        <v>0.05</v>
      </c>
      <c r="I610" s="2">
        <f>D611*H611</f>
        <v/>
      </c>
      <c r="J610" s="2">
        <f>D611*5%</f>
        <v/>
      </c>
      <c r="K610" s="2" t="n">
        <v>500</v>
      </c>
      <c r="L610" s="4">
        <f>K611+J611+I611+F611+E611+D611</f>
        <v/>
      </c>
      <c r="M610" s="2">
        <f>D611*1%</f>
        <v/>
      </c>
      <c r="N610" s="12">
        <f>L611*8%</f>
        <v/>
      </c>
      <c r="O610" s="12">
        <f>L611*10%</f>
        <v/>
      </c>
      <c r="P610" s="12">
        <f>L611*5%</f>
        <v/>
      </c>
      <c r="Q610" s="12">
        <f>L611*2%</f>
        <v/>
      </c>
      <c r="R610" s="12">
        <f>AC611*0.5%</f>
        <v/>
      </c>
      <c r="S610" s="12">
        <f>L611*1%</f>
        <v/>
      </c>
      <c r="T610" s="60">
        <f>S611+Q611+P611+O611+N611+M611</f>
        <v/>
      </c>
      <c r="U610" s="2">
        <f>AC611*1%</f>
        <v/>
      </c>
      <c r="V610" s="44">
        <f>AC611*5%</f>
        <v/>
      </c>
      <c r="W610" s="2">
        <f>AC611*1%</f>
        <v/>
      </c>
      <c r="X610" s="2">
        <f>AC611*8%</f>
        <v/>
      </c>
      <c r="Y610" s="2">
        <f>U611+V611+W611+X611</f>
        <v/>
      </c>
      <c r="Z610" s="60">
        <f>Y611+T611+L611</f>
        <v/>
      </c>
      <c r="AA610" s="11">
        <f>Z611*20%</f>
        <v/>
      </c>
      <c r="AB610" s="12">
        <f>Z611+AA611</f>
        <v/>
      </c>
      <c r="AC610" s="2">
        <f>D611*2.1</f>
        <v/>
      </c>
      <c r="AD610" s="12">
        <f>AB611-AC611</f>
        <v/>
      </c>
      <c r="AE610" s="12">
        <f>AD611/AB611*100</f>
        <v/>
      </c>
      <c r="AF610" s="92" t="n">
        <v>5850</v>
      </c>
      <c r="AG610" s="62">
        <f>((AF611-L611)/L611)*100</f>
        <v/>
      </c>
      <c r="AH610" s="106">
        <f>AJ611-AF611</f>
        <v/>
      </c>
      <c r="AI610" s="65" t="n">
        <v>6490</v>
      </c>
      <c r="AJ610" s="65" t="n">
        <v>6690</v>
      </c>
      <c r="AK610" s="66">
        <f>(AJ611-L611)/L611*100</f>
        <v/>
      </c>
      <c r="AL610" s="66" t="n"/>
      <c r="AM610" s="14">
        <f>AH611/AJ611%</f>
        <v/>
      </c>
      <c r="AN610" s="67">
        <f>AK611-AG611</f>
        <v/>
      </c>
      <c r="AO610" s="68">
        <f>AJ611/L611</f>
        <v/>
      </c>
      <c r="AP610" s="69">
        <f>(AJ611-AB611)/100</f>
        <v/>
      </c>
      <c r="AQ610" s="70">
        <f>(AJ611-AC611)/100</f>
        <v/>
      </c>
      <c r="AR610" s="71">
        <f>AI611/94</f>
        <v/>
      </c>
      <c r="AS610" s="71">
        <f>AJ611/94</f>
        <v/>
      </c>
      <c r="AT610" s="72">
        <f>AI611/24</f>
        <v/>
      </c>
      <c r="AU610" s="72">
        <f>AJ611/24</f>
        <v/>
      </c>
      <c r="AV610" s="73">
        <f>AI611/125</f>
        <v/>
      </c>
      <c r="AW610" s="73">
        <f>AJ611/125</f>
        <v/>
      </c>
    </row>
    <row r="611" ht="15.75" customHeight="1" s="258">
      <c r="A611" s="2" t="n"/>
      <c r="B611" s="2" t="inlineStr">
        <is>
          <t>30 cms / Tree of Life</t>
        </is>
      </c>
      <c r="C611" s="91" t="inlineStr">
        <is>
          <t>MI-SD-30-T</t>
        </is>
      </c>
      <c r="D611" s="121" t="n">
        <v>1400</v>
      </c>
      <c r="E611" s="2" t="n">
        <v>105</v>
      </c>
      <c r="F611" s="2" t="n">
        <v>145</v>
      </c>
      <c r="G611" s="118" t="n">
        <v>44201900</v>
      </c>
      <c r="H611" s="255" t="n">
        <v>0.05</v>
      </c>
      <c r="I611" s="2">
        <f>D612*H612</f>
        <v/>
      </c>
      <c r="J611" s="2">
        <f>D612*5%</f>
        <v/>
      </c>
      <c r="K611" s="2" t="n">
        <v>500</v>
      </c>
      <c r="L611" s="4">
        <f>K612+J612+I612+F612+E612+D612</f>
        <v/>
      </c>
      <c r="M611" s="2">
        <f>D612*1%</f>
        <v/>
      </c>
      <c r="N611" s="12">
        <f>L612*8%</f>
        <v/>
      </c>
      <c r="O611" s="12">
        <f>L612*10%</f>
        <v/>
      </c>
      <c r="P611" s="12">
        <f>L612*5%</f>
        <v/>
      </c>
      <c r="Q611" s="12">
        <f>L612*2%</f>
        <v/>
      </c>
      <c r="R611" s="12">
        <f>AC612*0.5%</f>
        <v/>
      </c>
      <c r="S611" s="12">
        <f>L612*1%</f>
        <v/>
      </c>
      <c r="T611" s="60">
        <f>S612+Q612+P612+O612+N612+M612</f>
        <v/>
      </c>
      <c r="U611" s="2">
        <f>AC612*1%</f>
        <v/>
      </c>
      <c r="V611" s="44">
        <f>AC612*5%</f>
        <v/>
      </c>
      <c r="W611" s="2">
        <f>AC612*1%</f>
        <v/>
      </c>
      <c r="X611" s="2">
        <f>AC612*8%</f>
        <v/>
      </c>
      <c r="Y611" s="2">
        <f>U612+V612+W612+X612</f>
        <v/>
      </c>
      <c r="Z611" s="60">
        <f>Y612+T612+L612</f>
        <v/>
      </c>
      <c r="AA611" s="11">
        <f>Z612*20%</f>
        <v/>
      </c>
      <c r="AB611" s="12">
        <f>Z612+AA612</f>
        <v/>
      </c>
      <c r="AC611" s="2">
        <f>D612*2.1</f>
        <v/>
      </c>
      <c r="AD611" s="12">
        <f>AB612-AC612</f>
        <v/>
      </c>
      <c r="AE611" s="12">
        <f>AD612/AB612*100</f>
        <v/>
      </c>
      <c r="AG611" s="62">
        <f>((AF612-L612)/L612)*100</f>
        <v/>
      </c>
      <c r="AH611" s="106">
        <f>AJ612-AF612</f>
        <v/>
      </c>
      <c r="AI611" s="65">
        <f>AB612</f>
        <v/>
      </c>
      <c r="AJ611" s="65" t="n">
        <v>5290</v>
      </c>
      <c r="AK611" s="66">
        <f>(AJ612-L612)/L612*100</f>
        <v/>
      </c>
      <c r="AL611" s="66" t="n"/>
      <c r="AM611" s="14">
        <f>AH612/AJ612%</f>
        <v/>
      </c>
      <c r="AN611" s="67">
        <f>AK612-AG612</f>
        <v/>
      </c>
      <c r="AO611" s="68">
        <f>AJ612/L612</f>
        <v/>
      </c>
      <c r="AP611" s="69">
        <f>(AJ612-AB612)/100</f>
        <v/>
      </c>
      <c r="AQ611" s="70">
        <f>(AJ612-AC612)/100</f>
        <v/>
      </c>
      <c r="AR611" s="71">
        <f>AI612/94</f>
        <v/>
      </c>
      <c r="AS611" s="71">
        <f>AJ612/94</f>
        <v/>
      </c>
      <c r="AT611" s="72">
        <f>AI612/24</f>
        <v/>
      </c>
      <c r="AU611" s="72">
        <f>AJ612/24</f>
        <v/>
      </c>
      <c r="AV611" s="73">
        <f>AI612/125</f>
        <v/>
      </c>
      <c r="AW611" s="73">
        <f>AJ612/125</f>
        <v/>
      </c>
    </row>
    <row r="612" ht="15.75" customHeight="1" s="258">
      <c r="A612" s="2" t="n"/>
      <c r="B612" s="2" t="inlineStr">
        <is>
          <t>40 cms / Tree of Life</t>
        </is>
      </c>
      <c r="C612" s="91" t="inlineStr">
        <is>
          <t>MI-SD-40-T</t>
        </is>
      </c>
      <c r="D612" s="121" t="n">
        <v>1500</v>
      </c>
      <c r="E612" s="2" t="n">
        <v>120</v>
      </c>
      <c r="F612" s="2" t="n">
        <v>145</v>
      </c>
      <c r="G612" s="118" t="n">
        <v>44201900</v>
      </c>
      <c r="H612" s="255" t="n">
        <v>0.05</v>
      </c>
      <c r="I612" s="2">
        <f>D613*H613</f>
        <v/>
      </c>
      <c r="J612" s="2">
        <f>D613*5%</f>
        <v/>
      </c>
      <c r="K612" s="2" t="n">
        <v>500</v>
      </c>
      <c r="L612" s="4">
        <f>K613+J613+I613+F613+E613+D613</f>
        <v/>
      </c>
      <c r="M612" s="2">
        <f>D613*1%</f>
        <v/>
      </c>
      <c r="N612" s="12">
        <f>L613*8%</f>
        <v/>
      </c>
      <c r="O612" s="12">
        <f>L613*10%</f>
        <v/>
      </c>
      <c r="P612" s="12">
        <f>L613*5%</f>
        <v/>
      </c>
      <c r="Q612" s="12">
        <f>L613*2%</f>
        <v/>
      </c>
      <c r="R612" s="12">
        <f>AC613*0.5%</f>
        <v/>
      </c>
      <c r="S612" s="12">
        <f>L613*1%</f>
        <v/>
      </c>
      <c r="T612" s="60">
        <f>S613+Q613+P613+O613+N613+M613</f>
        <v/>
      </c>
      <c r="U612" s="2">
        <f>AC613*1%</f>
        <v/>
      </c>
      <c r="V612" s="44">
        <f>AC613*5%</f>
        <v/>
      </c>
      <c r="W612" s="2">
        <f>AC613*1%</f>
        <v/>
      </c>
      <c r="X612" s="2">
        <f>AC613*8%</f>
        <v/>
      </c>
      <c r="Y612" s="2">
        <f>U613+V613+W613+X613</f>
        <v/>
      </c>
      <c r="Z612" s="60">
        <f>Y613+T613+L613</f>
        <v/>
      </c>
      <c r="AA612" s="11">
        <f>Z613*20%</f>
        <v/>
      </c>
      <c r="AB612" s="12">
        <f>Z613+AA613</f>
        <v/>
      </c>
      <c r="AC612" s="2">
        <f>D613*2.1</f>
        <v/>
      </c>
      <c r="AD612" s="12">
        <f>AB613-AC613</f>
        <v/>
      </c>
      <c r="AE612" s="12">
        <f>AD613/AB613*100</f>
        <v/>
      </c>
      <c r="AG612" s="62">
        <f>((AF613-L613)/L613)*100</f>
        <v/>
      </c>
      <c r="AH612" s="106">
        <f>AJ613-AF613</f>
        <v/>
      </c>
      <c r="AI612" s="65">
        <f>AB613</f>
        <v/>
      </c>
      <c r="AJ612" s="65" t="n">
        <v>5890</v>
      </c>
      <c r="AK612" s="66">
        <f>(AJ613-L613)/L613*100</f>
        <v/>
      </c>
      <c r="AL612" s="66" t="n"/>
      <c r="AM612" s="14">
        <f>AH613/AJ613%</f>
        <v/>
      </c>
      <c r="AN612" s="67">
        <f>AK613-AG613</f>
        <v/>
      </c>
      <c r="AO612" s="68">
        <f>AJ613/L613</f>
        <v/>
      </c>
      <c r="AP612" s="69">
        <f>(AJ613-AB613)/100</f>
        <v/>
      </c>
      <c r="AQ612" s="70">
        <f>(AJ613-AC613)/100</f>
        <v/>
      </c>
      <c r="AR612" s="71">
        <f>AI613/94</f>
        <v/>
      </c>
      <c r="AS612" s="71">
        <f>AJ613/94</f>
        <v/>
      </c>
      <c r="AT612" s="72">
        <f>AI613/24</f>
        <v/>
      </c>
      <c r="AU612" s="72">
        <f>AJ613/24</f>
        <v/>
      </c>
      <c r="AV612" s="73">
        <f>AI613/125</f>
        <v/>
      </c>
      <c r="AW612" s="73">
        <f>AJ613/125</f>
        <v/>
      </c>
    </row>
    <row r="613" ht="15.75" customHeight="1" s="258">
      <c r="A613" s="2" t="n"/>
      <c r="B613" s="2" t="inlineStr">
        <is>
          <t>45 cms / Tree of Life</t>
        </is>
      </c>
      <c r="C613" s="91" t="inlineStr">
        <is>
          <t>MI-SD-45-T</t>
        </is>
      </c>
      <c r="D613" s="121" t="n">
        <v>1600</v>
      </c>
      <c r="E613" s="2" t="n">
        <v>125</v>
      </c>
      <c r="F613" s="2" t="n">
        <v>145</v>
      </c>
      <c r="G613" s="118" t="n">
        <v>44201900</v>
      </c>
      <c r="H613" s="255" t="n">
        <v>0.05</v>
      </c>
      <c r="I613" s="2">
        <f>D614*H614</f>
        <v/>
      </c>
      <c r="J613" s="2">
        <f>D614*5%</f>
        <v/>
      </c>
      <c r="K613" s="2" t="n">
        <v>500</v>
      </c>
      <c r="L613" s="4">
        <f>K614+J614+I614+F614+E614+D614</f>
        <v/>
      </c>
      <c r="M613" s="2">
        <f>D614*1%</f>
        <v/>
      </c>
      <c r="N613" s="12">
        <f>L614*8%</f>
        <v/>
      </c>
      <c r="O613" s="12">
        <f>L614*10%</f>
        <v/>
      </c>
      <c r="P613" s="12">
        <f>L614*5%</f>
        <v/>
      </c>
      <c r="Q613" s="12">
        <f>L614*2%</f>
        <v/>
      </c>
      <c r="R613" s="12">
        <f>AC614*0.5%</f>
        <v/>
      </c>
      <c r="S613" s="12">
        <f>L614*1%</f>
        <v/>
      </c>
      <c r="T613" s="60">
        <f>S614+Q614+P614+O614+N614+M614</f>
        <v/>
      </c>
      <c r="U613" s="2">
        <f>AC614*1%</f>
        <v/>
      </c>
      <c r="V613" s="44">
        <f>AC614*5%</f>
        <v/>
      </c>
      <c r="W613" s="2">
        <f>AC614*1%</f>
        <v/>
      </c>
      <c r="X613" s="2">
        <f>AC614*8%</f>
        <v/>
      </c>
      <c r="Y613" s="2">
        <f>U614+V614+W614+X614</f>
        <v/>
      </c>
      <c r="Z613" s="60">
        <f>Y614+T614+L614</f>
        <v/>
      </c>
      <c r="AA613" s="11">
        <f>Z614*20%</f>
        <v/>
      </c>
      <c r="AB613" s="12">
        <f>Z614+AA614</f>
        <v/>
      </c>
      <c r="AC613" s="2">
        <f>D614*2.1</f>
        <v/>
      </c>
      <c r="AD613" s="12">
        <f>AB614-AC614</f>
        <v/>
      </c>
      <c r="AE613" s="12">
        <f>AD614/AB614*100</f>
        <v/>
      </c>
      <c r="AG613" s="62">
        <f>((AF614-L614)/L614)*100</f>
        <v/>
      </c>
      <c r="AH613" s="106">
        <f>AJ614-AF614</f>
        <v/>
      </c>
      <c r="AI613" s="65">
        <f>AB614</f>
        <v/>
      </c>
      <c r="AJ613" s="65" t="n">
        <v>6690</v>
      </c>
      <c r="AK613" s="66">
        <f>(AJ614-L614)/L614*100</f>
        <v/>
      </c>
      <c r="AL613" s="66" t="n"/>
      <c r="AM613" s="14">
        <f>AH614/AJ614%</f>
        <v/>
      </c>
      <c r="AN613" s="67">
        <f>AK614-AG614</f>
        <v/>
      </c>
      <c r="AO613" s="68">
        <f>AJ614/L614</f>
        <v/>
      </c>
      <c r="AP613" s="69">
        <f>(AJ614-AB614)/100</f>
        <v/>
      </c>
      <c r="AQ613" s="70">
        <f>(AJ614-AC614)/100</f>
        <v/>
      </c>
      <c r="AR613" s="71">
        <f>AI614/94</f>
        <v/>
      </c>
      <c r="AS613" s="71">
        <f>AJ614/94</f>
        <v/>
      </c>
      <c r="AT613" s="72">
        <f>AI614/24</f>
        <v/>
      </c>
      <c r="AU613" s="72">
        <f>AJ614/24</f>
        <v/>
      </c>
      <c r="AV613" s="73">
        <f>AI614/125</f>
        <v/>
      </c>
      <c r="AW613" s="73">
        <f>AJ614/125</f>
        <v/>
      </c>
    </row>
    <row r="614" ht="15.75" customHeight="1" s="258">
      <c r="A614" s="2" t="inlineStr">
        <is>
          <t>Shamanic Drum Bags/Ocean Drum Bags</t>
        </is>
      </c>
      <c r="B614" s="2" t="inlineStr">
        <is>
          <t>Small</t>
        </is>
      </c>
      <c r="C614" s="91" t="inlineStr">
        <is>
          <t>MI-SDBO-S</t>
        </is>
      </c>
      <c r="D614" s="118" t="n">
        <v>105</v>
      </c>
      <c r="F614" s="2" t="n">
        <v>80</v>
      </c>
      <c r="G614" s="118" t="n">
        <v>4202</v>
      </c>
      <c r="H614" s="255" t="n">
        <v>0.18</v>
      </c>
      <c r="I614" s="2">
        <f>D615*H615</f>
        <v/>
      </c>
      <c r="K614" s="2" t="n">
        <v>50</v>
      </c>
      <c r="L614" s="4">
        <f>K615+J615+I615+F615+E615+D615</f>
        <v/>
      </c>
      <c r="M614" s="2">
        <f>D615*1%</f>
        <v/>
      </c>
      <c r="N614" s="12">
        <f>L615*8%</f>
        <v/>
      </c>
      <c r="O614" s="12">
        <f>L615*10%</f>
        <v/>
      </c>
      <c r="P614" s="12">
        <f>L615*5%</f>
        <v/>
      </c>
      <c r="Q614" s="12">
        <f>L615*2%</f>
        <v/>
      </c>
      <c r="R614" s="12">
        <f>AC615*0.5%</f>
        <v/>
      </c>
      <c r="S614" s="12">
        <f>L615*1%</f>
        <v/>
      </c>
      <c r="T614" s="60">
        <f>S615+Q615+P615+O615+N615+M615</f>
        <v/>
      </c>
      <c r="U614" s="2">
        <f>AC615*1%</f>
        <v/>
      </c>
      <c r="V614" s="44">
        <f>AC615*5%</f>
        <v/>
      </c>
      <c r="W614" s="2">
        <f>AC615*1%</f>
        <v/>
      </c>
      <c r="X614" s="2">
        <f>AC615*8%</f>
        <v/>
      </c>
      <c r="Y614" s="2">
        <f>U615+V615+W615+X615</f>
        <v/>
      </c>
      <c r="Z614" s="60">
        <f>Y615+T615+L615</f>
        <v/>
      </c>
      <c r="AA614" s="11">
        <f>Z615*20%</f>
        <v/>
      </c>
      <c r="AB614" s="12">
        <f>Z615+AA615</f>
        <v/>
      </c>
      <c r="AC614" s="2">
        <f>D615*2.1</f>
        <v/>
      </c>
      <c r="AD614" s="12">
        <f>AB615-AC615</f>
        <v/>
      </c>
      <c r="AE614" s="12">
        <f>AD615/AB615*100</f>
        <v/>
      </c>
      <c r="AG614" s="62">
        <f>((AF615-L615)/L615)*100</f>
        <v/>
      </c>
      <c r="AH614" s="106">
        <f>AJ615-AF615</f>
        <v/>
      </c>
      <c r="AI614" s="65">
        <f>AB615</f>
        <v/>
      </c>
      <c r="AJ614" s="65" t="n">
        <v>490</v>
      </c>
      <c r="AK614" s="66">
        <f>(AJ615-L615)/L615*100</f>
        <v/>
      </c>
      <c r="AL614" s="66" t="n"/>
      <c r="AM614" s="14">
        <f>AH615/AJ615%</f>
        <v/>
      </c>
      <c r="AN614" s="67">
        <f>AK615-AG615</f>
        <v/>
      </c>
      <c r="AO614" s="68">
        <f>AJ615/L615</f>
        <v/>
      </c>
      <c r="AP614" s="69">
        <f>(AJ615-AB615)/100</f>
        <v/>
      </c>
      <c r="AQ614" s="70">
        <f>(AJ615-AC615)/100</f>
        <v/>
      </c>
      <c r="AR614" s="71">
        <f>AI615/94</f>
        <v/>
      </c>
      <c r="AS614" s="71">
        <f>AJ615/94</f>
        <v/>
      </c>
      <c r="AT614" s="72">
        <f>AI615/24</f>
        <v/>
      </c>
      <c r="AU614" s="72">
        <f>AJ615/24</f>
        <v/>
      </c>
      <c r="AV614" s="73">
        <f>AI615/125</f>
        <v/>
      </c>
      <c r="AW614" s="73">
        <f>AJ615/125</f>
        <v/>
      </c>
    </row>
    <row r="615" ht="15" customHeight="1" s="258">
      <c r="A615" s="2" t="n"/>
      <c r="B615" s="2" t="inlineStr">
        <is>
          <t>Large</t>
        </is>
      </c>
      <c r="C615" s="91" t="inlineStr">
        <is>
          <t>MI-SDBO-L</t>
        </is>
      </c>
      <c r="D615" s="118" t="n">
        <v>120</v>
      </c>
      <c r="F615" s="2" t="n">
        <v>80</v>
      </c>
      <c r="G615" s="118" t="n">
        <v>4202</v>
      </c>
      <c r="H615" s="255" t="n">
        <v>0.18</v>
      </c>
      <c r="I615" s="2">
        <f>D616*H616</f>
        <v/>
      </c>
      <c r="K615" s="2" t="n">
        <v>50</v>
      </c>
      <c r="L615" s="4">
        <f>K616+J616+I616+F616+E616+D616</f>
        <v/>
      </c>
      <c r="M615" s="2">
        <f>D616*1%</f>
        <v/>
      </c>
      <c r="N615" s="12">
        <f>L616*8%</f>
        <v/>
      </c>
      <c r="O615" s="12">
        <f>L616*10%</f>
        <v/>
      </c>
      <c r="P615" s="12">
        <f>L616*5%</f>
        <v/>
      </c>
      <c r="Q615" s="12">
        <f>L616*2%</f>
        <v/>
      </c>
      <c r="R615" s="12">
        <f>AC616*0.5%</f>
        <v/>
      </c>
      <c r="S615" s="12">
        <f>L616*1%</f>
        <v/>
      </c>
      <c r="T615" s="60">
        <f>S616+Q616+P616+O616+N616+M616</f>
        <v/>
      </c>
      <c r="U615" s="2">
        <f>AC616*1%</f>
        <v/>
      </c>
      <c r="V615" s="44">
        <f>AC616*5%</f>
        <v/>
      </c>
      <c r="W615" s="2">
        <f>AC616*1%</f>
        <v/>
      </c>
      <c r="X615" s="2">
        <f>AC616*8%</f>
        <v/>
      </c>
      <c r="Y615" s="2">
        <f>U616+V616+W616+X616</f>
        <v/>
      </c>
      <c r="Z615" s="60">
        <f>Y616+T616+L616</f>
        <v/>
      </c>
      <c r="AA615" s="11">
        <f>Z616*20%</f>
        <v/>
      </c>
      <c r="AB615" s="12">
        <f>Z616+AA616</f>
        <v/>
      </c>
      <c r="AC615" s="2">
        <f>D616*2.1</f>
        <v/>
      </c>
      <c r="AD615" s="12">
        <f>AB616-AC616</f>
        <v/>
      </c>
      <c r="AE615" s="12">
        <f>AD616/AB616*100</f>
        <v/>
      </c>
      <c r="AG615" s="62">
        <f>((AF616-L616)/L616)*100</f>
        <v/>
      </c>
      <c r="AH615" s="106">
        <f>AJ616-AF616</f>
        <v/>
      </c>
      <c r="AI615" s="65">
        <f>AB616</f>
        <v/>
      </c>
      <c r="AJ615" s="65" t="n">
        <v>540</v>
      </c>
      <c r="AK615" s="66">
        <f>(AJ616-L616)/L616*100</f>
        <v/>
      </c>
      <c r="AL615" s="66" t="n"/>
      <c r="AM615" s="14">
        <f>AH616/AJ616%</f>
        <v/>
      </c>
      <c r="AN615" s="67">
        <f>AK616-AG616</f>
        <v/>
      </c>
      <c r="AO615" s="68">
        <f>AJ616/L616</f>
        <v/>
      </c>
      <c r="AP615" s="69">
        <f>(AJ616-AB616)/100</f>
        <v/>
      </c>
      <c r="AQ615" s="70">
        <f>(AJ616-AC616)/100</f>
        <v/>
      </c>
      <c r="AR615" s="71">
        <f>AI616/94</f>
        <v/>
      </c>
      <c r="AS615" s="71">
        <f>AJ616/94</f>
        <v/>
      </c>
      <c r="AT615" s="72">
        <f>AI616/24</f>
        <v/>
      </c>
      <c r="AU615" s="72">
        <f>AJ616/24</f>
        <v/>
      </c>
      <c r="AV615" s="73">
        <f>AI616/125</f>
        <v/>
      </c>
      <c r="AW615" s="73">
        <f>AJ616/125</f>
        <v/>
      </c>
    </row>
    <row r="616" ht="15.75" customHeight="1" s="258">
      <c r="A616" s="2" t="n"/>
      <c r="B616" s="2" t="inlineStr">
        <is>
          <t>Medium</t>
        </is>
      </c>
      <c r="C616" s="91" t="inlineStr">
        <is>
          <t>MI-SDBO-M</t>
        </is>
      </c>
      <c r="D616" s="118" t="n">
        <v>115</v>
      </c>
      <c r="F616" s="2" t="n">
        <v>80</v>
      </c>
      <c r="G616" s="118" t="n">
        <v>4202</v>
      </c>
      <c r="H616" s="255" t="n">
        <v>0.18</v>
      </c>
      <c r="I616" s="2">
        <f>D617*H617</f>
        <v/>
      </c>
      <c r="K616" s="2" t="n">
        <v>50</v>
      </c>
      <c r="L616" s="4">
        <f>K617+J617+I617+F617+E617+D617</f>
        <v/>
      </c>
      <c r="M616" s="2">
        <f>D617*1%</f>
        <v/>
      </c>
      <c r="N616" s="12">
        <f>L617*8%</f>
        <v/>
      </c>
      <c r="O616" s="12">
        <f>L617*10%</f>
        <v/>
      </c>
      <c r="P616" s="12">
        <f>L617*5%</f>
        <v/>
      </c>
      <c r="Q616" s="12">
        <f>L617*2%</f>
        <v/>
      </c>
      <c r="R616" s="12">
        <f>AC617*0.5%</f>
        <v/>
      </c>
      <c r="S616" s="12">
        <f>L617*1%</f>
        <v/>
      </c>
      <c r="T616" s="60">
        <f>S617+Q617+P617+O617+N617+M617</f>
        <v/>
      </c>
      <c r="U616" s="2">
        <f>AC617*1%</f>
        <v/>
      </c>
      <c r="V616" s="44">
        <f>AC617*5%</f>
        <v/>
      </c>
      <c r="W616" s="2">
        <f>AC617*1%</f>
        <v/>
      </c>
      <c r="X616" s="2">
        <f>AC617*8%</f>
        <v/>
      </c>
      <c r="Y616" s="2">
        <f>U617+V617+W617+X617</f>
        <v/>
      </c>
      <c r="Z616" s="60">
        <f>Y617+T617+L617</f>
        <v/>
      </c>
      <c r="AA616" s="11">
        <f>Z617*20%</f>
        <v/>
      </c>
      <c r="AB616" s="12">
        <f>Z617+AA617</f>
        <v/>
      </c>
      <c r="AC616" s="2">
        <f>D617*2.1</f>
        <v/>
      </c>
      <c r="AD616" s="12">
        <f>AB617-AC617</f>
        <v/>
      </c>
      <c r="AE616" s="12">
        <f>AD617/AB617*100</f>
        <v/>
      </c>
      <c r="AG616" s="62">
        <f>((AF617-L617)/L617)*100</f>
        <v/>
      </c>
      <c r="AH616" s="106">
        <f>AJ617-AF617</f>
        <v/>
      </c>
      <c r="AI616" s="65">
        <f>AB617</f>
        <v/>
      </c>
      <c r="AJ616" s="65" t="n">
        <v>590</v>
      </c>
      <c r="AK616" s="66">
        <f>(AJ617-L617)/L617*100</f>
        <v/>
      </c>
      <c r="AL616" s="66" t="n"/>
      <c r="AM616" s="14">
        <f>AH617/AJ617%</f>
        <v/>
      </c>
      <c r="AN616" s="67">
        <f>AK617-AG617</f>
        <v/>
      </c>
      <c r="AO616" s="68">
        <f>AJ617/L617</f>
        <v/>
      </c>
      <c r="AP616" s="69">
        <f>(AJ617-AB617)/100</f>
        <v/>
      </c>
      <c r="AQ616" s="70">
        <f>(AJ617-AC617)/100</f>
        <v/>
      </c>
      <c r="AR616" s="71">
        <f>AI617/94</f>
        <v/>
      </c>
      <c r="AS616" s="71">
        <f>AJ617/94</f>
        <v/>
      </c>
      <c r="AT616" s="72">
        <f>AI617/24</f>
        <v/>
      </c>
      <c r="AU616" s="72">
        <f>AJ617/24</f>
        <v/>
      </c>
      <c r="AV616" s="73">
        <f>AI617/125</f>
        <v/>
      </c>
      <c r="AW616" s="73">
        <f>AJ617/125</f>
        <v/>
      </c>
    </row>
    <row r="617" ht="15.75" customHeight="1" s="258">
      <c r="A617" s="2" t="inlineStr">
        <is>
          <t>Shankh/Conch</t>
        </is>
      </c>
      <c r="B617" s="2" t="inlineStr">
        <is>
          <t>Small</t>
        </is>
      </c>
      <c r="C617" s="2" t="inlineStr">
        <is>
          <t>MI-SH-S</t>
        </is>
      </c>
      <c r="D617" s="118" t="n">
        <v>650</v>
      </c>
      <c r="E617" s="2" t="n">
        <v>80</v>
      </c>
      <c r="F617" s="2" t="n">
        <v>80</v>
      </c>
      <c r="G617" s="118" t="inlineStr">
        <is>
          <t>0508 00 20</t>
        </is>
      </c>
      <c r="H617" s="118" t="n">
        <v>0</v>
      </c>
      <c r="I617" s="2">
        <f>D618*H618</f>
        <v/>
      </c>
      <c r="K617" s="2" t="n">
        <v>50</v>
      </c>
      <c r="L617" s="4">
        <f>K618+J618+I618+F618+E618+D618</f>
        <v/>
      </c>
      <c r="M617" s="2">
        <f>D618*1%</f>
        <v/>
      </c>
      <c r="N617" s="12">
        <f>L618*8%</f>
        <v/>
      </c>
      <c r="O617" s="12">
        <f>L618*10%</f>
        <v/>
      </c>
      <c r="P617" s="12">
        <f>L618*5%</f>
        <v/>
      </c>
      <c r="Q617" s="12">
        <f>L618*2%</f>
        <v/>
      </c>
      <c r="R617" s="12">
        <f>AC618*0.5%</f>
        <v/>
      </c>
      <c r="S617" s="12">
        <f>L618*1%</f>
        <v/>
      </c>
      <c r="T617" s="60">
        <f>S618+Q618+P618+O618+N618+M618</f>
        <v/>
      </c>
      <c r="U617" s="2">
        <f>AC618*1%</f>
        <v/>
      </c>
      <c r="V617" s="44">
        <f>AC618*5%</f>
        <v/>
      </c>
      <c r="W617" s="2">
        <f>AC618*1%</f>
        <v/>
      </c>
      <c r="X617" s="2">
        <f>AC618*8%</f>
        <v/>
      </c>
      <c r="Y617" s="2">
        <f>U618+V618+W618+X618</f>
        <v/>
      </c>
      <c r="Z617" s="60">
        <f>Y618+T618+L618</f>
        <v/>
      </c>
      <c r="AA617" s="11">
        <f>Z618*20%</f>
        <v/>
      </c>
      <c r="AB617" s="12">
        <f>Z618+AA618</f>
        <v/>
      </c>
      <c r="AC617" s="2">
        <f>D618*2.1</f>
        <v/>
      </c>
      <c r="AD617" s="12">
        <f>AB618-AC618</f>
        <v/>
      </c>
      <c r="AE617" s="12">
        <f>AD618/AB618*100</f>
        <v/>
      </c>
      <c r="AG617" s="62">
        <f>((AF618-L618)/L618)*100</f>
        <v/>
      </c>
      <c r="AH617" s="106">
        <f>AJ618-AF618</f>
        <v/>
      </c>
      <c r="AI617" s="65">
        <f>AB618</f>
        <v/>
      </c>
      <c r="AJ617" s="65" t="n">
        <v>1590</v>
      </c>
      <c r="AK617" s="66">
        <f>(AJ618-L618)/L618*100</f>
        <v/>
      </c>
      <c r="AL617" s="66" t="n"/>
      <c r="AM617" s="14">
        <f>AH618/AJ618%</f>
        <v/>
      </c>
      <c r="AN617" s="67">
        <f>AK618-AG618</f>
        <v/>
      </c>
      <c r="AO617" s="68">
        <f>AJ618/L618</f>
        <v/>
      </c>
      <c r="AP617" s="69">
        <f>(AJ618-AB618)/100</f>
        <v/>
      </c>
      <c r="AQ617" s="70">
        <f>(AJ618-AC618)/100</f>
        <v/>
      </c>
      <c r="AR617" s="71">
        <f>AI618/94</f>
        <v/>
      </c>
      <c r="AS617" s="71">
        <f>AJ618/94</f>
        <v/>
      </c>
      <c r="AT617" s="72">
        <f>AI618/24</f>
        <v/>
      </c>
      <c r="AU617" s="72">
        <f>AJ618/24</f>
        <v/>
      </c>
      <c r="AV617" s="73">
        <f>AI618/125</f>
        <v/>
      </c>
      <c r="AW617" s="73">
        <f>AJ618/125</f>
        <v/>
      </c>
    </row>
    <row r="618" ht="15" customHeight="1" s="258">
      <c r="A618" s="2" t="n"/>
      <c r="B618" s="2" t="inlineStr">
        <is>
          <t>Medium</t>
        </is>
      </c>
      <c r="C618" s="2" t="inlineStr">
        <is>
          <t>MI-SH-M</t>
        </is>
      </c>
      <c r="D618" s="118" t="n">
        <v>950</v>
      </c>
      <c r="E618" s="2" t="n">
        <v>80</v>
      </c>
      <c r="F618" s="2" t="n">
        <v>80</v>
      </c>
      <c r="G618" s="118" t="inlineStr">
        <is>
          <t>0508 00 20</t>
        </is>
      </c>
      <c r="H618" s="118" t="n">
        <v>0</v>
      </c>
      <c r="I618" s="2">
        <f>D619*H619</f>
        <v/>
      </c>
      <c r="K618" s="2" t="n">
        <v>50</v>
      </c>
      <c r="L618" s="4">
        <f>K619+J619+I619+F619+E619+D619</f>
        <v/>
      </c>
      <c r="M618" s="2">
        <f>D619*1%</f>
        <v/>
      </c>
      <c r="N618" s="12">
        <f>L619*8%</f>
        <v/>
      </c>
      <c r="O618" s="12">
        <f>L619*10%</f>
        <v/>
      </c>
      <c r="P618" s="12">
        <f>L619*5%</f>
        <v/>
      </c>
      <c r="Q618" s="12">
        <f>L619*2%</f>
        <v/>
      </c>
      <c r="R618" s="12">
        <f>AC619*0.5%</f>
        <v/>
      </c>
      <c r="S618" s="12">
        <f>L619*1%</f>
        <v/>
      </c>
      <c r="T618" s="60">
        <f>S619+Q619+P619+O619+N619+M619</f>
        <v/>
      </c>
      <c r="U618" s="2">
        <f>AC619*1%</f>
        <v/>
      </c>
      <c r="V618" s="44">
        <f>AC619*5%</f>
        <v/>
      </c>
      <c r="W618" s="2">
        <f>AC619*1%</f>
        <v/>
      </c>
      <c r="X618" s="2">
        <f>AC619*8%</f>
        <v/>
      </c>
      <c r="Y618" s="2">
        <f>U619+V619+W619+X619</f>
        <v/>
      </c>
      <c r="Z618" s="60">
        <f>Y619+T619+L619</f>
        <v/>
      </c>
      <c r="AA618" s="11">
        <f>Z619*20%</f>
        <v/>
      </c>
      <c r="AB618" s="12">
        <f>Z619+AA619</f>
        <v/>
      </c>
      <c r="AC618" s="2">
        <f>D619*2.1</f>
        <v/>
      </c>
      <c r="AD618" s="12">
        <f>AB619-AC619</f>
        <v/>
      </c>
      <c r="AE618" s="12">
        <f>AD619/AB619*100</f>
        <v/>
      </c>
      <c r="AG618" s="62">
        <f>((AF619-L619)/L619)*100</f>
        <v/>
      </c>
      <c r="AH618" s="106">
        <f>AJ619-AF619</f>
        <v/>
      </c>
      <c r="AI618" s="65">
        <f>AB619</f>
        <v/>
      </c>
      <c r="AJ618" s="65" t="n">
        <v>1890</v>
      </c>
      <c r="AK618" s="66">
        <f>(AJ619-L619)/L619*100</f>
        <v/>
      </c>
      <c r="AL618" s="66" t="n"/>
      <c r="AM618" s="14">
        <f>AH619/AJ619%</f>
        <v/>
      </c>
      <c r="AN618" s="67">
        <f>AK619-AG619</f>
        <v/>
      </c>
      <c r="AO618" s="68">
        <f>AJ619/L619</f>
        <v/>
      </c>
      <c r="AP618" s="69">
        <f>(AJ619-AB619)/100</f>
        <v/>
      </c>
      <c r="AQ618" s="70">
        <f>(AJ619-AC619)/100</f>
        <v/>
      </c>
      <c r="AR618" s="71">
        <f>AI619/94</f>
        <v/>
      </c>
      <c r="AS618" s="71">
        <f>AJ619/94</f>
        <v/>
      </c>
      <c r="AT618" s="72">
        <f>AI619/24</f>
        <v/>
      </c>
      <c r="AU618" s="72">
        <f>AJ619/24</f>
        <v/>
      </c>
      <c r="AV618" s="73">
        <f>AI619/125</f>
        <v/>
      </c>
      <c r="AW618" s="73">
        <f>AJ619/125</f>
        <v/>
      </c>
    </row>
    <row r="619" ht="15.75" customHeight="1" s="258">
      <c r="A619" s="2" t="n"/>
      <c r="B619" s="2" t="inlineStr">
        <is>
          <t>Large</t>
        </is>
      </c>
      <c r="C619" s="2" t="inlineStr">
        <is>
          <t>MI-SH-L</t>
        </is>
      </c>
      <c r="D619" s="118" t="n">
        <v>1200</v>
      </c>
      <c r="E619" s="2" t="n">
        <v>80</v>
      </c>
      <c r="F619" s="2" t="n">
        <v>80</v>
      </c>
      <c r="G619" s="118" t="inlineStr">
        <is>
          <t>0508 00 20</t>
        </is>
      </c>
      <c r="H619" s="118" t="n">
        <v>0</v>
      </c>
      <c r="I619" s="2">
        <f>D620*H620</f>
        <v/>
      </c>
      <c r="K619" s="2" t="n">
        <v>50</v>
      </c>
      <c r="L619" s="4">
        <f>K620+J620+I620+F620+E620+D620</f>
        <v/>
      </c>
      <c r="M619" s="2">
        <f>D620*1%</f>
        <v/>
      </c>
      <c r="N619" s="12">
        <f>L620*8%</f>
        <v/>
      </c>
      <c r="O619" s="12">
        <f>L620*10%</f>
        <v/>
      </c>
      <c r="P619" s="12">
        <f>L620*5%</f>
        <v/>
      </c>
      <c r="Q619" s="12">
        <f>L620*2%</f>
        <v/>
      </c>
      <c r="R619" s="12">
        <f>AC620*0.5%</f>
        <v/>
      </c>
      <c r="S619" s="12">
        <f>L620*1%</f>
        <v/>
      </c>
      <c r="T619" s="60">
        <f>S620+Q620+P620+O620+N620+M620</f>
        <v/>
      </c>
      <c r="U619" s="2">
        <f>AC620*1%</f>
        <v/>
      </c>
      <c r="V619" s="44">
        <f>AC620*5%</f>
        <v/>
      </c>
      <c r="W619" s="2">
        <f>AC620*1%</f>
        <v/>
      </c>
      <c r="X619" s="2">
        <f>AC620*8%</f>
        <v/>
      </c>
      <c r="Y619" s="2">
        <f>U620+V620+W620+X620</f>
        <v/>
      </c>
      <c r="Z619" s="60">
        <f>Y620+T620+L620</f>
        <v/>
      </c>
      <c r="AA619" s="11">
        <f>Z620*20%</f>
        <v/>
      </c>
      <c r="AB619" s="12">
        <f>Z620+AA620</f>
        <v/>
      </c>
      <c r="AC619" s="2">
        <f>D620*2.1</f>
        <v/>
      </c>
      <c r="AD619" s="12">
        <f>AB620-AC620</f>
        <v/>
      </c>
      <c r="AE619" s="12">
        <f>AD620/AB620*100</f>
        <v/>
      </c>
      <c r="AG619" s="62">
        <f>((AF620-L620)/L620)*100</f>
        <v/>
      </c>
      <c r="AH619" s="106">
        <f>AJ620-AF620</f>
        <v/>
      </c>
      <c r="AI619" s="65">
        <f>AB620</f>
        <v/>
      </c>
      <c r="AJ619" s="65" t="n">
        <v>1990</v>
      </c>
      <c r="AK619" s="66">
        <f>(AJ620-L620)/L620*100</f>
        <v/>
      </c>
      <c r="AL619" s="66" t="n"/>
      <c r="AM619" s="14">
        <f>AH620/AJ620%</f>
        <v/>
      </c>
      <c r="AN619" s="67">
        <f>AK620-AG620</f>
        <v/>
      </c>
      <c r="AO619" s="68">
        <f>AJ620/L620</f>
        <v/>
      </c>
      <c r="AP619" s="69">
        <f>(AJ620-AB620)/100</f>
        <v/>
      </c>
      <c r="AQ619" s="70">
        <f>(AJ620-AC620)/100</f>
        <v/>
      </c>
      <c r="AR619" s="71">
        <f>AI620/94</f>
        <v/>
      </c>
      <c r="AS619" s="71">
        <f>AJ620/94</f>
        <v/>
      </c>
      <c r="AT619" s="72">
        <f>AI620/24</f>
        <v/>
      </c>
      <c r="AU619" s="72">
        <f>AJ620/24</f>
        <v/>
      </c>
      <c r="AV619" s="73">
        <f>AI620/125</f>
        <v/>
      </c>
      <c r="AW619" s="73">
        <f>AJ620/125</f>
        <v/>
      </c>
    </row>
    <row r="620" ht="15.75" customHeight="1" s="258">
      <c r="A620" s="2" t="inlineStr">
        <is>
          <t>Shruthi Thali/Gong Plates</t>
        </is>
      </c>
      <c r="B620" s="2" t="inlineStr">
        <is>
          <t>B Plate</t>
        </is>
      </c>
      <c r="C620" s="91" t="inlineStr">
        <is>
          <t>MI-STGP-BP</t>
        </is>
      </c>
      <c r="D620" s="118" t="n">
        <v>4400</v>
      </c>
      <c r="E620" s="2" t="n">
        <v>190</v>
      </c>
      <c r="F620" s="2" t="n">
        <v>100</v>
      </c>
      <c r="G620" s="118" t="n">
        <v>83061000</v>
      </c>
      <c r="H620" s="255" t="n">
        <v>0.05</v>
      </c>
      <c r="I620" s="2">
        <f>D621*H621</f>
        <v/>
      </c>
      <c r="K620" s="2" t="n">
        <v>200</v>
      </c>
      <c r="L620" s="4">
        <f>K621+J621+I621+F621+E621+D621</f>
        <v/>
      </c>
      <c r="M620" s="2">
        <f>D621*1%</f>
        <v/>
      </c>
      <c r="N620" s="12">
        <f>L621*8%</f>
        <v/>
      </c>
      <c r="O620" s="12">
        <f>L621*10%</f>
        <v/>
      </c>
      <c r="P620" s="12">
        <f>L621*5%</f>
        <v/>
      </c>
      <c r="Q620" s="12">
        <f>L621*2%</f>
        <v/>
      </c>
      <c r="R620" s="12">
        <f>AC621*0.5%</f>
        <v/>
      </c>
      <c r="S620" s="12">
        <f>L621*1%</f>
        <v/>
      </c>
      <c r="T620" s="60">
        <f>S621+Q621+P621+O621+N621+M621</f>
        <v/>
      </c>
      <c r="U620" s="2">
        <f>AC621*1%</f>
        <v/>
      </c>
      <c r="V620" s="44">
        <f>AC621*5%</f>
        <v/>
      </c>
      <c r="W620" s="2">
        <f>AC621*1%</f>
        <v/>
      </c>
      <c r="X620" s="2">
        <f>AC621*8%</f>
        <v/>
      </c>
      <c r="Y620" s="2">
        <f>U621+V621+W621+X621</f>
        <v/>
      </c>
      <c r="Z620" s="60">
        <f>Y621+T621+L621</f>
        <v/>
      </c>
      <c r="AA620" s="11">
        <f>Z621*20%</f>
        <v/>
      </c>
      <c r="AB620" s="12">
        <f>Z621+AA621</f>
        <v/>
      </c>
      <c r="AC620" s="2">
        <f>D621*2.1</f>
        <v/>
      </c>
      <c r="AD620" s="12">
        <f>AB621-AC621</f>
        <v/>
      </c>
      <c r="AE620" s="12">
        <f>AD621/AB621*100</f>
        <v/>
      </c>
      <c r="AG620" s="62">
        <f>((AF621-L621)/L621)*100</f>
        <v/>
      </c>
      <c r="AH620" s="106">
        <f>AJ621-AF621</f>
        <v/>
      </c>
      <c r="AI620" s="65">
        <f>AB621</f>
        <v/>
      </c>
      <c r="AJ620" s="65" t="n">
        <v>8990</v>
      </c>
      <c r="AK620" s="66">
        <f>(AJ621-L621)/L621*100</f>
        <v/>
      </c>
      <c r="AL620" s="66" t="n"/>
      <c r="AM620" s="14">
        <f>AH621/AJ621%</f>
        <v/>
      </c>
      <c r="AN620" s="67">
        <f>AK621-AG621</f>
        <v/>
      </c>
      <c r="AO620" s="68">
        <f>AJ621/L621</f>
        <v/>
      </c>
      <c r="AP620" s="69">
        <f>(AJ621-AB621)/100</f>
        <v/>
      </c>
      <c r="AQ620" s="70">
        <f>(AJ621-AC621)/100</f>
        <v/>
      </c>
      <c r="AR620" s="71">
        <f>AI621/94</f>
        <v/>
      </c>
      <c r="AS620" s="71">
        <f>AJ621/94</f>
        <v/>
      </c>
      <c r="AT620" s="72">
        <f>AI621/24</f>
        <v/>
      </c>
      <c r="AU620" s="72">
        <f>AJ621/24</f>
        <v/>
      </c>
      <c r="AV620" s="73">
        <f>AI621/125</f>
        <v/>
      </c>
      <c r="AW620" s="73">
        <f>AJ621/125</f>
        <v/>
      </c>
    </row>
    <row r="621" ht="15" customHeight="1" s="258">
      <c r="A621" s="2" t="n"/>
      <c r="B621" s="2" t="inlineStr">
        <is>
          <t>A Plate</t>
        </is>
      </c>
      <c r="C621" s="91" t="inlineStr">
        <is>
          <t>MI-STGP-AP</t>
        </is>
      </c>
      <c r="D621" s="118" t="n">
        <v>4950</v>
      </c>
      <c r="E621" s="2" t="n">
        <v>190</v>
      </c>
      <c r="F621" s="2" t="n">
        <v>100</v>
      </c>
      <c r="G621" s="118" t="n">
        <v>83061000</v>
      </c>
      <c r="H621" s="255" t="n">
        <v>0.05</v>
      </c>
      <c r="I621" s="2">
        <f>D622*H622</f>
        <v/>
      </c>
      <c r="K621" s="2" t="n">
        <v>200</v>
      </c>
      <c r="L621" s="4">
        <f>K622+J622+I622+F622+E622+D622</f>
        <v/>
      </c>
      <c r="M621" s="2">
        <f>D622*1%</f>
        <v/>
      </c>
      <c r="N621" s="12">
        <f>L622*8%</f>
        <v/>
      </c>
      <c r="O621" s="12">
        <f>L622*10%</f>
        <v/>
      </c>
      <c r="P621" s="12">
        <f>L622*5%</f>
        <v/>
      </c>
      <c r="Q621" s="12">
        <f>L622*2%</f>
        <v/>
      </c>
      <c r="R621" s="12">
        <f>AC622*0.5%</f>
        <v/>
      </c>
      <c r="S621" s="12">
        <f>L622*1%</f>
        <v/>
      </c>
      <c r="T621" s="60">
        <f>S622+Q622+P622+O622+N622+M622</f>
        <v/>
      </c>
      <c r="U621" s="2">
        <f>AC622*1%</f>
        <v/>
      </c>
      <c r="V621" s="44">
        <f>AC622*5%</f>
        <v/>
      </c>
      <c r="W621" s="2">
        <f>AC622*1%</f>
        <v/>
      </c>
      <c r="X621" s="2">
        <f>AC622*8%</f>
        <v/>
      </c>
      <c r="Y621" s="2">
        <f>U622+V622+W622+X622</f>
        <v/>
      </c>
      <c r="Z621" s="60">
        <f>Y622+T622+L622</f>
        <v/>
      </c>
      <c r="AA621" s="11">
        <f>Z622*20%</f>
        <v/>
      </c>
      <c r="AB621" s="12">
        <f>Z622+AA622</f>
        <v/>
      </c>
      <c r="AC621" s="2">
        <f>D622*2.1</f>
        <v/>
      </c>
      <c r="AD621" s="12">
        <f>AB622-AC622</f>
        <v/>
      </c>
      <c r="AE621" s="12">
        <f>AD622/AB622*100</f>
        <v/>
      </c>
      <c r="AG621" s="62">
        <f>((AF622-L622)/L622)*100</f>
        <v/>
      </c>
      <c r="AH621" s="106">
        <f>AJ622-AF622</f>
        <v/>
      </c>
      <c r="AI621" s="65">
        <f>AB622</f>
        <v/>
      </c>
      <c r="AJ621" s="65" t="n">
        <v>9990</v>
      </c>
      <c r="AK621" s="66">
        <f>(AJ622-L622)/L622*100</f>
        <v/>
      </c>
      <c r="AL621" s="66" t="n"/>
      <c r="AM621" s="14">
        <f>AH622/AJ622%</f>
        <v/>
      </c>
      <c r="AN621" s="67">
        <f>AK622-AG622</f>
        <v/>
      </c>
      <c r="AO621" s="68">
        <f>AJ622/L622</f>
        <v/>
      </c>
      <c r="AP621" s="69">
        <f>(AJ622-AB622)/100</f>
        <v/>
      </c>
      <c r="AQ621" s="70">
        <f>(AJ622-AC622)/100</f>
        <v/>
      </c>
      <c r="AR621" s="71">
        <f>AI622/94</f>
        <v/>
      </c>
      <c r="AS621" s="71">
        <f>AJ622/94</f>
        <v/>
      </c>
      <c r="AT621" s="72">
        <f>AI622/24</f>
        <v/>
      </c>
      <c r="AU621" s="72">
        <f>AJ622/24</f>
        <v/>
      </c>
      <c r="AV621" s="73">
        <f>AI622/125</f>
        <v/>
      </c>
      <c r="AW621" s="73">
        <f>AJ622/125</f>
        <v/>
      </c>
    </row>
    <row r="622" ht="15.75" customHeight="1" s="258">
      <c r="A622" s="2" t="n"/>
      <c r="B622" s="2" t="inlineStr">
        <is>
          <t>G Plate</t>
        </is>
      </c>
      <c r="C622" s="91" t="inlineStr">
        <is>
          <t>MI-STGP-GP</t>
        </is>
      </c>
      <c r="D622" s="118" t="n">
        <v>5500</v>
      </c>
      <c r="E622" s="2" t="n">
        <v>190</v>
      </c>
      <c r="F622" s="2" t="n">
        <v>100</v>
      </c>
      <c r="G622" s="118" t="n">
        <v>83061000</v>
      </c>
      <c r="H622" s="255" t="n">
        <v>0.05</v>
      </c>
      <c r="I622" s="2">
        <f>D623*H623</f>
        <v/>
      </c>
      <c r="K622" s="2" t="n">
        <v>200</v>
      </c>
      <c r="L622" s="4">
        <f>K623+J623+I623+F623+E623+D623</f>
        <v/>
      </c>
      <c r="M622" s="2">
        <f>D623*1%</f>
        <v/>
      </c>
      <c r="N622" s="12">
        <f>L623*8%</f>
        <v/>
      </c>
      <c r="O622" s="12">
        <f>L623*10%</f>
        <v/>
      </c>
      <c r="P622" s="12">
        <f>L623*5%</f>
        <v/>
      </c>
      <c r="Q622" s="12">
        <f>L623*2%</f>
        <v/>
      </c>
      <c r="R622" s="12">
        <f>AC623*0.5%</f>
        <v/>
      </c>
      <c r="S622" s="12">
        <f>L623*1%</f>
        <v/>
      </c>
      <c r="T622" s="60">
        <f>S623+Q623+P623+O623+N623+M623</f>
        <v/>
      </c>
      <c r="U622" s="2">
        <f>AC623*1%</f>
        <v/>
      </c>
      <c r="V622" s="44">
        <f>AC623*5%</f>
        <v/>
      </c>
      <c r="W622" s="2">
        <f>AC623*1%</f>
        <v/>
      </c>
      <c r="X622" s="2">
        <f>AC623*8%</f>
        <v/>
      </c>
      <c r="Y622" s="2">
        <f>U623+V623+W623+X623</f>
        <v/>
      </c>
      <c r="Z622" s="60">
        <f>Y623+T623+L623</f>
        <v/>
      </c>
      <c r="AA622" s="11">
        <f>Z623*20%</f>
        <v/>
      </c>
      <c r="AB622" s="12">
        <f>Z623+AA623</f>
        <v/>
      </c>
      <c r="AC622" s="2">
        <f>D623*2.1</f>
        <v/>
      </c>
      <c r="AD622" s="12">
        <f>AB623-AC623</f>
        <v/>
      </c>
      <c r="AE622" s="12">
        <f>AD623/AB623*100</f>
        <v/>
      </c>
      <c r="AG622" s="62">
        <f>((AF623-L623)/L623)*100</f>
        <v/>
      </c>
      <c r="AH622" s="106">
        <f>AJ623-AF623</f>
        <v/>
      </c>
      <c r="AI622" s="65">
        <f>AB623</f>
        <v/>
      </c>
      <c r="AJ622" s="65" t="n">
        <v>10990</v>
      </c>
      <c r="AK622" s="66">
        <f>(AJ623-L623)/L623*100</f>
        <v/>
      </c>
      <c r="AL622" s="66" t="n"/>
      <c r="AM622" s="14">
        <f>AH623/AJ623%</f>
        <v/>
      </c>
      <c r="AN622" s="67">
        <f>AK623-AG623</f>
        <v/>
      </c>
      <c r="AO622" s="68">
        <f>AJ623/L623</f>
        <v/>
      </c>
      <c r="AP622" s="69">
        <f>(AJ623-AB623)/100</f>
        <v/>
      </c>
      <c r="AQ622" s="70">
        <f>(AJ623-AC623)/100</f>
        <v/>
      </c>
      <c r="AR622" s="71">
        <f>AI623/94</f>
        <v/>
      </c>
      <c r="AS622" s="71">
        <f>AJ623/94</f>
        <v/>
      </c>
      <c r="AT622" s="72">
        <f>AI623/24</f>
        <v/>
      </c>
      <c r="AU622" s="72">
        <f>AJ623/24</f>
        <v/>
      </c>
      <c r="AV622" s="73">
        <f>AI623/125</f>
        <v/>
      </c>
      <c r="AW622" s="73">
        <f>AJ623/125</f>
        <v/>
      </c>
    </row>
    <row r="623" ht="15.75" customHeight="1" s="258">
      <c r="A623" s="2" t="n"/>
      <c r="B623" s="2" t="inlineStr">
        <is>
          <t>F Plate</t>
        </is>
      </c>
      <c r="C623" s="91" t="inlineStr">
        <is>
          <t>MI-STGP-FP</t>
        </is>
      </c>
      <c r="D623" s="118" t="n">
        <v>6050</v>
      </c>
      <c r="E623" s="2" t="n">
        <v>190</v>
      </c>
      <c r="F623" s="2" t="n">
        <v>100</v>
      </c>
      <c r="G623" s="118" t="n">
        <v>83061000</v>
      </c>
      <c r="H623" s="255" t="n">
        <v>0.05</v>
      </c>
      <c r="I623" s="2">
        <f>D624*H624</f>
        <v/>
      </c>
      <c r="K623" s="2" t="n">
        <v>200</v>
      </c>
      <c r="L623" s="4">
        <f>K624+J624+I624+F624+E624+D624</f>
        <v/>
      </c>
      <c r="M623" s="2">
        <f>D624*1%</f>
        <v/>
      </c>
      <c r="N623" s="12">
        <f>L624*8%</f>
        <v/>
      </c>
      <c r="O623" s="12">
        <f>L624*10%</f>
        <v/>
      </c>
      <c r="P623" s="12">
        <f>L624*5%</f>
        <v/>
      </c>
      <c r="Q623" s="12">
        <f>L624*2%</f>
        <v/>
      </c>
      <c r="R623" s="12">
        <f>AC624*0.5%</f>
        <v/>
      </c>
      <c r="S623" s="12">
        <f>L624*1%</f>
        <v/>
      </c>
      <c r="T623" s="60">
        <f>S624+Q624+P624+O624+N624+M624</f>
        <v/>
      </c>
      <c r="U623" s="2">
        <f>AC624*1%</f>
        <v/>
      </c>
      <c r="V623" s="44">
        <f>AC624*5%</f>
        <v/>
      </c>
      <c r="W623" s="2">
        <f>AC624*1%</f>
        <v/>
      </c>
      <c r="X623" s="2">
        <f>AC624*8%</f>
        <v/>
      </c>
      <c r="Y623" s="2">
        <f>U624+V624+W624+X624</f>
        <v/>
      </c>
      <c r="Z623" s="60">
        <f>Y624+T624+L624</f>
        <v/>
      </c>
      <c r="AA623" s="11">
        <f>Z624*20%</f>
        <v/>
      </c>
      <c r="AB623" s="12">
        <f>Z624+AA624</f>
        <v/>
      </c>
      <c r="AC623" s="2">
        <f>D624*2.1</f>
        <v/>
      </c>
      <c r="AD623" s="12">
        <f>AB624-AC624</f>
        <v/>
      </c>
      <c r="AE623" s="12">
        <f>AD624/AB624*100</f>
        <v/>
      </c>
      <c r="AG623" s="62">
        <f>((AF624-L624)/L624)*100</f>
        <v/>
      </c>
      <c r="AH623" s="106">
        <f>AJ624-AF624</f>
        <v/>
      </c>
      <c r="AI623" s="65">
        <f>AB624</f>
        <v/>
      </c>
      <c r="AJ623" s="65" t="n">
        <v>11990</v>
      </c>
      <c r="AK623" s="66">
        <f>(AJ624-L624)/L624*100</f>
        <v/>
      </c>
      <c r="AL623" s="66" t="n"/>
      <c r="AM623" s="14">
        <f>AH624/AJ624%</f>
        <v/>
      </c>
      <c r="AN623" s="67">
        <f>AK624-AG624</f>
        <v/>
      </c>
      <c r="AO623" s="68">
        <f>AJ624/L624</f>
        <v/>
      </c>
      <c r="AP623" s="69">
        <f>(AJ624-AB624)/100</f>
        <v/>
      </c>
      <c r="AQ623" s="70">
        <f>(AJ624-AC624)/100</f>
        <v/>
      </c>
      <c r="AR623" s="71">
        <f>AI624/94</f>
        <v/>
      </c>
      <c r="AS623" s="71">
        <f>AJ624/94</f>
        <v/>
      </c>
      <c r="AT623" s="72">
        <f>AI624/24</f>
        <v/>
      </c>
      <c r="AU623" s="72">
        <f>AJ624/24</f>
        <v/>
      </c>
      <c r="AV623" s="73">
        <f>AI624/125</f>
        <v/>
      </c>
      <c r="AW623" s="73">
        <f>AJ624/125</f>
        <v/>
      </c>
    </row>
    <row r="624" ht="15.75" customHeight="1" s="258">
      <c r="A624" s="2" t="n"/>
      <c r="B624" s="2" t="inlineStr">
        <is>
          <t>E Plate</t>
        </is>
      </c>
      <c r="C624" s="91" t="inlineStr">
        <is>
          <t>MI-STGP-EP</t>
        </is>
      </c>
      <c r="D624" s="118" t="n">
        <v>6600</v>
      </c>
      <c r="E624" s="2" t="n">
        <v>190</v>
      </c>
      <c r="F624" s="2" t="n">
        <v>100</v>
      </c>
      <c r="G624" s="118" t="n">
        <v>83061000</v>
      </c>
      <c r="H624" s="255" t="n">
        <v>0.05</v>
      </c>
      <c r="I624" s="2">
        <f>D625*H625</f>
        <v/>
      </c>
      <c r="K624" s="2" t="n">
        <v>200</v>
      </c>
      <c r="L624" s="4">
        <f>K625+J625+I625+F625+E625+D625</f>
        <v/>
      </c>
      <c r="M624" s="2">
        <f>D625*1%</f>
        <v/>
      </c>
      <c r="N624" s="12">
        <f>L625*8%</f>
        <v/>
      </c>
      <c r="O624" s="12">
        <f>L625*10%</f>
        <v/>
      </c>
      <c r="P624" s="12">
        <f>L625*5%</f>
        <v/>
      </c>
      <c r="Q624" s="12">
        <f>L625*2%</f>
        <v/>
      </c>
      <c r="R624" s="12">
        <f>AC625*0.5%</f>
        <v/>
      </c>
      <c r="S624" s="12">
        <f>L625*1%</f>
        <v/>
      </c>
      <c r="T624" s="60">
        <f>S625+Q625+P625+O625+N625+M625</f>
        <v/>
      </c>
      <c r="U624" s="2">
        <f>AC625*1%</f>
        <v/>
      </c>
      <c r="V624" s="44">
        <f>AC625*5%</f>
        <v/>
      </c>
      <c r="W624" s="2">
        <f>AC625*1%</f>
        <v/>
      </c>
      <c r="X624" s="2">
        <f>AC625*8%</f>
        <v/>
      </c>
      <c r="Y624" s="2">
        <f>U625+V625+W625+X625</f>
        <v/>
      </c>
      <c r="Z624" s="60">
        <f>Y625+T625+L625</f>
        <v/>
      </c>
      <c r="AA624" s="11">
        <f>Z625*20%</f>
        <v/>
      </c>
      <c r="AB624" s="12">
        <f>Z625+AA625</f>
        <v/>
      </c>
      <c r="AC624" s="2">
        <f>D625*2.1</f>
        <v/>
      </c>
      <c r="AD624" s="12">
        <f>AB625-AC625</f>
        <v/>
      </c>
      <c r="AE624" s="12">
        <f>AD625/AB625*100</f>
        <v/>
      </c>
      <c r="AG624" s="62">
        <f>((AF625-L625)/L625)*100</f>
        <v/>
      </c>
      <c r="AH624" s="106">
        <f>AJ625-AF625</f>
        <v/>
      </c>
      <c r="AI624" s="65">
        <f>AB625</f>
        <v/>
      </c>
      <c r="AJ624" s="65" t="n">
        <v>12990</v>
      </c>
      <c r="AK624" s="66">
        <f>(AJ625-L625)/L625*100</f>
        <v/>
      </c>
      <c r="AL624" s="66" t="n"/>
      <c r="AM624" s="14">
        <f>AH625/AJ625%</f>
        <v/>
      </c>
      <c r="AN624" s="67">
        <f>AK625-AG625</f>
        <v/>
      </c>
      <c r="AO624" s="68">
        <f>AJ625/L625</f>
        <v/>
      </c>
      <c r="AP624" s="69">
        <f>(AJ625-AB625)/100</f>
        <v/>
      </c>
      <c r="AQ624" s="70">
        <f>(AJ625-AC625)/100</f>
        <v/>
      </c>
      <c r="AR624" s="71">
        <f>AI625/94</f>
        <v/>
      </c>
      <c r="AS624" s="71">
        <f>AJ625/94</f>
        <v/>
      </c>
      <c r="AT624" s="72">
        <f>AI625/24</f>
        <v/>
      </c>
      <c r="AU624" s="72">
        <f>AJ625/24</f>
        <v/>
      </c>
      <c r="AV624" s="73">
        <f>AI625/125</f>
        <v/>
      </c>
      <c r="AW624" s="73">
        <f>AJ625/125</f>
        <v/>
      </c>
    </row>
    <row r="625" ht="15.75" customHeight="1" s="258">
      <c r="A625" s="2" t="n"/>
      <c r="B625" s="2" t="inlineStr">
        <is>
          <t>D Plate</t>
        </is>
      </c>
      <c r="C625" s="91" t="inlineStr">
        <is>
          <t>MI-STGP-DP</t>
        </is>
      </c>
      <c r="D625" s="118" t="n">
        <v>8250</v>
      </c>
      <c r="E625" s="2" t="n">
        <v>190</v>
      </c>
      <c r="F625" s="2" t="n">
        <v>100</v>
      </c>
      <c r="G625" s="118" t="n">
        <v>83061000</v>
      </c>
      <c r="H625" s="255" t="n">
        <v>0.05</v>
      </c>
      <c r="I625" s="2">
        <f>D626*H626</f>
        <v/>
      </c>
      <c r="K625" s="2" t="n">
        <v>200</v>
      </c>
      <c r="L625" s="4">
        <f>K626+J626+I626+F626+E626+D626</f>
        <v/>
      </c>
      <c r="M625" s="2">
        <f>D626*1%</f>
        <v/>
      </c>
      <c r="N625" s="12">
        <f>L626*8%</f>
        <v/>
      </c>
      <c r="O625" s="12">
        <f>L626*10%</f>
        <v/>
      </c>
      <c r="P625" s="12">
        <f>L626*5%</f>
        <v/>
      </c>
      <c r="Q625" s="12">
        <f>L626*2%</f>
        <v/>
      </c>
      <c r="R625" s="12">
        <f>AC626*0.5%</f>
        <v/>
      </c>
      <c r="S625" s="12">
        <f>L626*1%</f>
        <v/>
      </c>
      <c r="T625" s="60">
        <f>S626+Q626+P626+O626+N626+M626</f>
        <v/>
      </c>
      <c r="U625" s="2">
        <f>AC626*1%</f>
        <v/>
      </c>
      <c r="V625" s="44">
        <f>AC626*5%</f>
        <v/>
      </c>
      <c r="W625" s="2">
        <f>AC626*1%</f>
        <v/>
      </c>
      <c r="X625" s="2">
        <f>AC626*8%</f>
        <v/>
      </c>
      <c r="Y625" s="2">
        <f>U626+V626+W626+X626</f>
        <v/>
      </c>
      <c r="Z625" s="60">
        <f>Y626+T626+L626</f>
        <v/>
      </c>
      <c r="AA625" s="11">
        <f>Z626*20%</f>
        <v/>
      </c>
      <c r="AB625" s="12">
        <f>Z626+AA626</f>
        <v/>
      </c>
      <c r="AC625" s="2">
        <f>D626*2.1</f>
        <v/>
      </c>
      <c r="AD625" s="12">
        <f>AB626-AC626</f>
        <v/>
      </c>
      <c r="AE625" s="12">
        <f>AD626/AB626*100</f>
        <v/>
      </c>
      <c r="AG625" s="62">
        <f>((AF626-L626)/L626)*100</f>
        <v/>
      </c>
      <c r="AH625" s="106">
        <f>AJ626-AF626</f>
        <v/>
      </c>
      <c r="AI625" s="65">
        <f>AB626</f>
        <v/>
      </c>
      <c r="AJ625" s="65" t="n">
        <v>14990</v>
      </c>
      <c r="AK625" s="66">
        <f>(AJ626-L626)/L626*100</f>
        <v/>
      </c>
      <c r="AL625" s="66" t="n"/>
      <c r="AM625" s="14">
        <f>AH626/AJ626%</f>
        <v/>
      </c>
      <c r="AN625" s="67">
        <f>AK626-AG626</f>
        <v/>
      </c>
      <c r="AO625" s="68">
        <f>AJ626/L626</f>
        <v/>
      </c>
      <c r="AP625" s="69">
        <f>(AJ626-AB626)/100</f>
        <v/>
      </c>
      <c r="AQ625" s="70">
        <f>(AJ626-AC626)/100</f>
        <v/>
      </c>
      <c r="AR625" s="71">
        <f>AI626/94</f>
        <v/>
      </c>
      <c r="AS625" s="71">
        <f>AJ626/94</f>
        <v/>
      </c>
      <c r="AT625" s="72">
        <f>AI626/24</f>
        <v/>
      </c>
      <c r="AU625" s="72">
        <f>AJ626/24</f>
        <v/>
      </c>
      <c r="AV625" s="73">
        <f>AI626/125</f>
        <v/>
      </c>
      <c r="AW625" s="73">
        <f>AJ626/125</f>
        <v/>
      </c>
    </row>
    <row r="626" ht="15.75" customHeight="1" s="258">
      <c r="A626" s="2" t="n"/>
      <c r="B626" s="2" t="inlineStr">
        <is>
          <t>C Plate</t>
        </is>
      </c>
      <c r="C626" s="91" t="inlineStr">
        <is>
          <t>MI-STGP-CP</t>
        </is>
      </c>
      <c r="D626" s="118" t="n">
        <v>9350</v>
      </c>
      <c r="E626" s="2" t="n">
        <v>190</v>
      </c>
      <c r="F626" s="2" t="n">
        <v>100</v>
      </c>
      <c r="G626" s="118" t="n">
        <v>83061000</v>
      </c>
      <c r="H626" s="255" t="n">
        <v>0.05</v>
      </c>
      <c r="I626" s="2">
        <f>D627*H627</f>
        <v/>
      </c>
      <c r="K626" s="2" t="n">
        <v>200</v>
      </c>
      <c r="L626" s="4">
        <f>K627+J627+I627+F627+E627+D627</f>
        <v/>
      </c>
      <c r="M626" s="2">
        <f>D627*1%</f>
        <v/>
      </c>
      <c r="N626" s="12">
        <f>L627*8%</f>
        <v/>
      </c>
      <c r="O626" s="12">
        <f>L627*10%</f>
        <v/>
      </c>
      <c r="P626" s="12">
        <f>L627*5%</f>
        <v/>
      </c>
      <c r="Q626" s="12">
        <f>L627*2%</f>
        <v/>
      </c>
      <c r="R626" s="12">
        <f>AC627*0.5%</f>
        <v/>
      </c>
      <c r="S626" s="12">
        <f>L627*1%</f>
        <v/>
      </c>
      <c r="T626" s="60">
        <f>S627+Q627+P627+O627+N627+M627</f>
        <v/>
      </c>
      <c r="U626" s="2">
        <f>AC627*1%</f>
        <v/>
      </c>
      <c r="V626" s="44">
        <f>AC627*5%</f>
        <v/>
      </c>
      <c r="W626" s="2">
        <f>AC627*1%</f>
        <v/>
      </c>
      <c r="X626" s="2">
        <f>AC627*8%</f>
        <v/>
      </c>
      <c r="Y626" s="2">
        <f>U627+V627+W627+X627</f>
        <v/>
      </c>
      <c r="Z626" s="60">
        <f>Y627+T627+L627</f>
        <v/>
      </c>
      <c r="AA626" s="11">
        <f>Z627*20%</f>
        <v/>
      </c>
      <c r="AB626" s="12">
        <f>Z627+AA627</f>
        <v/>
      </c>
      <c r="AC626" s="2">
        <f>D627*2.1</f>
        <v/>
      </c>
      <c r="AD626" s="12">
        <f>AB627-AC627</f>
        <v/>
      </c>
      <c r="AE626" s="12">
        <f>AD627/AB627*100</f>
        <v/>
      </c>
      <c r="AG626" s="62">
        <f>((AF627-L627)/L627)*100</f>
        <v/>
      </c>
      <c r="AH626" s="106">
        <f>AJ627-AF627</f>
        <v/>
      </c>
      <c r="AI626" s="65">
        <f>AB627</f>
        <v/>
      </c>
      <c r="AJ626" s="65" t="n">
        <v>17990</v>
      </c>
      <c r="AK626" s="66">
        <f>(AJ627-L627)/L627*100</f>
        <v/>
      </c>
      <c r="AL626" s="66" t="n"/>
      <c r="AM626" s="14">
        <f>AH627/AJ627%</f>
        <v/>
      </c>
      <c r="AN626" s="67">
        <f>AK627-AG627</f>
        <v/>
      </c>
      <c r="AO626" s="68">
        <f>AJ627/L627</f>
        <v/>
      </c>
      <c r="AP626" s="69">
        <f>(AJ627-AB627)/100</f>
        <v/>
      </c>
      <c r="AQ626" s="70">
        <f>(AJ627-AC627)/100</f>
        <v/>
      </c>
      <c r="AR626" s="71">
        <f>AI627/94</f>
        <v/>
      </c>
      <c r="AS626" s="71">
        <f>AJ627/94</f>
        <v/>
      </c>
      <c r="AT626" s="72">
        <f>AI627/24</f>
        <v/>
      </c>
      <c r="AU626" s="72">
        <f>AJ627/24</f>
        <v/>
      </c>
      <c r="AV626" s="73">
        <f>AI627/125</f>
        <v/>
      </c>
      <c r="AW626" s="73">
        <f>AJ627/125</f>
        <v/>
      </c>
    </row>
    <row r="627" ht="15.75" customHeight="1" s="258">
      <c r="A627" s="2" t="n"/>
      <c r="B627" s="2" t="inlineStr">
        <is>
          <t>Full Set</t>
        </is>
      </c>
      <c r="C627" s="91" t="inlineStr">
        <is>
          <t>MI-STGP-FU</t>
        </is>
      </c>
      <c r="D627" s="118" t="n">
        <v>52100</v>
      </c>
      <c r="E627" s="2" t="n">
        <v>700</v>
      </c>
      <c r="F627" s="2" t="n">
        <v>300</v>
      </c>
      <c r="G627" s="118" t="n">
        <v>83061000</v>
      </c>
      <c r="H627" s="255" t="n">
        <v>0.05</v>
      </c>
      <c r="I627" s="2">
        <f>D628*H628</f>
        <v/>
      </c>
      <c r="K627" s="2" t="n">
        <v>1000</v>
      </c>
      <c r="L627" s="4">
        <f>K628+J628+I628+F628+E628+D628</f>
        <v/>
      </c>
      <c r="M627" s="2">
        <f>D628*1%</f>
        <v/>
      </c>
      <c r="N627" s="12">
        <f>L628*8%</f>
        <v/>
      </c>
      <c r="O627" s="12">
        <f>L628*10%</f>
        <v/>
      </c>
      <c r="P627" s="12">
        <f>L628*5%</f>
        <v/>
      </c>
      <c r="Q627" s="12">
        <f>L628*2%</f>
        <v/>
      </c>
      <c r="R627" s="12">
        <f>AC628*0.5%</f>
        <v/>
      </c>
      <c r="S627" s="12">
        <f>L628*1%</f>
        <v/>
      </c>
      <c r="T627" s="60">
        <f>S628+Q628+P628+O628+N628+M628</f>
        <v/>
      </c>
      <c r="U627" s="2">
        <f>AC628*1%</f>
        <v/>
      </c>
      <c r="V627" s="44">
        <f>AC628*5%</f>
        <v/>
      </c>
      <c r="W627" s="2">
        <f>AC628*1%</f>
        <v/>
      </c>
      <c r="X627" s="2">
        <f>AC628*8%</f>
        <v/>
      </c>
      <c r="Y627" s="2">
        <f>U628+V628+W628+X628</f>
        <v/>
      </c>
      <c r="Z627" s="60">
        <f>Y628+T628+L628</f>
        <v/>
      </c>
      <c r="AA627" s="11">
        <f>Z628*20%</f>
        <v/>
      </c>
      <c r="AB627" s="12">
        <f>Z628+AA628</f>
        <v/>
      </c>
      <c r="AC627" s="2">
        <f>D628*2.1</f>
        <v/>
      </c>
      <c r="AD627" s="12">
        <f>AB628-AC628</f>
        <v/>
      </c>
      <c r="AE627" s="12">
        <f>AD628/AB628*100</f>
        <v/>
      </c>
      <c r="AG627" s="62">
        <f>((AF628-L628)/L628)*100</f>
        <v/>
      </c>
      <c r="AH627" s="106">
        <f>AJ628-AF628</f>
        <v/>
      </c>
      <c r="AI627" s="65">
        <f>AB628</f>
        <v/>
      </c>
      <c r="AJ627" s="65" t="n">
        <v>99990</v>
      </c>
      <c r="AK627" s="66">
        <f>(AJ628-L628)/L628*100</f>
        <v/>
      </c>
      <c r="AL627" s="66" t="n"/>
      <c r="AM627" s="14">
        <f>AH628/AJ628%</f>
        <v/>
      </c>
      <c r="AN627" s="67">
        <f>AK628-AG628</f>
        <v/>
      </c>
      <c r="AO627" s="68">
        <f>AJ628/L628</f>
        <v/>
      </c>
      <c r="AP627" s="69">
        <f>(AJ628-AB628)/100</f>
        <v/>
      </c>
      <c r="AQ627" s="70">
        <f>(AJ628-AC628)/100</f>
        <v/>
      </c>
      <c r="AR627" s="71">
        <f>AI628/94</f>
        <v/>
      </c>
      <c r="AS627" s="71">
        <f>AJ628/94</f>
        <v/>
      </c>
      <c r="AT627" s="72">
        <f>AI628/24</f>
        <v/>
      </c>
      <c r="AU627" s="72">
        <f>AJ628/24</f>
        <v/>
      </c>
      <c r="AV627" s="73">
        <f>AI628/125</f>
        <v/>
      </c>
      <c r="AW627" s="73">
        <f>AJ628/125</f>
        <v/>
      </c>
    </row>
    <row r="628" ht="15.75" customHeight="1" s="258">
      <c r="A628" s="2" t="inlineStr">
        <is>
          <t>Shruti Box</t>
        </is>
      </c>
      <c r="B628" s="2" t="inlineStr">
        <is>
          <t>1 Octave</t>
        </is>
      </c>
      <c r="C628" s="91" t="inlineStr">
        <is>
          <t>MI-SB-1</t>
        </is>
      </c>
      <c r="D628" s="118" t="n">
        <v>6500</v>
      </c>
      <c r="F628" s="2" t="n">
        <v>125</v>
      </c>
      <c r="G628" s="118" t="n">
        <v>92030010</v>
      </c>
      <c r="H628" s="118" t="n">
        <v>0</v>
      </c>
      <c r="I628" s="2">
        <f>D629*H629</f>
        <v/>
      </c>
      <c r="K628" s="2" t="n">
        <v>300</v>
      </c>
      <c r="L628" s="4">
        <f>K629+J629+I629+F629+E629+D629</f>
        <v/>
      </c>
      <c r="M628" s="2">
        <f>D629*1%</f>
        <v/>
      </c>
      <c r="N628" s="12">
        <f>L629*8%</f>
        <v/>
      </c>
      <c r="O628" s="12">
        <f>L629*10%</f>
        <v/>
      </c>
      <c r="P628" s="12">
        <f>L629*5%</f>
        <v/>
      </c>
      <c r="Q628" s="12">
        <f>L629*2%</f>
        <v/>
      </c>
      <c r="R628" s="12">
        <f>AC629*0.5%</f>
        <v/>
      </c>
      <c r="S628" s="12">
        <f>L629*1%</f>
        <v/>
      </c>
      <c r="T628" s="60">
        <f>S629+Q629+P629+O629+N629+M629</f>
        <v/>
      </c>
      <c r="U628" s="2">
        <f>AC629*1%</f>
        <v/>
      </c>
      <c r="V628" s="44">
        <f>AC629*5%</f>
        <v/>
      </c>
      <c r="W628" s="2">
        <f>AC629*1%</f>
        <v/>
      </c>
      <c r="X628" s="2">
        <f>AC629*8%</f>
        <v/>
      </c>
      <c r="Y628" s="2">
        <f>U629+V629+W629+X629</f>
        <v/>
      </c>
      <c r="Z628" s="60">
        <f>Y629+T629+L629</f>
        <v/>
      </c>
      <c r="AA628" s="11">
        <f>Z629*20%</f>
        <v/>
      </c>
      <c r="AB628" s="12">
        <f>Z629+AA629</f>
        <v/>
      </c>
      <c r="AC628" s="2">
        <f>D629*2.1</f>
        <v/>
      </c>
      <c r="AD628" s="12">
        <f>AB629-AC629</f>
        <v/>
      </c>
      <c r="AE628" s="12">
        <f>AD629/AB629*100</f>
        <v/>
      </c>
      <c r="AG628" s="62">
        <f>((AF629-L629)/L629)*100</f>
        <v/>
      </c>
      <c r="AH628" s="106">
        <f>AJ629-AF629</f>
        <v/>
      </c>
      <c r="AI628" s="65">
        <f>AB629</f>
        <v/>
      </c>
      <c r="AJ628" s="65" t="n">
        <v>11990</v>
      </c>
      <c r="AK628" s="66">
        <f>(AJ629-L629)/L629*100</f>
        <v/>
      </c>
      <c r="AL628" s="66" t="n"/>
      <c r="AM628" s="14">
        <f>AH629/AJ629%</f>
        <v/>
      </c>
      <c r="AN628" s="67">
        <f>AK629-AG629</f>
        <v/>
      </c>
      <c r="AO628" s="68">
        <f>AJ629/L629</f>
        <v/>
      </c>
      <c r="AP628" s="69">
        <f>(AJ629-AB629)/100</f>
        <v/>
      </c>
      <c r="AQ628" s="70">
        <f>(AJ629-AC629)/100</f>
        <v/>
      </c>
      <c r="AR628" s="71">
        <f>AI629/94</f>
        <v/>
      </c>
      <c r="AS628" s="71">
        <f>AJ629/94</f>
        <v/>
      </c>
      <c r="AT628" s="72">
        <f>AI629/24</f>
        <v/>
      </c>
      <c r="AU628" s="72">
        <f>AJ629/24</f>
        <v/>
      </c>
      <c r="AV628" s="73">
        <f>AI629/125</f>
        <v/>
      </c>
      <c r="AW628" s="73">
        <f>AJ629/125</f>
        <v/>
      </c>
    </row>
    <row r="629" ht="15" customHeight="1" s="258">
      <c r="A629" s="2" t="n"/>
      <c r="B629" s="2" t="inlineStr">
        <is>
          <t>2 Octaves</t>
        </is>
      </c>
      <c r="C629" s="91" t="inlineStr">
        <is>
          <t>MI-SB-2</t>
        </is>
      </c>
      <c r="D629" s="118" t="n">
        <v>7800</v>
      </c>
      <c r="F629" s="2" t="n">
        <v>125</v>
      </c>
      <c r="G629" s="118" t="n">
        <v>92030010</v>
      </c>
      <c r="H629" s="118" t="n">
        <v>0</v>
      </c>
      <c r="I629" s="2">
        <f>D630*H630</f>
        <v/>
      </c>
      <c r="K629" s="2" t="n">
        <v>300</v>
      </c>
      <c r="L629" s="4">
        <f>K630+J630+I630+F630+E630+D630</f>
        <v/>
      </c>
      <c r="M629" s="2">
        <f>D630*1%</f>
        <v/>
      </c>
      <c r="N629" s="12">
        <f>L630*8%</f>
        <v/>
      </c>
      <c r="O629" s="12">
        <f>L630*10%</f>
        <v/>
      </c>
      <c r="P629" s="12">
        <f>L630*5%</f>
        <v/>
      </c>
      <c r="Q629" s="12">
        <f>L630*2%</f>
        <v/>
      </c>
      <c r="R629" s="12">
        <f>AC630*0.5%</f>
        <v/>
      </c>
      <c r="S629" s="12">
        <f>L630*1%</f>
        <v/>
      </c>
      <c r="T629" s="60">
        <f>S630+Q630+P630+O630+N630+M630</f>
        <v/>
      </c>
      <c r="U629" s="2">
        <f>AC630*1%</f>
        <v/>
      </c>
      <c r="V629" s="44">
        <f>AC630*5%</f>
        <v/>
      </c>
      <c r="W629" s="2">
        <f>AC630*1%</f>
        <v/>
      </c>
      <c r="X629" s="2">
        <f>AC630*8%</f>
        <v/>
      </c>
      <c r="Y629" s="2">
        <f>U630+V630+W630+X630</f>
        <v/>
      </c>
      <c r="Z629" s="60">
        <f>Y630+T630+L630</f>
        <v/>
      </c>
      <c r="AA629" s="11">
        <f>Z630*20%</f>
        <v/>
      </c>
      <c r="AB629" s="12">
        <f>Z630+AA630</f>
        <v/>
      </c>
      <c r="AC629" s="2">
        <f>D630*2.1</f>
        <v/>
      </c>
      <c r="AD629" s="12">
        <f>AB630-AC630</f>
        <v/>
      </c>
      <c r="AE629" s="12">
        <f>AD630/AB630*100</f>
        <v/>
      </c>
      <c r="AG629" s="62">
        <f>((AF630-L630)/L630)*100</f>
        <v/>
      </c>
      <c r="AH629" s="106">
        <f>AJ630-AF630</f>
        <v/>
      </c>
      <c r="AI629" s="65">
        <f>AB630</f>
        <v/>
      </c>
      <c r="AJ629" s="65" t="n">
        <v>14990</v>
      </c>
      <c r="AK629" s="66">
        <f>(AJ630-L630)/L630*100</f>
        <v/>
      </c>
      <c r="AL629" s="66" t="n"/>
      <c r="AM629" s="14">
        <f>AH630/AJ630%</f>
        <v/>
      </c>
      <c r="AN629" s="67">
        <f>AK630-AG630</f>
        <v/>
      </c>
      <c r="AO629" s="68">
        <f>AJ630/L630</f>
        <v/>
      </c>
      <c r="AP629" s="69">
        <f>(AJ630-AB630)/100</f>
        <v/>
      </c>
      <c r="AQ629" s="70">
        <f>(AJ630-AC630)/100</f>
        <v/>
      </c>
      <c r="AR629" s="71">
        <f>AI630/94</f>
        <v/>
      </c>
      <c r="AS629" s="71">
        <f>AJ630/94</f>
        <v/>
      </c>
      <c r="AT629" s="72">
        <f>AI630/24</f>
        <v/>
      </c>
      <c r="AU629" s="72">
        <f>AJ630/24</f>
        <v/>
      </c>
      <c r="AV629" s="73">
        <f>AI630/125</f>
        <v/>
      </c>
      <c r="AW629" s="73">
        <f>AJ630/125</f>
        <v/>
      </c>
    </row>
    <row r="630" ht="15.75" customHeight="1" s="258">
      <c r="A630" s="2" t="n"/>
      <c r="B630" s="2" t="inlineStr">
        <is>
          <t>3 Octaves</t>
        </is>
      </c>
      <c r="C630" s="91" t="inlineStr">
        <is>
          <t>MI-SB-3</t>
        </is>
      </c>
      <c r="D630" s="118" t="n">
        <v>8700</v>
      </c>
      <c r="F630" s="2" t="n">
        <v>145</v>
      </c>
      <c r="G630" s="118" t="n">
        <v>92030010</v>
      </c>
      <c r="H630" s="118" t="n">
        <v>0</v>
      </c>
      <c r="I630" s="2">
        <f>D631*H631</f>
        <v/>
      </c>
      <c r="K630" s="2" t="n">
        <v>300</v>
      </c>
      <c r="L630" s="4">
        <f>K631+J631+I631+F631+E631+D631</f>
        <v/>
      </c>
      <c r="M630" s="2">
        <f>D631*1%</f>
        <v/>
      </c>
      <c r="N630" s="12">
        <f>L631*8%</f>
        <v/>
      </c>
      <c r="O630" s="12">
        <f>L631*10%</f>
        <v/>
      </c>
      <c r="P630" s="12">
        <f>L631*5%</f>
        <v/>
      </c>
      <c r="Q630" s="12">
        <f>L631*2%</f>
        <v/>
      </c>
      <c r="R630" s="12">
        <f>AC631*0.5%</f>
        <v/>
      </c>
      <c r="S630" s="12">
        <f>L631*1%</f>
        <v/>
      </c>
      <c r="T630" s="60">
        <f>S631+Q631+P631+O631+N631+M631</f>
        <v/>
      </c>
      <c r="U630" s="2">
        <f>AC631*1%</f>
        <v/>
      </c>
      <c r="V630" s="44">
        <f>AC631*5%</f>
        <v/>
      </c>
      <c r="W630" s="2">
        <f>AC631*1%</f>
        <v/>
      </c>
      <c r="X630" s="2">
        <f>AC631*8%</f>
        <v/>
      </c>
      <c r="Y630" s="2">
        <f>U631+V631+W631+X631</f>
        <v/>
      </c>
      <c r="Z630" s="60">
        <f>Y631+T631+L631</f>
        <v/>
      </c>
      <c r="AA630" s="11">
        <f>Z631*20%</f>
        <v/>
      </c>
      <c r="AB630" s="12">
        <f>Z631+AA631</f>
        <v/>
      </c>
      <c r="AC630" s="2">
        <f>D631*2.1</f>
        <v/>
      </c>
      <c r="AD630" s="12">
        <f>AB631-AC631</f>
        <v/>
      </c>
      <c r="AE630" s="12">
        <f>AD631/AB631*100</f>
        <v/>
      </c>
      <c r="AG630" s="62">
        <f>((AF631-L631)/L631)*100</f>
        <v/>
      </c>
      <c r="AH630" s="106">
        <f>AJ631-AF631</f>
        <v/>
      </c>
      <c r="AI630" s="65">
        <f>AB631</f>
        <v/>
      </c>
      <c r="AJ630" s="65" t="n">
        <v>16990</v>
      </c>
      <c r="AK630" s="66">
        <f>(AJ631-L631)/L631*100</f>
        <v/>
      </c>
      <c r="AL630" s="66" t="n"/>
      <c r="AM630" s="14">
        <f>AH631/AJ631%</f>
        <v/>
      </c>
      <c r="AN630" s="67">
        <f>AK631-AG631</f>
        <v/>
      </c>
      <c r="AO630" s="68">
        <f>AJ631/L631</f>
        <v/>
      </c>
      <c r="AP630" s="69">
        <f>(AJ631-AB631)/100</f>
        <v/>
      </c>
      <c r="AQ630" s="70">
        <f>(AJ631-AC631)/100</f>
        <v/>
      </c>
      <c r="AR630" s="71">
        <f>AI631/94</f>
        <v/>
      </c>
      <c r="AS630" s="71">
        <f>AJ631/94</f>
        <v/>
      </c>
      <c r="AT630" s="72">
        <f>AI631/24</f>
        <v/>
      </c>
      <c r="AU630" s="72">
        <f>AJ631/24</f>
        <v/>
      </c>
      <c r="AV630" s="73">
        <f>AI631/125</f>
        <v/>
      </c>
      <c r="AW630" s="73">
        <f>AJ631/125</f>
        <v/>
      </c>
    </row>
    <row r="631" ht="15.75" customHeight="1" s="258">
      <c r="A631" s="2" t="inlineStr">
        <is>
          <t>Singing Bowl Bags</t>
        </is>
      </c>
      <c r="B631" s="2" t="inlineStr">
        <is>
          <t>Small</t>
        </is>
      </c>
      <c r="C631" s="91" t="inlineStr">
        <is>
          <t>MI-SB-Bag-S</t>
        </is>
      </c>
      <c r="D631" s="118" t="n">
        <v>495</v>
      </c>
      <c r="F631" s="2" t="n">
        <v>100</v>
      </c>
      <c r="G631" s="118" t="n">
        <v>4202</v>
      </c>
      <c r="H631" s="255" t="n">
        <v>0.18</v>
      </c>
      <c r="I631" s="2">
        <f>D632*H632</f>
        <v/>
      </c>
      <c r="K631" s="2" t="n">
        <v>50</v>
      </c>
      <c r="L631" s="4">
        <f>K632+J632+I632+F632+E632+D632</f>
        <v/>
      </c>
      <c r="M631" s="2">
        <f>D632*1%</f>
        <v/>
      </c>
      <c r="N631" s="12">
        <f>L632*8%</f>
        <v/>
      </c>
      <c r="O631" s="12">
        <f>L632*10%</f>
        <v/>
      </c>
      <c r="P631" s="12">
        <f>L632*5%</f>
        <v/>
      </c>
      <c r="Q631" s="12">
        <f>L632*2%</f>
        <v/>
      </c>
      <c r="R631" s="12">
        <f>AC632*0.5%</f>
        <v/>
      </c>
      <c r="S631" s="12">
        <f>L632*1%</f>
        <v/>
      </c>
      <c r="T631" s="60">
        <f>S632+Q632+P632+O632+N632+M632</f>
        <v/>
      </c>
      <c r="U631" s="2">
        <f>AC632*1%</f>
        <v/>
      </c>
      <c r="V631" s="44">
        <f>AC632*5%</f>
        <v/>
      </c>
      <c r="W631" s="2">
        <f>AC632*1%</f>
        <v/>
      </c>
      <c r="X631" s="2">
        <f>AC632*8%</f>
        <v/>
      </c>
      <c r="Y631" s="2">
        <f>U632+V632+W632+X632</f>
        <v/>
      </c>
      <c r="Z631" s="60">
        <f>Y632+T632+L632</f>
        <v/>
      </c>
      <c r="AA631" s="11">
        <f>Z632*20%</f>
        <v/>
      </c>
      <c r="AB631" s="12">
        <f>Z632+AA632</f>
        <v/>
      </c>
      <c r="AC631" s="2">
        <f>D632*2.1</f>
        <v/>
      </c>
      <c r="AD631" s="12">
        <f>AB632-AC632</f>
        <v/>
      </c>
      <c r="AE631" s="12">
        <f>AD632/AB632*100</f>
        <v/>
      </c>
      <c r="AF631" s="92" t="n">
        <v>1790</v>
      </c>
      <c r="AG631" s="62">
        <f>((AF632-L632)/L632)*100</f>
        <v/>
      </c>
      <c r="AH631" s="106">
        <f>AJ632-AF632</f>
        <v/>
      </c>
      <c r="AI631" s="65">
        <f>AB632</f>
        <v/>
      </c>
      <c r="AJ631" s="65" t="n">
        <v>1790</v>
      </c>
      <c r="AK631" s="66">
        <f>(AJ632-L632)/L632*100</f>
        <v/>
      </c>
      <c r="AL631" s="66" t="n"/>
      <c r="AM631" s="14">
        <f>AH632/AJ632%</f>
        <v/>
      </c>
      <c r="AN631" s="67">
        <f>AK632-AG632</f>
        <v/>
      </c>
      <c r="AO631" s="68">
        <f>AJ632/L632</f>
        <v/>
      </c>
      <c r="AP631" s="69">
        <f>(AJ632-AB632)/100</f>
        <v/>
      </c>
      <c r="AQ631" s="70">
        <f>(AJ632-AC632)/100</f>
        <v/>
      </c>
      <c r="AR631" s="71">
        <f>AI632/94</f>
        <v/>
      </c>
      <c r="AS631" s="71">
        <f>AJ632/94</f>
        <v/>
      </c>
      <c r="AT631" s="72">
        <f>AI632/24</f>
        <v/>
      </c>
      <c r="AU631" s="72">
        <f>AJ632/24</f>
        <v/>
      </c>
      <c r="AV631" s="73">
        <f>AI632/125</f>
        <v/>
      </c>
      <c r="AW631" s="73">
        <f>AJ632/125</f>
        <v/>
      </c>
    </row>
    <row r="632" ht="15" customHeight="1" s="258">
      <c r="A632" s="2" t="n"/>
      <c r="B632" s="2" t="inlineStr">
        <is>
          <t>Large</t>
        </is>
      </c>
      <c r="C632" s="2" t="inlineStr">
        <is>
          <t>MI-SB-Bag-L</t>
        </is>
      </c>
      <c r="D632" s="118" t="n">
        <v>910</v>
      </c>
      <c r="F632" s="2" t="n">
        <v>100</v>
      </c>
      <c r="G632" s="118" t="n">
        <v>4202</v>
      </c>
      <c r="H632" s="255" t="n">
        <v>0.18</v>
      </c>
      <c r="I632" s="2">
        <f>D633*H633</f>
        <v/>
      </c>
      <c r="K632" s="2" t="n">
        <v>50</v>
      </c>
      <c r="L632" s="4">
        <f>K633+J633+I633+F633+E633+D633</f>
        <v/>
      </c>
      <c r="M632" s="2">
        <f>D633*1%</f>
        <v/>
      </c>
      <c r="N632" s="12">
        <f>L633*8%</f>
        <v/>
      </c>
      <c r="O632" s="12">
        <f>L633*10%</f>
        <v/>
      </c>
      <c r="P632" s="12">
        <f>L633*5%</f>
        <v/>
      </c>
      <c r="Q632" s="12">
        <f>L633*2%</f>
        <v/>
      </c>
      <c r="R632" s="12">
        <f>AC633*0.5%</f>
        <v/>
      </c>
      <c r="S632" s="12">
        <f>L633*1%</f>
        <v/>
      </c>
      <c r="T632" s="60">
        <f>S633+Q633+P633+O633+N633+M633</f>
        <v/>
      </c>
      <c r="U632" s="2">
        <f>AC633*1%</f>
        <v/>
      </c>
      <c r="V632" s="44">
        <f>AC633*5%</f>
        <v/>
      </c>
      <c r="W632" s="2">
        <f>AC633*1%</f>
        <v/>
      </c>
      <c r="X632" s="2">
        <f>AC633*8%</f>
        <v/>
      </c>
      <c r="Y632" s="2">
        <f>U633+V633+W633+X633</f>
        <v/>
      </c>
      <c r="Z632" s="60">
        <f>Y633+T633+L633</f>
        <v/>
      </c>
      <c r="AA632" s="11">
        <f>Z633*20%</f>
        <v/>
      </c>
      <c r="AB632" s="12">
        <f>Z633+AA633</f>
        <v/>
      </c>
      <c r="AC632" s="2">
        <f>D633*2.1</f>
        <v/>
      </c>
      <c r="AD632" s="12">
        <f>AB633-AC633</f>
        <v/>
      </c>
      <c r="AE632" s="12">
        <f>AD633/AB633*100</f>
        <v/>
      </c>
      <c r="AF632" s="92" t="n">
        <v>2290</v>
      </c>
      <c r="AG632" s="62">
        <f>((AF633-L633)/L633)*100</f>
        <v/>
      </c>
      <c r="AH632" s="106">
        <f>AJ633-AF633</f>
        <v/>
      </c>
      <c r="AI632" s="65">
        <f>AB633</f>
        <v/>
      </c>
      <c r="AJ632" s="65" t="n">
        <v>2290</v>
      </c>
      <c r="AK632" s="66">
        <f>(AJ633-L633)/L633*100</f>
        <v/>
      </c>
      <c r="AL632" s="66" t="n"/>
      <c r="AM632" s="14">
        <f>AH633/AJ633%</f>
        <v/>
      </c>
      <c r="AN632" s="67">
        <f>AK633-AG633</f>
        <v/>
      </c>
      <c r="AO632" s="68">
        <f>AJ633/L633</f>
        <v/>
      </c>
      <c r="AP632" s="69">
        <f>(AJ633-AB633)/100</f>
        <v/>
      </c>
      <c r="AQ632" s="70">
        <f>(AJ633-AC633)/100</f>
        <v/>
      </c>
      <c r="AR632" s="71">
        <f>AI633/94</f>
        <v/>
      </c>
      <c r="AS632" s="71">
        <f>AJ633/94</f>
        <v/>
      </c>
      <c r="AT632" s="72">
        <f>AI633/24</f>
        <v/>
      </c>
      <c r="AU632" s="72">
        <f>AJ633/24</f>
        <v/>
      </c>
      <c r="AV632" s="73">
        <f>AI633/125</f>
        <v/>
      </c>
      <c r="AW632" s="73">
        <f>AJ633/125</f>
        <v/>
      </c>
    </row>
    <row r="633" ht="15.75" customHeight="1" s="258">
      <c r="A633" s="2" t="n"/>
      <c r="B633" s="2" t="inlineStr">
        <is>
          <t>Standard</t>
        </is>
      </c>
      <c r="C633" s="2" t="inlineStr">
        <is>
          <t>MI-SB-Bag-M</t>
        </is>
      </c>
      <c r="D633" s="118" t="n">
        <v>695</v>
      </c>
      <c r="F633" s="2" t="n">
        <v>100</v>
      </c>
      <c r="G633" s="118" t="n">
        <v>940490099</v>
      </c>
      <c r="H633" s="255" t="n">
        <v>0.05</v>
      </c>
      <c r="I633" s="2">
        <f>D634*H634</f>
        <v/>
      </c>
      <c r="K633" s="2" t="n">
        <v>50</v>
      </c>
      <c r="L633" s="4">
        <f>K634+J634+I634+F634+E634+D634</f>
        <v/>
      </c>
      <c r="M633" s="2">
        <f>D634*1%</f>
        <v/>
      </c>
      <c r="N633" s="12">
        <f>L634*8%</f>
        <v/>
      </c>
      <c r="O633" s="12">
        <f>L634*10%</f>
        <v/>
      </c>
      <c r="P633" s="12">
        <f>L634*5%</f>
        <v/>
      </c>
      <c r="Q633" s="12">
        <f>L634*2%</f>
        <v/>
      </c>
      <c r="R633" s="12">
        <f>AC634*0.5%</f>
        <v/>
      </c>
      <c r="S633" s="12">
        <f>L634*1%</f>
        <v/>
      </c>
      <c r="T633" s="60">
        <f>S634+Q634+P634+O634+N634+M634</f>
        <v/>
      </c>
      <c r="U633" s="2">
        <f>AC634*1%</f>
        <v/>
      </c>
      <c r="V633" s="44">
        <f>AC634*5%</f>
        <v/>
      </c>
      <c r="W633" s="2">
        <f>AC634*1%</f>
        <v/>
      </c>
      <c r="X633" s="2">
        <f>AC634*8%</f>
        <v/>
      </c>
      <c r="Y633" s="2">
        <f>U634+V634+W634+X634</f>
        <v/>
      </c>
      <c r="Z633" s="60">
        <f>Y634+T634+L634</f>
        <v/>
      </c>
      <c r="AA633" s="11">
        <f>Z634*20%</f>
        <v/>
      </c>
      <c r="AB633" s="12">
        <f>Z634+AA634</f>
        <v/>
      </c>
      <c r="AC633" s="2">
        <f>D634*2.1</f>
        <v/>
      </c>
      <c r="AD633" s="12">
        <f>AB634-AC634</f>
        <v/>
      </c>
      <c r="AE633" s="12">
        <f>AD634/AB634*100</f>
        <v/>
      </c>
      <c r="AF633" s="92" t="n">
        <v>1990</v>
      </c>
      <c r="AG633" s="62">
        <f>((AF634-L634)/L634)*100</f>
        <v/>
      </c>
      <c r="AH633" s="106">
        <f>AJ634-AF634</f>
        <v/>
      </c>
      <c r="AI633" s="65">
        <f>AB634</f>
        <v/>
      </c>
      <c r="AJ633" s="65" t="n">
        <v>1790</v>
      </c>
      <c r="AK633" s="66">
        <f>(AJ634-L634)/L634*100</f>
        <v/>
      </c>
      <c r="AL633" s="66" t="n"/>
      <c r="AM633" s="14">
        <f>AH634/AJ634%</f>
        <v/>
      </c>
      <c r="AN633" s="67">
        <f>AK634-AG634</f>
        <v/>
      </c>
      <c r="AO633" s="68">
        <f>AJ634/L634</f>
        <v/>
      </c>
      <c r="AP633" s="69">
        <f>(AJ634-AB634)/100</f>
        <v/>
      </c>
      <c r="AQ633" s="70">
        <f>(AJ634-AC634)/100</f>
        <v/>
      </c>
      <c r="AR633" s="71">
        <f>AI634/94</f>
        <v/>
      </c>
      <c r="AS633" s="71">
        <f>AJ634/94</f>
        <v/>
      </c>
      <c r="AT633" s="72">
        <f>AI634/24</f>
        <v/>
      </c>
      <c r="AU633" s="72">
        <f>AJ634/24</f>
        <v/>
      </c>
      <c r="AV633" s="73">
        <f>AI634/125</f>
        <v/>
      </c>
      <c r="AW633" s="73">
        <f>AJ634/125</f>
        <v/>
      </c>
    </row>
    <row r="634" ht="15.75" customHeight="1" s="258">
      <c r="A634" s="2" t="inlineStr">
        <is>
          <t>Singing Bowl with Handle</t>
        </is>
      </c>
      <c r="B634" s="2" t="inlineStr">
        <is>
          <t>Standard</t>
        </is>
      </c>
      <c r="C634" s="91" t="inlineStr">
        <is>
          <t>MI-SBH-S</t>
        </is>
      </c>
      <c r="D634" s="121" t="n">
        <v>5000</v>
      </c>
      <c r="E634" s="2" t="n">
        <v>125</v>
      </c>
      <c r="F634" s="2" t="n">
        <v>125</v>
      </c>
      <c r="G634" s="118" t="n">
        <v>83061000</v>
      </c>
      <c r="H634" s="255" t="n">
        <v>0.05</v>
      </c>
      <c r="I634" s="2">
        <f>D635*H635</f>
        <v/>
      </c>
      <c r="K634" s="2" t="n">
        <v>200</v>
      </c>
      <c r="L634" s="123">
        <f>K635+J635+I635+F635+E635+D635</f>
        <v/>
      </c>
      <c r="M634" s="2">
        <f>D635*1%</f>
        <v/>
      </c>
      <c r="N634" s="12">
        <f>L635*8%</f>
        <v/>
      </c>
      <c r="O634" s="12">
        <f>L635*10%</f>
        <v/>
      </c>
      <c r="P634" s="12">
        <f>L635*5%</f>
        <v/>
      </c>
      <c r="Q634" s="12">
        <f>L635*2%</f>
        <v/>
      </c>
      <c r="R634" s="12">
        <f>AC635*0.5%</f>
        <v/>
      </c>
      <c r="S634" s="12">
        <f>L635*1%</f>
        <v/>
      </c>
      <c r="T634" s="124">
        <f>S635+Q635+P635+O635+N635+M635</f>
        <v/>
      </c>
      <c r="U634" s="2">
        <f>AC635*1%</f>
        <v/>
      </c>
      <c r="V634" s="44">
        <f>AC635*5%</f>
        <v/>
      </c>
      <c r="W634" s="2">
        <f>AC635*1%</f>
        <v/>
      </c>
      <c r="X634" s="2">
        <f>AC635*8%</f>
        <v/>
      </c>
      <c r="Y634" s="2">
        <f>U635+V635+W635+X635</f>
        <v/>
      </c>
      <c r="Z634" s="124">
        <f>Y635+T635+L635</f>
        <v/>
      </c>
      <c r="AA634" s="125">
        <f>Z635*20%</f>
        <v/>
      </c>
      <c r="AB634" s="12">
        <f>Z635+AA635</f>
        <v/>
      </c>
      <c r="AC634" s="2">
        <f>D635*2.1</f>
        <v/>
      </c>
      <c r="AD634" s="12">
        <f>AB635-AC635</f>
        <v/>
      </c>
      <c r="AE634" s="12">
        <f>AD635/AB635*100</f>
        <v/>
      </c>
      <c r="AG634" s="126">
        <f>((AF635-L635)/L635)*100</f>
        <v/>
      </c>
      <c r="AH634" s="132">
        <f>AJ635-AF635</f>
        <v/>
      </c>
      <c r="AI634" s="132">
        <f>AB635</f>
        <v/>
      </c>
      <c r="AJ634" s="132" t="n">
        <v>9990</v>
      </c>
      <c r="AK634" s="128">
        <f>(AJ635-L635)/L635*100</f>
        <v/>
      </c>
      <c r="AL634" s="128" t="n"/>
      <c r="AM634" s="128">
        <f>AH635/AJ635%</f>
        <v/>
      </c>
      <c r="AN634" s="128">
        <f>AK635-AG635</f>
        <v/>
      </c>
      <c r="AO634" s="129">
        <f>AJ635/L635</f>
        <v/>
      </c>
      <c r="AP634" s="128">
        <f>(AJ635-AB635)/100</f>
        <v/>
      </c>
      <c r="AQ634" s="128">
        <f>(AJ635-AC635)/100</f>
        <v/>
      </c>
      <c r="AR634" s="130">
        <f>AI635/94</f>
        <v/>
      </c>
      <c r="AS634" s="130">
        <f>AJ635/94</f>
        <v/>
      </c>
      <c r="AT634" s="131">
        <f>AI635/24</f>
        <v/>
      </c>
      <c r="AU634" s="131">
        <f>AJ635/24</f>
        <v/>
      </c>
      <c r="AV634" s="131">
        <f>AI635/125</f>
        <v/>
      </c>
      <c r="AW634" s="131">
        <f>AJ635/125</f>
        <v/>
      </c>
    </row>
    <row r="635" ht="15.75" customHeight="1" s="258">
      <c r="A635" s="44" t="inlineStr">
        <is>
          <t>Singing Bowls Silk Ring Cushion Accessories</t>
        </is>
      </c>
      <c r="B635" s="44" t="inlineStr">
        <is>
          <t>10 cms / Green</t>
        </is>
      </c>
      <c r="C635" s="44" t="inlineStr">
        <is>
          <t>MI-SB-C-G-10</t>
        </is>
      </c>
      <c r="D635" s="45" t="n">
        <v>45</v>
      </c>
      <c r="E635" s="44" t="n">
        <v>0</v>
      </c>
      <c r="F635" s="44" t="n">
        <v>40</v>
      </c>
      <c r="G635" s="45" t="n">
        <v>940490099</v>
      </c>
      <c r="H635" s="115" t="n">
        <v>0.05</v>
      </c>
      <c r="I635" s="44">
        <f>D636*H636</f>
        <v/>
      </c>
      <c r="J635" s="113" t="n"/>
      <c r="K635" s="44" t="n">
        <v>20</v>
      </c>
      <c r="L635" s="48">
        <f>K636+J636+I636+F636+E636+D636</f>
        <v/>
      </c>
      <c r="M635" s="44">
        <f>D636*1%</f>
        <v/>
      </c>
      <c r="N635" s="49">
        <f>L636*8%</f>
        <v/>
      </c>
      <c r="O635" s="49">
        <f>L636*10%</f>
        <v/>
      </c>
      <c r="P635" s="49">
        <f>L636*5%</f>
        <v/>
      </c>
      <c r="Q635" s="49">
        <f>L636*2%</f>
        <v/>
      </c>
      <c r="R635" s="49">
        <f>AC636*0.5%</f>
        <v/>
      </c>
      <c r="S635" s="49">
        <f>L636*1%</f>
        <v/>
      </c>
      <c r="T635" s="50">
        <f>S636+Q636+P636+O636+N636+M636</f>
        <v/>
      </c>
      <c r="U635" s="44">
        <f>AC636*1%</f>
        <v/>
      </c>
      <c r="V635" s="44">
        <f>AC636*5%</f>
        <v/>
      </c>
      <c r="W635" s="44">
        <f>AC636*1%</f>
        <v/>
      </c>
      <c r="X635" s="44">
        <f>AC636*8%</f>
        <v/>
      </c>
      <c r="Y635" s="44">
        <f>U636+V636+W636+X636</f>
        <v/>
      </c>
      <c r="Z635" s="50">
        <f>Y636+T636+L636</f>
        <v/>
      </c>
      <c r="AA635" s="51">
        <f>Z636*20%</f>
        <v/>
      </c>
      <c r="AB635" s="49">
        <f>Z636+AA636</f>
        <v/>
      </c>
      <c r="AC635" s="44">
        <f>D636*2.1</f>
        <v/>
      </c>
      <c r="AD635" s="49">
        <f>AB636-AC636</f>
        <v/>
      </c>
      <c r="AE635" s="49">
        <f>AD636/AB636*100</f>
        <v/>
      </c>
      <c r="AF635" s="113" t="n">
        <v>195</v>
      </c>
      <c r="AG635" s="116">
        <f>((AF636-L636)/L636)*100</f>
        <v/>
      </c>
      <c r="AH635" s="54">
        <f>AJ636-AF636</f>
        <v/>
      </c>
      <c r="AI635" s="54">
        <f>AB636*2.5</f>
        <v/>
      </c>
      <c r="AJ635" s="113" t="n">
        <v>195</v>
      </c>
      <c r="AK635" s="55">
        <f>(AJ636-L636)/L636*100</f>
        <v/>
      </c>
      <c r="AL635" s="55" t="n"/>
      <c r="AM635" s="55">
        <f>AH636/AJ636%</f>
        <v/>
      </c>
      <c r="AN635" s="55">
        <f>AK636-AG636</f>
        <v/>
      </c>
      <c r="AO635" s="56">
        <f>AJ636/L636</f>
        <v/>
      </c>
      <c r="AP635" s="55">
        <f>(AJ636-AB636)/100</f>
        <v/>
      </c>
      <c r="AQ635" s="55">
        <f>(AJ636-AC636)/100</f>
        <v/>
      </c>
      <c r="AR635" s="57">
        <f>AI636/94</f>
        <v/>
      </c>
      <c r="AS635" s="57">
        <f>AJ636/94</f>
        <v/>
      </c>
      <c r="AT635" s="58">
        <f>AI636/24</f>
        <v/>
      </c>
      <c r="AU635" s="58">
        <f>AJ636/24</f>
        <v/>
      </c>
      <c r="AV635" s="58">
        <f>AI636/125</f>
        <v/>
      </c>
      <c r="AW635" s="58">
        <f>AJ636/125</f>
        <v/>
      </c>
      <c r="AX635" s="113" t="n"/>
      <c r="AY635" s="113" t="n"/>
    </row>
    <row r="636" ht="15" customHeight="1" s="258">
      <c r="A636" s="44" t="n"/>
      <c r="B636" s="44" t="inlineStr">
        <is>
          <t>10 cms / Blue</t>
        </is>
      </c>
      <c r="C636" s="44" t="inlineStr">
        <is>
          <t>MI-SB-C-B-10</t>
        </is>
      </c>
      <c r="D636" s="45" t="n">
        <v>45</v>
      </c>
      <c r="E636" s="44" t="n">
        <v>0</v>
      </c>
      <c r="F636" s="44" t="n">
        <v>40</v>
      </c>
      <c r="G636" s="45" t="n">
        <v>940490099</v>
      </c>
      <c r="H636" s="115" t="n">
        <v>0.05</v>
      </c>
      <c r="I636" s="44">
        <f>D637*H637</f>
        <v/>
      </c>
      <c r="J636" s="113" t="n"/>
      <c r="K636" s="44" t="n">
        <v>20</v>
      </c>
      <c r="L636" s="48">
        <f>K637+J637+I637+F637+E637+D637</f>
        <v/>
      </c>
      <c r="M636" s="44">
        <f>D637*1%</f>
        <v/>
      </c>
      <c r="N636" s="49">
        <f>L637*8%</f>
        <v/>
      </c>
      <c r="O636" s="49">
        <f>L637*10%</f>
        <v/>
      </c>
      <c r="P636" s="49">
        <f>L637*5%</f>
        <v/>
      </c>
      <c r="Q636" s="49">
        <f>L637*2%</f>
        <v/>
      </c>
      <c r="R636" s="49">
        <f>AC637*0.5%</f>
        <v/>
      </c>
      <c r="S636" s="49">
        <f>L637*1%</f>
        <v/>
      </c>
      <c r="T636" s="50">
        <f>S637+Q637+P637+O637+N637+M637</f>
        <v/>
      </c>
      <c r="U636" s="44">
        <f>AC637*1%</f>
        <v/>
      </c>
      <c r="V636" s="44">
        <f>AC637*5%</f>
        <v/>
      </c>
      <c r="W636" s="44">
        <f>AC637*1%</f>
        <v/>
      </c>
      <c r="X636" s="44">
        <f>AC637*8%</f>
        <v/>
      </c>
      <c r="Y636" s="44">
        <f>U637+V637+W637+X637</f>
        <v/>
      </c>
      <c r="Z636" s="50">
        <f>Y637+T637+L637</f>
        <v/>
      </c>
      <c r="AA636" s="51">
        <f>Z637*20%</f>
        <v/>
      </c>
      <c r="AB636" s="49">
        <f>Z637+AA637</f>
        <v/>
      </c>
      <c r="AC636" s="44">
        <f>D637*2.1</f>
        <v/>
      </c>
      <c r="AD636" s="49">
        <f>AB637-AC637</f>
        <v/>
      </c>
      <c r="AE636" s="49">
        <f>AD637/AB637*100</f>
        <v/>
      </c>
      <c r="AF636" s="113" t="n">
        <v>195</v>
      </c>
      <c r="AG636" s="116">
        <f>((AF637-L637)/L637)*100</f>
        <v/>
      </c>
      <c r="AH636" s="54">
        <f>AJ637-AF637</f>
        <v/>
      </c>
      <c r="AI636" s="54">
        <f>AB637*2.5</f>
        <v/>
      </c>
      <c r="AJ636" s="113" t="n">
        <v>195</v>
      </c>
      <c r="AK636" s="55">
        <f>(AJ637-L637)/L637*100</f>
        <v/>
      </c>
      <c r="AL636" s="55" t="n"/>
      <c r="AM636" s="55">
        <f>AH637/AJ637%</f>
        <v/>
      </c>
      <c r="AN636" s="55">
        <f>AK637-AG637</f>
        <v/>
      </c>
      <c r="AO636" s="56">
        <f>AJ637/L637</f>
        <v/>
      </c>
      <c r="AP636" s="55">
        <f>(AJ637-AB637)/100</f>
        <v/>
      </c>
      <c r="AQ636" s="55">
        <f>(AJ637-AC637)/100</f>
        <v/>
      </c>
      <c r="AR636" s="57">
        <f>AI637/94</f>
        <v/>
      </c>
      <c r="AS636" s="57">
        <f>AJ637/94</f>
        <v/>
      </c>
      <c r="AT636" s="58">
        <f>AI637/24</f>
        <v/>
      </c>
      <c r="AU636" s="58">
        <f>AJ637/24</f>
        <v/>
      </c>
      <c r="AV636" s="58">
        <f>AI637/125</f>
        <v/>
      </c>
      <c r="AW636" s="58">
        <f>AJ637/125</f>
        <v/>
      </c>
      <c r="AX636" s="113" t="n"/>
      <c r="AY636" s="113" t="n"/>
    </row>
    <row r="637" ht="15.75" customHeight="1" s="258">
      <c r="A637" s="44" t="n"/>
      <c r="B637" s="44" t="inlineStr">
        <is>
          <t>10 cms / Green</t>
        </is>
      </c>
      <c r="C637" s="44" t="inlineStr">
        <is>
          <t>MI-SB-C-G-12</t>
        </is>
      </c>
      <c r="D637" s="45" t="n">
        <v>45</v>
      </c>
      <c r="E637" s="44" t="n">
        <v>0</v>
      </c>
      <c r="F637" s="44" t="n">
        <v>40</v>
      </c>
      <c r="G637" s="45" t="n">
        <v>940490099</v>
      </c>
      <c r="H637" s="115" t="n">
        <v>0.05</v>
      </c>
      <c r="I637" s="44">
        <f>D638*H638</f>
        <v/>
      </c>
      <c r="J637" s="113" t="n"/>
      <c r="K637" s="44" t="n">
        <v>20</v>
      </c>
      <c r="L637" s="48">
        <f>K638+J638+I638+F638+E638+D638</f>
        <v/>
      </c>
      <c r="M637" s="44">
        <f>D638*1%</f>
        <v/>
      </c>
      <c r="N637" s="49">
        <f>L638*8%</f>
        <v/>
      </c>
      <c r="O637" s="49">
        <f>L638*10%</f>
        <v/>
      </c>
      <c r="P637" s="49">
        <f>L638*5%</f>
        <v/>
      </c>
      <c r="Q637" s="49">
        <f>L638*2%</f>
        <v/>
      </c>
      <c r="R637" s="49">
        <f>AC638*0.5%</f>
        <v/>
      </c>
      <c r="S637" s="49">
        <f>L638*1%</f>
        <v/>
      </c>
      <c r="T637" s="50">
        <f>S638+Q638+P638+O638+N638+M638</f>
        <v/>
      </c>
      <c r="U637" s="44">
        <f>AC638*1%</f>
        <v/>
      </c>
      <c r="V637" s="44">
        <f>AC638*5%</f>
        <v/>
      </c>
      <c r="W637" s="44">
        <f>AC638*1%</f>
        <v/>
      </c>
      <c r="X637" s="44">
        <f>AC638*8%</f>
        <v/>
      </c>
      <c r="Y637" s="44">
        <f>U638+V638+W638+X638</f>
        <v/>
      </c>
      <c r="Z637" s="50">
        <f>Y638+T638+L638</f>
        <v/>
      </c>
      <c r="AA637" s="51">
        <f>Z638*20%</f>
        <v/>
      </c>
      <c r="AB637" s="49">
        <f>Z638+AA638</f>
        <v/>
      </c>
      <c r="AC637" s="44">
        <f>D638*2.1</f>
        <v/>
      </c>
      <c r="AD637" s="49">
        <f>AB638-AC638</f>
        <v/>
      </c>
      <c r="AE637" s="49">
        <f>AD638/AB638*100</f>
        <v/>
      </c>
      <c r="AF637" s="113" t="n">
        <v>195</v>
      </c>
      <c r="AG637" s="116">
        <f>((AF638-L638)/L638)*100</f>
        <v/>
      </c>
      <c r="AH637" s="54">
        <f>AJ638-AF638</f>
        <v/>
      </c>
      <c r="AI637" s="54">
        <f>AB638*2.5</f>
        <v/>
      </c>
      <c r="AJ637" s="113" t="n">
        <v>195</v>
      </c>
      <c r="AK637" s="55">
        <f>(AJ638-L638)/L638*100</f>
        <v/>
      </c>
      <c r="AL637" s="55" t="n"/>
      <c r="AM637" s="55">
        <f>AH638/AJ638%</f>
        <v/>
      </c>
      <c r="AN637" s="55">
        <f>AK638-AG638</f>
        <v/>
      </c>
      <c r="AO637" s="56">
        <f>AJ638/L638</f>
        <v/>
      </c>
      <c r="AP637" s="55">
        <f>(AJ638-AB638)/100</f>
        <v/>
      </c>
      <c r="AQ637" s="55">
        <f>(AJ638-AC638)/100</f>
        <v/>
      </c>
      <c r="AR637" s="57">
        <f>AI638/94</f>
        <v/>
      </c>
      <c r="AS637" s="57">
        <f>AJ638/94</f>
        <v/>
      </c>
      <c r="AT637" s="58">
        <f>AI638/24</f>
        <v/>
      </c>
      <c r="AU637" s="58">
        <f>AJ638/24</f>
        <v/>
      </c>
      <c r="AV637" s="58">
        <f>AI638/125</f>
        <v/>
      </c>
      <c r="AW637" s="58">
        <f>AJ638/125</f>
        <v/>
      </c>
      <c r="AX637" s="113" t="n"/>
      <c r="AY637" s="113" t="n"/>
    </row>
    <row r="638" ht="15.75" customHeight="1" s="258">
      <c r="A638" s="44" t="n"/>
      <c r="B638" s="44" t="inlineStr">
        <is>
          <t>10 cms / Navy Blue</t>
        </is>
      </c>
      <c r="C638" s="44" t="inlineStr">
        <is>
          <t>MI-SB-C-NB-10</t>
        </is>
      </c>
      <c r="D638" s="45" t="n">
        <v>45</v>
      </c>
      <c r="E638" s="44" t="n">
        <v>0</v>
      </c>
      <c r="F638" s="44" t="n">
        <v>40</v>
      </c>
      <c r="G638" s="45" t="n">
        <v>940490099</v>
      </c>
      <c r="H638" s="115" t="n">
        <v>0.05</v>
      </c>
      <c r="I638" s="44">
        <f>D639*H639</f>
        <v/>
      </c>
      <c r="J638" s="113" t="n"/>
      <c r="K638" s="44" t="n">
        <v>20</v>
      </c>
      <c r="L638" s="48">
        <f>K639+J639+I639+F639+E639+D639</f>
        <v/>
      </c>
      <c r="M638" s="44">
        <f>D639*1%</f>
        <v/>
      </c>
      <c r="N638" s="49">
        <f>L639*8%</f>
        <v/>
      </c>
      <c r="O638" s="49">
        <f>L639*10%</f>
        <v/>
      </c>
      <c r="P638" s="49">
        <f>L639*5%</f>
        <v/>
      </c>
      <c r="Q638" s="49">
        <f>L639*2%</f>
        <v/>
      </c>
      <c r="R638" s="49">
        <f>AC639*0.5%</f>
        <v/>
      </c>
      <c r="S638" s="49">
        <f>L639*1%</f>
        <v/>
      </c>
      <c r="T638" s="50">
        <f>S639+Q639+P639+O639+N639+M639</f>
        <v/>
      </c>
      <c r="U638" s="44">
        <f>AC639*1%</f>
        <v/>
      </c>
      <c r="V638" s="44">
        <f>AC639*5%</f>
        <v/>
      </c>
      <c r="W638" s="44">
        <f>AC639*1%</f>
        <v/>
      </c>
      <c r="X638" s="44">
        <f>AC639*8%</f>
        <v/>
      </c>
      <c r="Y638" s="44">
        <f>U639+V639+W639+X639</f>
        <v/>
      </c>
      <c r="Z638" s="50">
        <f>Y639+T639+L639</f>
        <v/>
      </c>
      <c r="AA638" s="51">
        <f>Z639*20%</f>
        <v/>
      </c>
      <c r="AB638" s="49">
        <f>Z639+AA639</f>
        <v/>
      </c>
      <c r="AC638" s="44">
        <f>D639*2.1</f>
        <v/>
      </c>
      <c r="AD638" s="49">
        <f>AB639-AC639</f>
        <v/>
      </c>
      <c r="AE638" s="49">
        <f>AD639/AB639*100</f>
        <v/>
      </c>
      <c r="AF638" s="113" t="n">
        <v>195</v>
      </c>
      <c r="AG638" s="116">
        <f>((AF639-L639)/L639)*100</f>
        <v/>
      </c>
      <c r="AH638" s="54">
        <f>AJ639-AF639</f>
        <v/>
      </c>
      <c r="AI638" s="54">
        <f>AB639*2.5</f>
        <v/>
      </c>
      <c r="AJ638" s="113" t="n">
        <v>195</v>
      </c>
      <c r="AK638" s="55">
        <f>(AJ639-L639)/L639*100</f>
        <v/>
      </c>
      <c r="AL638" s="55" t="n"/>
      <c r="AM638" s="55">
        <f>AH639/AJ639%</f>
        <v/>
      </c>
      <c r="AN638" s="55">
        <f>AK639-AG639</f>
        <v/>
      </c>
      <c r="AO638" s="56">
        <f>AJ639/L639</f>
        <v/>
      </c>
      <c r="AP638" s="55">
        <f>(AJ639-AB639)/100</f>
        <v/>
      </c>
      <c r="AQ638" s="55">
        <f>(AJ639-AC639)/100</f>
        <v/>
      </c>
      <c r="AR638" s="57">
        <f>AI639/94</f>
        <v/>
      </c>
      <c r="AS638" s="57">
        <f>AJ639/94</f>
        <v/>
      </c>
      <c r="AT638" s="58">
        <f>AI639/24</f>
        <v/>
      </c>
      <c r="AU638" s="58">
        <f>AJ639/24</f>
        <v/>
      </c>
      <c r="AV638" s="58">
        <f>AI639/125</f>
        <v/>
      </c>
      <c r="AW638" s="58">
        <f>AJ639/125</f>
        <v/>
      </c>
      <c r="AX638" s="113" t="n"/>
      <c r="AY638" s="113" t="n"/>
    </row>
    <row r="639" ht="15.75" customHeight="1" s="258">
      <c r="A639" s="44" t="n"/>
      <c r="B639" s="44" t="inlineStr">
        <is>
          <t>10 cms / Black</t>
        </is>
      </c>
      <c r="C639" s="44" t="inlineStr">
        <is>
          <t>MI-SB-C-BK-10</t>
        </is>
      </c>
      <c r="D639" s="45" t="n">
        <v>45</v>
      </c>
      <c r="E639" s="44" t="n">
        <v>0</v>
      </c>
      <c r="F639" s="44" t="n">
        <v>40</v>
      </c>
      <c r="G639" s="45" t="n">
        <v>940490099</v>
      </c>
      <c r="H639" s="115" t="n">
        <v>0.05</v>
      </c>
      <c r="I639" s="44">
        <f>D640*H640</f>
        <v/>
      </c>
      <c r="J639" s="113" t="n"/>
      <c r="K639" s="44" t="n">
        <v>20</v>
      </c>
      <c r="L639" s="48">
        <f>K640+J640+I640+F640+E640+D640</f>
        <v/>
      </c>
      <c r="M639" s="44">
        <f>D640*1%</f>
        <v/>
      </c>
      <c r="N639" s="49">
        <f>L640*8%</f>
        <v/>
      </c>
      <c r="O639" s="49">
        <f>L640*10%</f>
        <v/>
      </c>
      <c r="P639" s="49">
        <f>L640*5%</f>
        <v/>
      </c>
      <c r="Q639" s="49">
        <f>L640*2%</f>
        <v/>
      </c>
      <c r="R639" s="49">
        <f>AC640*0.5%</f>
        <v/>
      </c>
      <c r="S639" s="49">
        <f>L640*1%</f>
        <v/>
      </c>
      <c r="T639" s="50">
        <f>S640+Q640+P640+O640+N640+M640</f>
        <v/>
      </c>
      <c r="U639" s="44">
        <f>AC640*1%</f>
        <v/>
      </c>
      <c r="V639" s="44">
        <f>AC640*5%</f>
        <v/>
      </c>
      <c r="W639" s="44">
        <f>AC640*1%</f>
        <v/>
      </c>
      <c r="X639" s="44">
        <f>AC640*8%</f>
        <v/>
      </c>
      <c r="Y639" s="44">
        <f>U640+V640+W640+X640</f>
        <v/>
      </c>
      <c r="Z639" s="50">
        <f>Y640+T640+L640</f>
        <v/>
      </c>
      <c r="AA639" s="51">
        <f>Z640*20%</f>
        <v/>
      </c>
      <c r="AB639" s="49">
        <f>Z640+AA640</f>
        <v/>
      </c>
      <c r="AC639" s="44">
        <f>D640*2.1</f>
        <v/>
      </c>
      <c r="AD639" s="49">
        <f>AB640-AC640</f>
        <v/>
      </c>
      <c r="AE639" s="49">
        <f>AD640/AB640*100</f>
        <v/>
      </c>
      <c r="AF639" s="113" t="n">
        <v>195</v>
      </c>
      <c r="AG639" s="116">
        <f>((AF640-L640)/L640)*100</f>
        <v/>
      </c>
      <c r="AH639" s="54">
        <f>AJ640-AF640</f>
        <v/>
      </c>
      <c r="AI639" s="54">
        <f>AB640*2.5</f>
        <v/>
      </c>
      <c r="AJ639" s="113" t="n">
        <v>195</v>
      </c>
      <c r="AK639" s="55">
        <f>(AJ640-L640)/L640*100</f>
        <v/>
      </c>
      <c r="AL639" s="55" t="n"/>
      <c r="AM639" s="55">
        <f>AH640/AJ640%</f>
        <v/>
      </c>
      <c r="AN639" s="55">
        <f>AK640-AG640</f>
        <v/>
      </c>
      <c r="AO639" s="56">
        <f>AJ640/L640</f>
        <v/>
      </c>
      <c r="AP639" s="55">
        <f>(AJ640-AB640)/100</f>
        <v/>
      </c>
      <c r="AQ639" s="55">
        <f>(AJ640-AC640)/100</f>
        <v/>
      </c>
      <c r="AR639" s="57">
        <f>AI640/94</f>
        <v/>
      </c>
      <c r="AS639" s="57">
        <f>AJ640/94</f>
        <v/>
      </c>
      <c r="AT639" s="58">
        <f>AI640/24</f>
        <v/>
      </c>
      <c r="AU639" s="58">
        <f>AJ640/24</f>
        <v/>
      </c>
      <c r="AV639" s="58">
        <f>AI640/125</f>
        <v/>
      </c>
      <c r="AW639" s="58">
        <f>AJ640/125</f>
        <v/>
      </c>
      <c r="AX639" s="113" t="n"/>
      <c r="AY639" s="113" t="n"/>
    </row>
    <row r="640" ht="15.75" customHeight="1" s="258">
      <c r="A640" s="44" t="n"/>
      <c r="B640" s="44" t="inlineStr">
        <is>
          <t>10 cms / Red</t>
        </is>
      </c>
      <c r="C640" s="44" t="inlineStr">
        <is>
          <t>MI-SB-C-R-10</t>
        </is>
      </c>
      <c r="D640" s="45" t="n">
        <v>45</v>
      </c>
      <c r="E640" s="44" t="n">
        <v>0</v>
      </c>
      <c r="F640" s="44" t="n">
        <v>40</v>
      </c>
      <c r="G640" s="45" t="n">
        <v>940490099</v>
      </c>
      <c r="H640" s="115" t="n">
        <v>0.05</v>
      </c>
      <c r="I640" s="44">
        <f>D641*H641</f>
        <v/>
      </c>
      <c r="J640" s="113" t="n"/>
      <c r="K640" s="44" t="n">
        <v>20</v>
      </c>
      <c r="L640" s="48">
        <f>K641+J641+I641+F641+E641+D641</f>
        <v/>
      </c>
      <c r="M640" s="44">
        <f>D641*1%</f>
        <v/>
      </c>
      <c r="N640" s="49">
        <f>L641*8%</f>
        <v/>
      </c>
      <c r="O640" s="49">
        <f>L641*10%</f>
        <v/>
      </c>
      <c r="P640" s="49">
        <f>L641*5%</f>
        <v/>
      </c>
      <c r="Q640" s="49">
        <f>L641*2%</f>
        <v/>
      </c>
      <c r="R640" s="49">
        <f>AC641*0.5%</f>
        <v/>
      </c>
      <c r="S640" s="49">
        <f>L641*1%</f>
        <v/>
      </c>
      <c r="T640" s="50">
        <f>S641+Q641+P641+O641+N641+M641</f>
        <v/>
      </c>
      <c r="U640" s="44">
        <f>AC641*1%</f>
        <v/>
      </c>
      <c r="V640" s="44">
        <f>AC641*5%</f>
        <v/>
      </c>
      <c r="W640" s="44">
        <f>AC641*1%</f>
        <v/>
      </c>
      <c r="X640" s="44">
        <f>AC641*8%</f>
        <v/>
      </c>
      <c r="Y640" s="44">
        <f>U641+V641+W641+X641</f>
        <v/>
      </c>
      <c r="Z640" s="50">
        <f>Y641+T641+L641</f>
        <v/>
      </c>
      <c r="AA640" s="51">
        <f>Z641*20%</f>
        <v/>
      </c>
      <c r="AB640" s="49">
        <f>Z641+AA641</f>
        <v/>
      </c>
      <c r="AC640" s="44">
        <f>D641*2.1</f>
        <v/>
      </c>
      <c r="AD640" s="49">
        <f>AB641-AC641</f>
        <v/>
      </c>
      <c r="AE640" s="49">
        <f>AD641/AB641*100</f>
        <v/>
      </c>
      <c r="AF640" s="113" t="n">
        <v>195</v>
      </c>
      <c r="AG640" s="116">
        <f>((AF641-L641)/L641)*100</f>
        <v/>
      </c>
      <c r="AH640" s="54">
        <f>AJ641-AF641</f>
        <v/>
      </c>
      <c r="AI640" s="54">
        <f>AB641*2.5</f>
        <v/>
      </c>
      <c r="AJ640" s="113" t="n">
        <v>195</v>
      </c>
      <c r="AK640" s="55">
        <f>(AJ641-L641)/L641*100</f>
        <v/>
      </c>
      <c r="AL640" s="55" t="n"/>
      <c r="AM640" s="55">
        <f>AH641/AJ641%</f>
        <v/>
      </c>
      <c r="AN640" s="55">
        <f>AK641-AG641</f>
        <v/>
      </c>
      <c r="AO640" s="56">
        <f>AJ641/L641</f>
        <v/>
      </c>
      <c r="AP640" s="55">
        <f>(AJ641-AB641)/100</f>
        <v/>
      </c>
      <c r="AQ640" s="55">
        <f>(AJ641-AC641)/100</f>
        <v/>
      </c>
      <c r="AR640" s="57">
        <f>AI641/94</f>
        <v/>
      </c>
      <c r="AS640" s="57">
        <f>AJ641/94</f>
        <v/>
      </c>
      <c r="AT640" s="58">
        <f>AI641/24</f>
        <v/>
      </c>
      <c r="AU640" s="58">
        <f>AJ641/24</f>
        <v/>
      </c>
      <c r="AV640" s="58">
        <f>AI641/125</f>
        <v/>
      </c>
      <c r="AW640" s="58">
        <f>AJ641/125</f>
        <v/>
      </c>
      <c r="AX640" s="113" t="n"/>
      <c r="AY640" s="113" t="n"/>
    </row>
    <row r="641" ht="15.75" customHeight="1" s="258">
      <c r="A641" s="44" t="n"/>
      <c r="B641" s="44" t="inlineStr">
        <is>
          <t>10 cms / Brown</t>
        </is>
      </c>
      <c r="C641" s="44" t="inlineStr">
        <is>
          <t>MI-SB-C-Bn-10</t>
        </is>
      </c>
      <c r="D641" s="45" t="n">
        <v>45</v>
      </c>
      <c r="E641" s="44" t="n">
        <v>0</v>
      </c>
      <c r="F641" s="44" t="n">
        <v>40</v>
      </c>
      <c r="G641" s="45" t="n">
        <v>940490099</v>
      </c>
      <c r="H641" s="115" t="n">
        <v>0.05</v>
      </c>
      <c r="I641" s="44">
        <f>D642*H642</f>
        <v/>
      </c>
      <c r="J641" s="113" t="n"/>
      <c r="K641" s="44" t="n">
        <v>20</v>
      </c>
      <c r="L641" s="48">
        <f>K642+J642+I642+F642+E642+D642</f>
        <v/>
      </c>
      <c r="M641" s="44">
        <f>D642*1%</f>
        <v/>
      </c>
      <c r="N641" s="49">
        <f>L642*8%</f>
        <v/>
      </c>
      <c r="O641" s="49">
        <f>L642*10%</f>
        <v/>
      </c>
      <c r="P641" s="49">
        <f>L642*5%</f>
        <v/>
      </c>
      <c r="Q641" s="49">
        <f>L642*2%</f>
        <v/>
      </c>
      <c r="R641" s="49">
        <f>AC642*0.5%</f>
        <v/>
      </c>
      <c r="S641" s="49">
        <f>L642*1%</f>
        <v/>
      </c>
      <c r="T641" s="50">
        <f>S642+Q642+P642+O642+N642+M642</f>
        <v/>
      </c>
      <c r="U641" s="44">
        <f>AC642*1%</f>
        <v/>
      </c>
      <c r="V641" s="44">
        <f>AC642*5%</f>
        <v/>
      </c>
      <c r="W641" s="44">
        <f>AC642*1%</f>
        <v/>
      </c>
      <c r="X641" s="44">
        <f>AC642*8%</f>
        <v/>
      </c>
      <c r="Y641" s="44">
        <f>U642+V642+W642+X642</f>
        <v/>
      </c>
      <c r="Z641" s="50">
        <f>Y642+T642+L642</f>
        <v/>
      </c>
      <c r="AA641" s="51">
        <f>Z642*20%</f>
        <v/>
      </c>
      <c r="AB641" s="49">
        <f>Z642+AA642</f>
        <v/>
      </c>
      <c r="AC641" s="44">
        <f>D642*2.1</f>
        <v/>
      </c>
      <c r="AD641" s="49">
        <f>AB642-AC642</f>
        <v/>
      </c>
      <c r="AE641" s="49">
        <f>AD642/AB642*100</f>
        <v/>
      </c>
      <c r="AF641" s="113" t="n">
        <v>195</v>
      </c>
      <c r="AG641" s="116">
        <f>((AF642-L642)/L642)*100</f>
        <v/>
      </c>
      <c r="AH641" s="54">
        <f>AJ642-AF642</f>
        <v/>
      </c>
      <c r="AI641" s="54">
        <f>AB642*2.5</f>
        <v/>
      </c>
      <c r="AJ641" s="113" t="n">
        <v>195</v>
      </c>
      <c r="AK641" s="55">
        <f>(AJ642-L642)/L642*100</f>
        <v/>
      </c>
      <c r="AL641" s="55" t="n"/>
      <c r="AM641" s="55">
        <f>AH642/AJ642%</f>
        <v/>
      </c>
      <c r="AN641" s="55">
        <f>AK642-AG642</f>
        <v/>
      </c>
      <c r="AO641" s="56">
        <f>AJ642/L642</f>
        <v/>
      </c>
      <c r="AP641" s="55">
        <f>(AJ642-AB642)/100</f>
        <v/>
      </c>
      <c r="AQ641" s="55">
        <f>(AJ642-AC642)/100</f>
        <v/>
      </c>
      <c r="AR641" s="57">
        <f>AI642/94</f>
        <v/>
      </c>
      <c r="AS641" s="57">
        <f>AJ642/94</f>
        <v/>
      </c>
      <c r="AT641" s="58">
        <f>AI642/24</f>
        <v/>
      </c>
      <c r="AU641" s="58">
        <f>AJ642/24</f>
        <v/>
      </c>
      <c r="AV641" s="58">
        <f>AI642/125</f>
        <v/>
      </c>
      <c r="AW641" s="58">
        <f>AJ642/125</f>
        <v/>
      </c>
      <c r="AX641" s="113" t="n"/>
      <c r="AY641" s="113" t="n"/>
    </row>
    <row r="642" ht="15.75" customHeight="1" s="258">
      <c r="A642" s="44" t="n"/>
      <c r="B642" s="44" t="inlineStr">
        <is>
          <t>10 cms / Orange</t>
        </is>
      </c>
      <c r="C642" s="44" t="inlineStr">
        <is>
          <t>MI-SB-C-O-10</t>
        </is>
      </c>
      <c r="D642" s="45" t="n">
        <v>45</v>
      </c>
      <c r="E642" s="44" t="n">
        <v>0</v>
      </c>
      <c r="F642" s="44" t="n">
        <v>40</v>
      </c>
      <c r="G642" s="45" t="n">
        <v>940490099</v>
      </c>
      <c r="H642" s="115" t="n">
        <v>0.05</v>
      </c>
      <c r="I642" s="44">
        <f>D643*H643</f>
        <v/>
      </c>
      <c r="J642" s="113" t="n"/>
      <c r="K642" s="44" t="n">
        <v>20</v>
      </c>
      <c r="L642" s="48">
        <f>K643+J643+I643+F643+E643+D643</f>
        <v/>
      </c>
      <c r="M642" s="44">
        <f>D643*1%</f>
        <v/>
      </c>
      <c r="N642" s="49">
        <f>L643*8%</f>
        <v/>
      </c>
      <c r="O642" s="49">
        <f>L643*10%</f>
        <v/>
      </c>
      <c r="P642" s="49">
        <f>L643*5%</f>
        <v/>
      </c>
      <c r="Q642" s="49">
        <f>L643*2%</f>
        <v/>
      </c>
      <c r="R642" s="49">
        <f>AC643*0.5%</f>
        <v/>
      </c>
      <c r="S642" s="49">
        <f>L643*1%</f>
        <v/>
      </c>
      <c r="T642" s="50">
        <f>S643+Q643+P643+O643+N643+M643</f>
        <v/>
      </c>
      <c r="U642" s="44">
        <f>AC643*1%</f>
        <v/>
      </c>
      <c r="V642" s="44">
        <f>AC643*5%</f>
        <v/>
      </c>
      <c r="W642" s="44">
        <f>AC643*1%</f>
        <v/>
      </c>
      <c r="X642" s="44">
        <f>AC643*8%</f>
        <v/>
      </c>
      <c r="Y642" s="44">
        <f>U643+V643+W643+X643</f>
        <v/>
      </c>
      <c r="Z642" s="50">
        <f>Y643+T643+L643</f>
        <v/>
      </c>
      <c r="AA642" s="51">
        <f>Z643*20%</f>
        <v/>
      </c>
      <c r="AB642" s="49">
        <f>Z643+AA643</f>
        <v/>
      </c>
      <c r="AC642" s="44">
        <f>D643*2.1</f>
        <v/>
      </c>
      <c r="AD642" s="49">
        <f>AB643-AC643</f>
        <v/>
      </c>
      <c r="AE642" s="49">
        <f>AD643/AB643*100</f>
        <v/>
      </c>
      <c r="AF642" s="113" t="n">
        <v>195</v>
      </c>
      <c r="AG642" s="116">
        <f>((AF643-L643)/L643)*100</f>
        <v/>
      </c>
      <c r="AH642" s="54">
        <f>AJ643-AF643</f>
        <v/>
      </c>
      <c r="AI642" s="54">
        <f>AB643*2.5</f>
        <v/>
      </c>
      <c r="AJ642" s="113" t="n">
        <v>195</v>
      </c>
      <c r="AK642" s="55">
        <f>(AJ643-L643)/L643*100</f>
        <v/>
      </c>
      <c r="AL642" s="55" t="n"/>
      <c r="AM642" s="55">
        <f>AH643/AJ643%</f>
        <v/>
      </c>
      <c r="AN642" s="55">
        <f>AK643-AG643</f>
        <v/>
      </c>
      <c r="AO642" s="56">
        <f>AJ643/L643</f>
        <v/>
      </c>
      <c r="AP642" s="55">
        <f>(AJ643-AB643)/100</f>
        <v/>
      </c>
      <c r="AQ642" s="55">
        <f>(AJ643-AC643)/100</f>
        <v/>
      </c>
      <c r="AR642" s="57">
        <f>AI643/94</f>
        <v/>
      </c>
      <c r="AS642" s="57">
        <f>AJ643/94</f>
        <v/>
      </c>
      <c r="AT642" s="58">
        <f>AI643/24</f>
        <v/>
      </c>
      <c r="AU642" s="58">
        <f>AJ643/24</f>
        <v/>
      </c>
      <c r="AV642" s="58">
        <f>AI643/125</f>
        <v/>
      </c>
      <c r="AW642" s="58">
        <f>AJ643/125</f>
        <v/>
      </c>
      <c r="AX642" s="113" t="n"/>
      <c r="AY642" s="113" t="n"/>
    </row>
    <row r="643" ht="15.75" customHeight="1" s="258">
      <c r="A643" s="44" t="n"/>
      <c r="B643" s="44" t="inlineStr">
        <is>
          <t>10 cms / Yellow</t>
        </is>
      </c>
      <c r="C643" s="44" t="inlineStr">
        <is>
          <t>MI-SB-C-Y-10</t>
        </is>
      </c>
      <c r="D643" s="45" t="n">
        <v>45</v>
      </c>
      <c r="E643" s="44" t="n">
        <v>0</v>
      </c>
      <c r="F643" s="44" t="n">
        <v>40</v>
      </c>
      <c r="G643" s="45" t="n">
        <v>940490099</v>
      </c>
      <c r="H643" s="115" t="n">
        <v>0.05</v>
      </c>
      <c r="I643" s="44">
        <f>D644*H644</f>
        <v/>
      </c>
      <c r="J643" s="113" t="n"/>
      <c r="K643" s="44" t="n">
        <v>20</v>
      </c>
      <c r="L643" s="48">
        <f>K644+J644+I644+F644+E644+D644</f>
        <v/>
      </c>
      <c r="M643" s="44">
        <f>D644*1%</f>
        <v/>
      </c>
      <c r="N643" s="49">
        <f>L644*8%</f>
        <v/>
      </c>
      <c r="O643" s="49">
        <f>L644*10%</f>
        <v/>
      </c>
      <c r="P643" s="49">
        <f>L644*5%</f>
        <v/>
      </c>
      <c r="Q643" s="49">
        <f>L644*2%</f>
        <v/>
      </c>
      <c r="R643" s="49">
        <f>AC644*0.5%</f>
        <v/>
      </c>
      <c r="S643" s="49">
        <f>L644*1%</f>
        <v/>
      </c>
      <c r="T643" s="50">
        <f>S644+Q644+P644+O644+N644+M644</f>
        <v/>
      </c>
      <c r="U643" s="44">
        <f>AC644*1%</f>
        <v/>
      </c>
      <c r="V643" s="44">
        <f>AC644*5%</f>
        <v/>
      </c>
      <c r="W643" s="44">
        <f>AC644*1%</f>
        <v/>
      </c>
      <c r="X643" s="44">
        <f>AC644*8%</f>
        <v/>
      </c>
      <c r="Y643" s="44">
        <f>U644+V644+W644+X644</f>
        <v/>
      </c>
      <c r="Z643" s="50">
        <f>Y644+T644+L644</f>
        <v/>
      </c>
      <c r="AA643" s="51">
        <f>Z644*20%</f>
        <v/>
      </c>
      <c r="AB643" s="49">
        <f>Z644+AA644</f>
        <v/>
      </c>
      <c r="AC643" s="44">
        <f>D644*2.1</f>
        <v/>
      </c>
      <c r="AD643" s="49">
        <f>AB644-AC644</f>
        <v/>
      </c>
      <c r="AE643" s="49">
        <f>AD644/AB644*100</f>
        <v/>
      </c>
      <c r="AF643" s="113" t="n">
        <v>195</v>
      </c>
      <c r="AG643" s="116">
        <f>((AF644-L644)/L644)*100</f>
        <v/>
      </c>
      <c r="AH643" s="54">
        <f>AJ644-AF644</f>
        <v/>
      </c>
      <c r="AI643" s="54">
        <f>AB644*2.5</f>
        <v/>
      </c>
      <c r="AJ643" s="113" t="n">
        <v>195</v>
      </c>
      <c r="AK643" s="55">
        <f>(AJ644-L644)/L644*100</f>
        <v/>
      </c>
      <c r="AL643" s="55" t="n"/>
      <c r="AM643" s="55">
        <f>AH644/AJ644%</f>
        <v/>
      </c>
      <c r="AN643" s="55">
        <f>AK644-AG644</f>
        <v/>
      </c>
      <c r="AO643" s="56">
        <f>AJ644/L644</f>
        <v/>
      </c>
      <c r="AP643" s="55">
        <f>(AJ644-AB644)/100</f>
        <v/>
      </c>
      <c r="AQ643" s="55">
        <f>(AJ644-AC644)/100</f>
        <v/>
      </c>
      <c r="AR643" s="57">
        <f>AI644/94</f>
        <v/>
      </c>
      <c r="AS643" s="57">
        <f>AJ644/94</f>
        <v/>
      </c>
      <c r="AT643" s="58">
        <f>AI644/24</f>
        <v/>
      </c>
      <c r="AU643" s="58">
        <f>AJ644/24</f>
        <v/>
      </c>
      <c r="AV643" s="58">
        <f>AI644/125</f>
        <v/>
      </c>
      <c r="AW643" s="58">
        <f>AJ644/125</f>
        <v/>
      </c>
      <c r="AX643" s="113" t="n"/>
      <c r="AY643" s="113" t="n"/>
    </row>
    <row r="644" ht="15.75" customHeight="1" s="258">
      <c r="A644" s="44" t="n"/>
      <c r="B644" s="44" t="inlineStr">
        <is>
          <t>10 cms / Pink</t>
        </is>
      </c>
      <c r="C644" s="44" t="inlineStr">
        <is>
          <t>MI-SB-C-PK-10</t>
        </is>
      </c>
      <c r="D644" s="45" t="n">
        <v>45</v>
      </c>
      <c r="E644" s="44" t="n">
        <v>0</v>
      </c>
      <c r="F644" s="44" t="n">
        <v>40</v>
      </c>
      <c r="G644" s="45" t="n">
        <v>940490099</v>
      </c>
      <c r="H644" s="115" t="n">
        <v>0.05</v>
      </c>
      <c r="I644" s="44">
        <f>D645*H645</f>
        <v/>
      </c>
      <c r="J644" s="113" t="n"/>
      <c r="K644" s="44" t="n">
        <v>20</v>
      </c>
      <c r="L644" s="48">
        <f>K645+J645+I645+F645+E645+D645</f>
        <v/>
      </c>
      <c r="M644" s="44">
        <f>D645*1%</f>
        <v/>
      </c>
      <c r="N644" s="49">
        <f>L645*8%</f>
        <v/>
      </c>
      <c r="O644" s="49">
        <f>L645*10%</f>
        <v/>
      </c>
      <c r="P644" s="49">
        <f>L645*5%</f>
        <v/>
      </c>
      <c r="Q644" s="49">
        <f>L645*2%</f>
        <v/>
      </c>
      <c r="R644" s="49">
        <f>AC645*0.5%</f>
        <v/>
      </c>
      <c r="S644" s="49">
        <f>L645*1%</f>
        <v/>
      </c>
      <c r="T644" s="50">
        <f>S645+Q645+P645+O645+N645+M645</f>
        <v/>
      </c>
      <c r="U644" s="44">
        <f>AC645*1%</f>
        <v/>
      </c>
      <c r="V644" s="44">
        <f>AC645*5%</f>
        <v/>
      </c>
      <c r="W644" s="44">
        <f>AC645*1%</f>
        <v/>
      </c>
      <c r="X644" s="44">
        <f>AC645*8%</f>
        <v/>
      </c>
      <c r="Y644" s="44">
        <f>U645+V645+W645+X645</f>
        <v/>
      </c>
      <c r="Z644" s="50">
        <f>Y645+T645+L645</f>
        <v/>
      </c>
      <c r="AA644" s="51">
        <f>Z645*20%</f>
        <v/>
      </c>
      <c r="AB644" s="49">
        <f>Z645+AA645</f>
        <v/>
      </c>
      <c r="AC644" s="44">
        <f>D645*2.1</f>
        <v/>
      </c>
      <c r="AD644" s="49">
        <f>AB645-AC645</f>
        <v/>
      </c>
      <c r="AE644" s="49">
        <f>AD645/AB645*100</f>
        <v/>
      </c>
      <c r="AF644" s="113" t="n">
        <v>195</v>
      </c>
      <c r="AG644" s="116">
        <f>((AF645-L645)/L645)*100</f>
        <v/>
      </c>
      <c r="AH644" s="54">
        <f>AJ645-AF645</f>
        <v/>
      </c>
      <c r="AI644" s="54">
        <f>AB645*2.5</f>
        <v/>
      </c>
      <c r="AJ644" s="113" t="n">
        <v>195</v>
      </c>
      <c r="AK644" s="55">
        <f>(AJ645-L645)/L645*100</f>
        <v/>
      </c>
      <c r="AL644" s="55" t="n"/>
      <c r="AM644" s="55">
        <f>AH645/AJ645%</f>
        <v/>
      </c>
      <c r="AN644" s="55">
        <f>AK645-AG645</f>
        <v/>
      </c>
      <c r="AO644" s="56">
        <f>AJ645/L645</f>
        <v/>
      </c>
      <c r="AP644" s="55">
        <f>(AJ645-AB645)/100</f>
        <v/>
      </c>
      <c r="AQ644" s="55">
        <f>(AJ645-AC645)/100</f>
        <v/>
      </c>
      <c r="AR644" s="57">
        <f>AI645/94</f>
        <v/>
      </c>
      <c r="AS644" s="57">
        <f>AJ645/94</f>
        <v/>
      </c>
      <c r="AT644" s="58">
        <f>AI645/24</f>
        <v/>
      </c>
      <c r="AU644" s="58">
        <f>AJ645/24</f>
        <v/>
      </c>
      <c r="AV644" s="58">
        <f>AI645/125</f>
        <v/>
      </c>
      <c r="AW644" s="58">
        <f>AJ645/125</f>
        <v/>
      </c>
      <c r="AX644" s="113" t="n"/>
      <c r="AY644" s="113" t="n"/>
    </row>
    <row r="645" ht="15.75" customHeight="1" s="258">
      <c r="A645" s="44" t="n"/>
      <c r="B645" s="44" t="inlineStr">
        <is>
          <t>Blue / 12 cms</t>
        </is>
      </c>
      <c r="C645" s="44" t="inlineStr">
        <is>
          <t>MI-SB-C-B-12</t>
        </is>
      </c>
      <c r="D645" s="45" t="n">
        <v>45</v>
      </c>
      <c r="E645" s="44" t="n">
        <v>0</v>
      </c>
      <c r="F645" s="44" t="n">
        <v>40</v>
      </c>
      <c r="G645" s="45" t="n">
        <v>940490099</v>
      </c>
      <c r="H645" s="115" t="n">
        <v>0.05</v>
      </c>
      <c r="I645" s="44">
        <f>D646*H646</f>
        <v/>
      </c>
      <c r="J645" s="113" t="n"/>
      <c r="K645" s="44" t="n">
        <v>20</v>
      </c>
      <c r="L645" s="48">
        <f>K646+J646+I646+F646+E646+D646</f>
        <v/>
      </c>
      <c r="M645" s="44">
        <f>D646*1%</f>
        <v/>
      </c>
      <c r="N645" s="49">
        <f>L646*8%</f>
        <v/>
      </c>
      <c r="O645" s="49">
        <f>L646*10%</f>
        <v/>
      </c>
      <c r="P645" s="49">
        <f>L646*5%</f>
        <v/>
      </c>
      <c r="Q645" s="49">
        <f>L646*2%</f>
        <v/>
      </c>
      <c r="R645" s="49">
        <f>AC646*0.5%</f>
        <v/>
      </c>
      <c r="S645" s="49">
        <f>L646*1%</f>
        <v/>
      </c>
      <c r="T645" s="50">
        <f>S646+Q646+P646+O646+N646+M646</f>
        <v/>
      </c>
      <c r="U645" s="44">
        <f>AC646*1%</f>
        <v/>
      </c>
      <c r="V645" s="44">
        <f>AC646*5%</f>
        <v/>
      </c>
      <c r="W645" s="44">
        <f>AC646*1%</f>
        <v/>
      </c>
      <c r="X645" s="44">
        <f>AC646*8%</f>
        <v/>
      </c>
      <c r="Y645" s="44">
        <f>U646+V646+W646+X646</f>
        <v/>
      </c>
      <c r="Z645" s="50">
        <f>Y646+T646+L646</f>
        <v/>
      </c>
      <c r="AA645" s="51">
        <f>Z646*20%</f>
        <v/>
      </c>
      <c r="AB645" s="49">
        <f>Z646+AA646</f>
        <v/>
      </c>
      <c r="AC645" s="44">
        <f>D646*2.1</f>
        <v/>
      </c>
      <c r="AD645" s="49">
        <f>AB646-AC646</f>
        <v/>
      </c>
      <c r="AE645" s="49">
        <f>AD646/AB646*100</f>
        <v/>
      </c>
      <c r="AF645" s="113" t="n">
        <v>275</v>
      </c>
      <c r="AG645" s="116">
        <f>((AF646-L646)/L646)*100</f>
        <v/>
      </c>
      <c r="AH645" s="54">
        <f>AJ646-AF646</f>
        <v/>
      </c>
      <c r="AI645" s="54">
        <f>AB646*2.5</f>
        <v/>
      </c>
      <c r="AJ645" s="113" t="n">
        <v>225</v>
      </c>
      <c r="AK645" s="55">
        <f>(AJ646-L646)/L646*100</f>
        <v/>
      </c>
      <c r="AL645" s="55" t="n"/>
      <c r="AM645" s="55">
        <f>AH646/AJ646%</f>
        <v/>
      </c>
      <c r="AN645" s="55">
        <f>AK646-AG646</f>
        <v/>
      </c>
      <c r="AO645" s="56">
        <f>AJ646/L646</f>
        <v/>
      </c>
      <c r="AP645" s="55">
        <f>(AJ646-AB646)/100</f>
        <v/>
      </c>
      <c r="AQ645" s="55">
        <f>(AJ646-AC646)/100</f>
        <v/>
      </c>
      <c r="AR645" s="57">
        <f>AI646/94</f>
        <v/>
      </c>
      <c r="AS645" s="57">
        <f>AJ646/94</f>
        <v/>
      </c>
      <c r="AT645" s="58">
        <f>AI646/24</f>
        <v/>
      </c>
      <c r="AU645" s="58">
        <f>AJ646/24</f>
        <v/>
      </c>
      <c r="AV645" s="58">
        <f>AI646/125</f>
        <v/>
      </c>
      <c r="AW645" s="58">
        <f>AJ646/125</f>
        <v/>
      </c>
      <c r="AX645" s="113" t="n"/>
      <c r="AY645" s="113" t="n"/>
    </row>
    <row r="646" ht="15.75" customHeight="1" s="258">
      <c r="A646" s="44" t="n"/>
      <c r="B646" s="44" t="inlineStr">
        <is>
          <t>Black / 12 cms</t>
        </is>
      </c>
      <c r="C646" s="44" t="inlineStr">
        <is>
          <t>MI-SB-C-BK-12</t>
        </is>
      </c>
      <c r="D646" s="45" t="n">
        <v>45</v>
      </c>
      <c r="E646" s="44" t="n">
        <v>0</v>
      </c>
      <c r="F646" s="44" t="n">
        <v>40</v>
      </c>
      <c r="G646" s="45" t="n">
        <v>940490099</v>
      </c>
      <c r="H646" s="115" t="n">
        <v>0.05</v>
      </c>
      <c r="I646" s="44">
        <f>D647*H647</f>
        <v/>
      </c>
      <c r="J646" s="113" t="n"/>
      <c r="K646" s="44" t="n">
        <v>20</v>
      </c>
      <c r="L646" s="48">
        <f>K647+J647+I647+F647+E647+D647</f>
        <v/>
      </c>
      <c r="M646" s="44">
        <f>D647*1%</f>
        <v/>
      </c>
      <c r="N646" s="49">
        <f>L647*8%</f>
        <v/>
      </c>
      <c r="O646" s="49">
        <f>L647*10%</f>
        <v/>
      </c>
      <c r="P646" s="49">
        <f>L647*5%</f>
        <v/>
      </c>
      <c r="Q646" s="49">
        <f>L647*2%</f>
        <v/>
      </c>
      <c r="R646" s="49">
        <f>AC647*0.5%</f>
        <v/>
      </c>
      <c r="S646" s="49">
        <f>L647*1%</f>
        <v/>
      </c>
      <c r="T646" s="50">
        <f>S647+Q647+P647+O647+N647+M647</f>
        <v/>
      </c>
      <c r="U646" s="44">
        <f>AC647*1%</f>
        <v/>
      </c>
      <c r="V646" s="44">
        <f>AC647*5%</f>
        <v/>
      </c>
      <c r="W646" s="44">
        <f>AC647*1%</f>
        <v/>
      </c>
      <c r="X646" s="44">
        <f>AC647*8%</f>
        <v/>
      </c>
      <c r="Y646" s="44">
        <f>U647+V647+W647+X647</f>
        <v/>
      </c>
      <c r="Z646" s="50">
        <f>Y647+T647+L647</f>
        <v/>
      </c>
      <c r="AA646" s="51">
        <f>Z647*20%</f>
        <v/>
      </c>
      <c r="AB646" s="49">
        <f>Z647+AA647</f>
        <v/>
      </c>
      <c r="AC646" s="44">
        <f>D647*2.1</f>
        <v/>
      </c>
      <c r="AD646" s="49">
        <f>AB647-AC647</f>
        <v/>
      </c>
      <c r="AE646" s="49">
        <f>AD647/AB647*100</f>
        <v/>
      </c>
      <c r="AF646" s="113" t="n">
        <v>220</v>
      </c>
      <c r="AG646" s="116">
        <f>((AF647-L647)/L647)*100</f>
        <v/>
      </c>
      <c r="AH646" s="54">
        <f>AJ647-AF647</f>
        <v/>
      </c>
      <c r="AI646" s="54">
        <f>AB647*2.5</f>
        <v/>
      </c>
      <c r="AJ646" s="113" t="n">
        <v>220</v>
      </c>
      <c r="AK646" s="55">
        <f>(AJ647-L647)/L647*100</f>
        <v/>
      </c>
      <c r="AL646" s="55" t="n"/>
      <c r="AM646" s="55">
        <f>AH647/AJ647%</f>
        <v/>
      </c>
      <c r="AN646" s="55">
        <f>AK647-AG647</f>
        <v/>
      </c>
      <c r="AO646" s="56">
        <f>AJ647/L647</f>
        <v/>
      </c>
      <c r="AP646" s="55">
        <f>(AJ647-AB647)/100</f>
        <v/>
      </c>
      <c r="AQ646" s="55">
        <f>(AJ647-AC647)/100</f>
        <v/>
      </c>
      <c r="AR646" s="57">
        <f>AI647/94</f>
        <v/>
      </c>
      <c r="AS646" s="57">
        <f>AJ647/94</f>
        <v/>
      </c>
      <c r="AT646" s="58">
        <f>AI647/24</f>
        <v/>
      </c>
      <c r="AU646" s="58">
        <f>AJ647/24</f>
        <v/>
      </c>
      <c r="AV646" s="58">
        <f>AI647/125</f>
        <v/>
      </c>
      <c r="AW646" s="58">
        <f>AJ647/125</f>
        <v/>
      </c>
      <c r="AX646" s="113" t="n"/>
      <c r="AY646" s="113" t="n"/>
    </row>
    <row r="647" ht="15.75" customHeight="1" s="258">
      <c r="A647" s="44" t="n"/>
      <c r="B647" s="44" t="inlineStr">
        <is>
          <t>Brown / 12 cms</t>
        </is>
      </c>
      <c r="C647" s="44" t="inlineStr">
        <is>
          <t>MI-SB-C-Bn-12</t>
        </is>
      </c>
      <c r="D647" s="45" t="n">
        <v>45</v>
      </c>
      <c r="E647" s="44" t="n">
        <v>0</v>
      </c>
      <c r="F647" s="44" t="n">
        <v>40</v>
      </c>
      <c r="G647" s="45" t="n">
        <v>940490099</v>
      </c>
      <c r="H647" s="115" t="n">
        <v>0.05</v>
      </c>
      <c r="I647" s="44">
        <f>D648*H648</f>
        <v/>
      </c>
      <c r="J647" s="113" t="n"/>
      <c r="K647" s="44" t="n">
        <v>20</v>
      </c>
      <c r="L647" s="48">
        <f>K648+J648+I648+F648+E648+D648</f>
        <v/>
      </c>
      <c r="M647" s="44">
        <f>D648*1%</f>
        <v/>
      </c>
      <c r="N647" s="49">
        <f>L648*8%</f>
        <v/>
      </c>
      <c r="O647" s="49">
        <f>L648*10%</f>
        <v/>
      </c>
      <c r="P647" s="49">
        <f>L648*5%</f>
        <v/>
      </c>
      <c r="Q647" s="49">
        <f>L648*2%</f>
        <v/>
      </c>
      <c r="R647" s="49">
        <f>AC648*0.5%</f>
        <v/>
      </c>
      <c r="S647" s="49">
        <f>L648*1%</f>
        <v/>
      </c>
      <c r="T647" s="50">
        <f>S648+Q648+P648+O648+N648+M648</f>
        <v/>
      </c>
      <c r="U647" s="44">
        <f>AC648*1%</f>
        <v/>
      </c>
      <c r="V647" s="44">
        <f>AC648*5%</f>
        <v/>
      </c>
      <c r="W647" s="44">
        <f>AC648*1%</f>
        <v/>
      </c>
      <c r="X647" s="44">
        <f>AC648*8%</f>
        <v/>
      </c>
      <c r="Y647" s="44">
        <f>U648+V648+W648+X648</f>
        <v/>
      </c>
      <c r="Z647" s="50">
        <f>Y648+T648+L648</f>
        <v/>
      </c>
      <c r="AA647" s="51">
        <f>Z648*20%</f>
        <v/>
      </c>
      <c r="AB647" s="49">
        <f>Z648+AA648</f>
        <v/>
      </c>
      <c r="AC647" s="44">
        <f>D648*2.1</f>
        <v/>
      </c>
      <c r="AD647" s="49">
        <f>AB648-AC648</f>
        <v/>
      </c>
      <c r="AE647" s="49">
        <f>AD648/AB648*100</f>
        <v/>
      </c>
      <c r="AF647" s="113" t="n">
        <v>275</v>
      </c>
      <c r="AG647" s="116">
        <f>((AF648-L648)/L648)*100</f>
        <v/>
      </c>
      <c r="AH647" s="54">
        <f>AJ648-AF648</f>
        <v/>
      </c>
      <c r="AI647" s="54">
        <f>AB648*2.5</f>
        <v/>
      </c>
      <c r="AJ647" s="113" t="n">
        <v>275</v>
      </c>
      <c r="AK647" s="55">
        <f>(AJ648-L648)/L648*100</f>
        <v/>
      </c>
      <c r="AL647" s="55" t="n"/>
      <c r="AM647" s="55">
        <f>AH648/AJ648%</f>
        <v/>
      </c>
      <c r="AN647" s="55">
        <f>AK648-AG648</f>
        <v/>
      </c>
      <c r="AO647" s="56">
        <f>AJ648/L648</f>
        <v/>
      </c>
      <c r="AP647" s="55">
        <f>(AJ648-AB648)/100</f>
        <v/>
      </c>
      <c r="AQ647" s="55">
        <f>(AJ648-AC648)/100</f>
        <v/>
      </c>
      <c r="AR647" s="57">
        <f>AI648/94</f>
        <v/>
      </c>
      <c r="AS647" s="57">
        <f>AJ648/94</f>
        <v/>
      </c>
      <c r="AT647" s="58">
        <f>AI648/24</f>
        <v/>
      </c>
      <c r="AU647" s="58">
        <f>AJ648/24</f>
        <v/>
      </c>
      <c r="AV647" s="58">
        <f>AI648/125</f>
        <v/>
      </c>
      <c r="AW647" s="58">
        <f>AJ648/125</f>
        <v/>
      </c>
      <c r="AX647" s="113" t="n"/>
      <c r="AY647" s="113" t="n"/>
    </row>
    <row r="648" ht="15.75" customHeight="1" s="258">
      <c r="A648" s="44" t="n"/>
      <c r="B648" s="44" t="inlineStr">
        <is>
          <t>Red / 12 cms</t>
        </is>
      </c>
      <c r="C648" s="44" t="inlineStr">
        <is>
          <t>MI-SB-C-R-12</t>
        </is>
      </c>
      <c r="D648" s="45" t="n">
        <v>45</v>
      </c>
      <c r="E648" s="44" t="n">
        <v>0</v>
      </c>
      <c r="F648" s="44" t="n">
        <v>40</v>
      </c>
      <c r="G648" s="45" t="n">
        <v>940490099</v>
      </c>
      <c r="H648" s="115" t="n">
        <v>0.05</v>
      </c>
      <c r="I648" s="44">
        <f>D649*H649</f>
        <v/>
      </c>
      <c r="J648" s="113" t="n"/>
      <c r="K648" s="44" t="n">
        <v>20</v>
      </c>
      <c r="L648" s="48">
        <f>K649+J649+I649+F649+E649+D649</f>
        <v/>
      </c>
      <c r="M648" s="44">
        <f>D649*1%</f>
        <v/>
      </c>
      <c r="N648" s="49">
        <f>L649*8%</f>
        <v/>
      </c>
      <c r="O648" s="49">
        <f>L649*10%</f>
        <v/>
      </c>
      <c r="P648" s="49">
        <f>L649*5%</f>
        <v/>
      </c>
      <c r="Q648" s="49">
        <f>L649*2%</f>
        <v/>
      </c>
      <c r="R648" s="49">
        <f>AC649*0.5%</f>
        <v/>
      </c>
      <c r="S648" s="49">
        <f>L649*1%</f>
        <v/>
      </c>
      <c r="T648" s="50">
        <f>S649+Q649+P649+O649+N649+M649</f>
        <v/>
      </c>
      <c r="U648" s="44">
        <f>AC649*1%</f>
        <v/>
      </c>
      <c r="V648" s="44">
        <f>AC649*5%</f>
        <v/>
      </c>
      <c r="W648" s="44">
        <f>AC649*1%</f>
        <v/>
      </c>
      <c r="X648" s="44">
        <f>AC649*8%</f>
        <v/>
      </c>
      <c r="Y648" s="44">
        <f>U649+V649+W649+X649</f>
        <v/>
      </c>
      <c r="Z648" s="50">
        <f>Y649+T649+L649</f>
        <v/>
      </c>
      <c r="AA648" s="51">
        <f>Z649*20%</f>
        <v/>
      </c>
      <c r="AB648" s="49">
        <f>Z649+AA649</f>
        <v/>
      </c>
      <c r="AC648" s="44">
        <f>D649*2.1</f>
        <v/>
      </c>
      <c r="AD648" s="49">
        <f>AB649-AC649</f>
        <v/>
      </c>
      <c r="AE648" s="49">
        <f>AD649/AB649*100</f>
        <v/>
      </c>
      <c r="AF648" s="113" t="n">
        <v>275</v>
      </c>
      <c r="AG648" s="116">
        <f>((AF649-L649)/L649)*100</f>
        <v/>
      </c>
      <c r="AH648" s="54">
        <f>AJ649-AF649</f>
        <v/>
      </c>
      <c r="AI648" s="54">
        <f>AB649*2.5</f>
        <v/>
      </c>
      <c r="AJ648" s="113" t="n">
        <v>275</v>
      </c>
      <c r="AK648" s="55">
        <f>(AJ649-L649)/L649*100</f>
        <v/>
      </c>
      <c r="AL648" s="55" t="n"/>
      <c r="AM648" s="55">
        <f>AH649/AJ649%</f>
        <v/>
      </c>
      <c r="AN648" s="55">
        <f>AK649-AG649</f>
        <v/>
      </c>
      <c r="AO648" s="56">
        <f>AJ649/L649</f>
        <v/>
      </c>
      <c r="AP648" s="55">
        <f>(AJ649-AB649)/100</f>
        <v/>
      </c>
      <c r="AQ648" s="55">
        <f>(AJ649-AC649)/100</f>
        <v/>
      </c>
      <c r="AR648" s="57">
        <f>AI649/94</f>
        <v/>
      </c>
      <c r="AS648" s="57">
        <f>AJ649/94</f>
        <v/>
      </c>
      <c r="AT648" s="58">
        <f>AI649/24</f>
        <v/>
      </c>
      <c r="AU648" s="58">
        <f>AJ649/24</f>
        <v/>
      </c>
      <c r="AV648" s="58">
        <f>AI649/125</f>
        <v/>
      </c>
      <c r="AW648" s="58">
        <f>AJ649/125</f>
        <v/>
      </c>
      <c r="AX648" s="113" t="n"/>
      <c r="AY648" s="113" t="n"/>
    </row>
    <row r="649" ht="15.75" customHeight="1" s="258">
      <c r="A649" s="44" t="n"/>
      <c r="B649" s="44" t="inlineStr">
        <is>
          <t>Pink / 12 cms</t>
        </is>
      </c>
      <c r="C649" s="44" t="inlineStr">
        <is>
          <t>MI-SB-C-PK-12</t>
        </is>
      </c>
      <c r="D649" s="45" t="n">
        <v>45</v>
      </c>
      <c r="E649" s="44" t="n">
        <v>0</v>
      </c>
      <c r="F649" s="44" t="n">
        <v>40</v>
      </c>
      <c r="G649" s="45" t="n">
        <v>940490099</v>
      </c>
      <c r="H649" s="115" t="n">
        <v>0.05</v>
      </c>
      <c r="I649" s="44">
        <f>D650*H650</f>
        <v/>
      </c>
      <c r="J649" s="113" t="n"/>
      <c r="K649" s="44" t="n">
        <v>20</v>
      </c>
      <c r="L649" s="48">
        <f>K650+J650+I650+F650+E650+D650</f>
        <v/>
      </c>
      <c r="M649" s="44">
        <f>D650*1%</f>
        <v/>
      </c>
      <c r="N649" s="49">
        <f>L650*8%</f>
        <v/>
      </c>
      <c r="O649" s="49">
        <f>L650*10%</f>
        <v/>
      </c>
      <c r="P649" s="49">
        <f>L650*5%</f>
        <v/>
      </c>
      <c r="Q649" s="49">
        <f>L650*2%</f>
        <v/>
      </c>
      <c r="R649" s="49">
        <f>AC650*0.5%</f>
        <v/>
      </c>
      <c r="S649" s="49">
        <f>L650*1%</f>
        <v/>
      </c>
      <c r="T649" s="50">
        <f>S650+Q650+P650+O650+N650+M650</f>
        <v/>
      </c>
      <c r="U649" s="44">
        <f>AC650*1%</f>
        <v/>
      </c>
      <c r="V649" s="44">
        <f>AC650*5%</f>
        <v/>
      </c>
      <c r="W649" s="44">
        <f>AC650*1%</f>
        <v/>
      </c>
      <c r="X649" s="44">
        <f>AC650*8%</f>
        <v/>
      </c>
      <c r="Y649" s="44">
        <f>U650+V650+W650+X650</f>
        <v/>
      </c>
      <c r="Z649" s="50">
        <f>Y650+T650+L650</f>
        <v/>
      </c>
      <c r="AA649" s="51">
        <f>Z650*20%</f>
        <v/>
      </c>
      <c r="AB649" s="49">
        <f>Z650+AA650</f>
        <v/>
      </c>
      <c r="AC649" s="44">
        <f>D650*2.1</f>
        <v/>
      </c>
      <c r="AD649" s="49">
        <f>AB650-AC650</f>
        <v/>
      </c>
      <c r="AE649" s="49">
        <f>AD650/AB650*100</f>
        <v/>
      </c>
      <c r="AF649" s="113" t="n">
        <v>275</v>
      </c>
      <c r="AG649" s="116">
        <f>((AF650-L650)/L650)*100</f>
        <v/>
      </c>
      <c r="AH649" s="54">
        <f>AJ650-AF650</f>
        <v/>
      </c>
      <c r="AI649" s="54">
        <f>AB650*2.5</f>
        <v/>
      </c>
      <c r="AJ649" s="113" t="n">
        <v>275</v>
      </c>
      <c r="AK649" s="55">
        <f>(AJ650-L650)/L650*100</f>
        <v/>
      </c>
      <c r="AL649" s="55" t="n"/>
      <c r="AM649" s="55">
        <f>AH650/AJ650%</f>
        <v/>
      </c>
      <c r="AN649" s="55">
        <f>AK650-AG650</f>
        <v/>
      </c>
      <c r="AO649" s="56">
        <f>AJ650/L650</f>
        <v/>
      </c>
      <c r="AP649" s="55">
        <f>(AJ650-AB650)/100</f>
        <v/>
      </c>
      <c r="AQ649" s="55">
        <f>(AJ650-AC650)/100</f>
        <v/>
      </c>
      <c r="AR649" s="57">
        <f>AI650/94</f>
        <v/>
      </c>
      <c r="AS649" s="57">
        <f>AJ650/94</f>
        <v/>
      </c>
      <c r="AT649" s="58">
        <f>AI650/24</f>
        <v/>
      </c>
      <c r="AU649" s="58">
        <f>AJ650/24</f>
        <v/>
      </c>
      <c r="AV649" s="58">
        <f>AI650/125</f>
        <v/>
      </c>
      <c r="AW649" s="58">
        <f>AJ650/125</f>
        <v/>
      </c>
      <c r="AX649" s="113" t="n"/>
      <c r="AY649" s="113" t="n"/>
    </row>
    <row r="650" ht="15.75" customHeight="1" s="258">
      <c r="A650" s="44" t="n"/>
      <c r="B650" s="44" t="inlineStr">
        <is>
          <t>Orange / 12 cms</t>
        </is>
      </c>
      <c r="C650" s="44" t="inlineStr">
        <is>
          <t>MI-SB-C-O-12</t>
        </is>
      </c>
      <c r="D650" s="45" t="n">
        <v>45</v>
      </c>
      <c r="E650" s="44" t="n">
        <v>0</v>
      </c>
      <c r="F650" s="44" t="n">
        <v>40</v>
      </c>
      <c r="G650" s="45" t="n">
        <v>940490099</v>
      </c>
      <c r="H650" s="115" t="n">
        <v>0.05</v>
      </c>
      <c r="I650" s="44">
        <f>D651*H651</f>
        <v/>
      </c>
      <c r="J650" s="113" t="n"/>
      <c r="K650" s="44" t="n">
        <v>20</v>
      </c>
      <c r="L650" s="48">
        <f>K651+J651+I651+F651+E651+D651</f>
        <v/>
      </c>
      <c r="M650" s="44">
        <f>D651*1%</f>
        <v/>
      </c>
      <c r="N650" s="49">
        <f>L651*8%</f>
        <v/>
      </c>
      <c r="O650" s="49">
        <f>L651*10%</f>
        <v/>
      </c>
      <c r="P650" s="49">
        <f>L651*5%</f>
        <v/>
      </c>
      <c r="Q650" s="49">
        <f>L651*2%</f>
        <v/>
      </c>
      <c r="R650" s="49">
        <f>AC651*0.5%</f>
        <v/>
      </c>
      <c r="S650" s="49">
        <f>L651*1%</f>
        <v/>
      </c>
      <c r="T650" s="50">
        <f>S651+Q651+P651+O651+N651+M651</f>
        <v/>
      </c>
      <c r="U650" s="44">
        <f>AC651*1%</f>
        <v/>
      </c>
      <c r="V650" s="44">
        <f>AC651*5%</f>
        <v/>
      </c>
      <c r="W650" s="44">
        <f>AC651*1%</f>
        <v/>
      </c>
      <c r="X650" s="44">
        <f>AC651*8%</f>
        <v/>
      </c>
      <c r="Y650" s="44">
        <f>U651+V651+W651+X651</f>
        <v/>
      </c>
      <c r="Z650" s="50">
        <f>Y651+T651+L651</f>
        <v/>
      </c>
      <c r="AA650" s="51">
        <f>Z651*20%</f>
        <v/>
      </c>
      <c r="AB650" s="49">
        <f>Z651+AA651</f>
        <v/>
      </c>
      <c r="AC650" s="44">
        <f>D651*2.1</f>
        <v/>
      </c>
      <c r="AD650" s="49">
        <f>AB651-AC651</f>
        <v/>
      </c>
      <c r="AE650" s="49">
        <f>AD651/AB651*100</f>
        <v/>
      </c>
      <c r="AF650" s="113" t="n">
        <v>275</v>
      </c>
      <c r="AG650" s="116">
        <f>((AF651-L651)/L651)*100</f>
        <v/>
      </c>
      <c r="AH650" s="54">
        <f>AJ651-AF651</f>
        <v/>
      </c>
      <c r="AI650" s="54">
        <f>AB651*2.5</f>
        <v/>
      </c>
      <c r="AJ650" s="113" t="n">
        <v>275</v>
      </c>
      <c r="AK650" s="55">
        <f>(AJ651-L651)/L651*100</f>
        <v/>
      </c>
      <c r="AL650" s="55" t="n"/>
      <c r="AM650" s="55">
        <f>AH651/AJ651%</f>
        <v/>
      </c>
      <c r="AN650" s="55">
        <f>AK651-AG651</f>
        <v/>
      </c>
      <c r="AO650" s="56">
        <f>AJ651/L651</f>
        <v/>
      </c>
      <c r="AP650" s="55">
        <f>(AJ651-AB651)/100</f>
        <v/>
      </c>
      <c r="AQ650" s="55">
        <f>(AJ651-AC651)/100</f>
        <v/>
      </c>
      <c r="AR650" s="57">
        <f>AI651/94</f>
        <v/>
      </c>
      <c r="AS650" s="57">
        <f>AJ651/94</f>
        <v/>
      </c>
      <c r="AT650" s="58">
        <f>AI651/24</f>
        <v/>
      </c>
      <c r="AU650" s="58">
        <f>AJ651/24</f>
        <v/>
      </c>
      <c r="AV650" s="58">
        <f>AI651/125</f>
        <v/>
      </c>
      <c r="AW650" s="58">
        <f>AJ651/125</f>
        <v/>
      </c>
      <c r="AX650" s="113" t="n"/>
      <c r="AY650" s="113" t="n"/>
    </row>
    <row r="651" ht="15.75" customHeight="1" s="258">
      <c r="A651" s="44" t="n"/>
      <c r="B651" s="44" t="inlineStr">
        <is>
          <t>Yellow / 12 cms</t>
        </is>
      </c>
      <c r="C651" s="44" t="inlineStr">
        <is>
          <t>MI-SB-C-Y-12</t>
        </is>
      </c>
      <c r="D651" s="45" t="n">
        <v>45</v>
      </c>
      <c r="E651" s="44" t="n">
        <v>0</v>
      </c>
      <c r="F651" s="44" t="n">
        <v>40</v>
      </c>
      <c r="G651" s="45" t="n">
        <v>940490099</v>
      </c>
      <c r="H651" s="115" t="n">
        <v>0.05</v>
      </c>
      <c r="I651" s="44">
        <f>D652*H652</f>
        <v/>
      </c>
      <c r="J651" s="113" t="n"/>
      <c r="K651" s="44" t="n">
        <v>20</v>
      </c>
      <c r="L651" s="48">
        <f>K652+J652+I652+F652+E652+D652</f>
        <v/>
      </c>
      <c r="M651" s="44">
        <f>D652*1%</f>
        <v/>
      </c>
      <c r="N651" s="49">
        <f>L652*8%</f>
        <v/>
      </c>
      <c r="O651" s="49">
        <f>L652*10%</f>
        <v/>
      </c>
      <c r="P651" s="49">
        <f>L652*5%</f>
        <v/>
      </c>
      <c r="Q651" s="49">
        <f>L652*2%</f>
        <v/>
      </c>
      <c r="R651" s="49">
        <f>AC652*0.5%</f>
        <v/>
      </c>
      <c r="S651" s="49">
        <f>L652*1%</f>
        <v/>
      </c>
      <c r="T651" s="50">
        <f>S652+Q652+P652+O652+N652+M652</f>
        <v/>
      </c>
      <c r="U651" s="44">
        <f>AC652*1%</f>
        <v/>
      </c>
      <c r="V651" s="44">
        <f>AC652*5%</f>
        <v/>
      </c>
      <c r="W651" s="44">
        <f>AC652*1%</f>
        <v/>
      </c>
      <c r="X651" s="44">
        <f>AC652*8%</f>
        <v/>
      </c>
      <c r="Y651" s="44">
        <f>U652+V652+W652+X652</f>
        <v/>
      </c>
      <c r="Z651" s="50">
        <f>Y652+T652+L652</f>
        <v/>
      </c>
      <c r="AA651" s="51">
        <f>Z652*20%</f>
        <v/>
      </c>
      <c r="AB651" s="49">
        <f>Z652+AA652</f>
        <v/>
      </c>
      <c r="AC651" s="44">
        <f>D652*2.1</f>
        <v/>
      </c>
      <c r="AD651" s="49">
        <f>AB652-AC652</f>
        <v/>
      </c>
      <c r="AE651" s="49">
        <f>AD652/AB652*100</f>
        <v/>
      </c>
      <c r="AF651" s="113" t="n">
        <v>220</v>
      </c>
      <c r="AG651" s="116">
        <f>((AF652-L652)/L652)*100</f>
        <v/>
      </c>
      <c r="AH651" s="54">
        <f>AJ652-AF652</f>
        <v/>
      </c>
      <c r="AI651" s="54">
        <f>AB652*2.5</f>
        <v/>
      </c>
      <c r="AJ651" s="113" t="n">
        <v>220</v>
      </c>
      <c r="AK651" s="55">
        <f>(AJ652-L652)/L652*100</f>
        <v/>
      </c>
      <c r="AL651" s="55" t="n"/>
      <c r="AM651" s="55">
        <f>AH652/AJ652%</f>
        <v/>
      </c>
      <c r="AN651" s="55">
        <f>AK652-AG652</f>
        <v/>
      </c>
      <c r="AO651" s="56">
        <f>AJ652/L652</f>
        <v/>
      </c>
      <c r="AP651" s="55">
        <f>(AJ652-AB652)/100</f>
        <v/>
      </c>
      <c r="AQ651" s="55">
        <f>(AJ652-AC652)/100</f>
        <v/>
      </c>
      <c r="AR651" s="57">
        <f>AI652/94</f>
        <v/>
      </c>
      <c r="AS651" s="57">
        <f>AJ652/94</f>
        <v/>
      </c>
      <c r="AT651" s="58">
        <f>AI652/24</f>
        <v/>
      </c>
      <c r="AU651" s="58">
        <f>AJ652/24</f>
        <v/>
      </c>
      <c r="AV651" s="58">
        <f>AI652/125</f>
        <v/>
      </c>
      <c r="AW651" s="58">
        <f>AJ652/125</f>
        <v/>
      </c>
      <c r="AX651" s="113" t="n"/>
      <c r="AY651" s="113" t="n"/>
    </row>
    <row r="652" ht="15.75" customHeight="1" s="258">
      <c r="A652" s="44" t="n"/>
      <c r="B652" s="44" t="inlineStr">
        <is>
          <t>Navy Blue / 12 cms</t>
        </is>
      </c>
      <c r="C652" s="44" t="inlineStr">
        <is>
          <t>MI-SB-C-NB-12</t>
        </is>
      </c>
      <c r="D652" s="45" t="n">
        <v>45</v>
      </c>
      <c r="E652" s="44" t="n">
        <v>0</v>
      </c>
      <c r="F652" s="44" t="n">
        <v>40</v>
      </c>
      <c r="G652" s="45" t="n">
        <v>940490099</v>
      </c>
      <c r="H652" s="115" t="n">
        <v>0.05</v>
      </c>
      <c r="I652" s="44">
        <f>D653*H653</f>
        <v/>
      </c>
      <c r="J652" s="113" t="n"/>
      <c r="K652" s="44" t="n">
        <v>20</v>
      </c>
      <c r="L652" s="48">
        <f>K653+J653+I653+F653+E653+D653</f>
        <v/>
      </c>
      <c r="M652" s="44">
        <f>D653*1%</f>
        <v/>
      </c>
      <c r="N652" s="49">
        <f>L653*8%</f>
        <v/>
      </c>
      <c r="O652" s="49">
        <f>L653*10%</f>
        <v/>
      </c>
      <c r="P652" s="49">
        <f>L653*5%</f>
        <v/>
      </c>
      <c r="Q652" s="49">
        <f>L653*2%</f>
        <v/>
      </c>
      <c r="R652" s="49">
        <f>AC653*0.5%</f>
        <v/>
      </c>
      <c r="S652" s="49">
        <f>L653*1%</f>
        <v/>
      </c>
      <c r="T652" s="50">
        <f>S653+Q653+P653+O653+N653+M653</f>
        <v/>
      </c>
      <c r="U652" s="44">
        <f>AC653*1%</f>
        <v/>
      </c>
      <c r="V652" s="44">
        <f>AC653*5%</f>
        <v/>
      </c>
      <c r="W652" s="44">
        <f>AC653*1%</f>
        <v/>
      </c>
      <c r="X652" s="44">
        <f>AC653*8%</f>
        <v/>
      </c>
      <c r="Y652" s="44">
        <f>U653+V653+W653+X653</f>
        <v/>
      </c>
      <c r="Z652" s="50">
        <f>Y653+T653+L653</f>
        <v/>
      </c>
      <c r="AA652" s="51">
        <f>Z653*20%</f>
        <v/>
      </c>
      <c r="AB652" s="49">
        <f>Z653+AA653</f>
        <v/>
      </c>
      <c r="AC652" s="44">
        <f>D653*2.1</f>
        <v/>
      </c>
      <c r="AD652" s="49">
        <f>AB653-AC653</f>
        <v/>
      </c>
      <c r="AE652" s="49">
        <f>AD653/AB653*100</f>
        <v/>
      </c>
      <c r="AF652" s="113" t="n">
        <v>275</v>
      </c>
      <c r="AG652" s="116">
        <f>((AF653-L653)/L653)*100</f>
        <v/>
      </c>
      <c r="AH652" s="54">
        <f>AJ653-AF653</f>
        <v/>
      </c>
      <c r="AI652" s="54">
        <f>AB653*2.5</f>
        <v/>
      </c>
      <c r="AJ652" s="113" t="n">
        <v>275</v>
      </c>
      <c r="AK652" s="55">
        <f>(AJ653-L653)/L653*100</f>
        <v/>
      </c>
      <c r="AL652" s="55" t="n"/>
      <c r="AM652" s="55">
        <f>AH653/AJ653%</f>
        <v/>
      </c>
      <c r="AN652" s="55">
        <f>AK653-AG653</f>
        <v/>
      </c>
      <c r="AO652" s="56">
        <f>AJ653/L653</f>
        <v/>
      </c>
      <c r="AP652" s="55">
        <f>(AJ653-AB653)/100</f>
        <v/>
      </c>
      <c r="AQ652" s="55">
        <f>(AJ653-AC653)/100</f>
        <v/>
      </c>
      <c r="AR652" s="57">
        <f>AI653/94</f>
        <v/>
      </c>
      <c r="AS652" s="57">
        <f>AJ653/94</f>
        <v/>
      </c>
      <c r="AT652" s="58">
        <f>AI653/24</f>
        <v/>
      </c>
      <c r="AU652" s="58">
        <f>AJ653/24</f>
        <v/>
      </c>
      <c r="AV652" s="58">
        <f>AI653/125</f>
        <v/>
      </c>
      <c r="AW652" s="58">
        <f>AJ653/125</f>
        <v/>
      </c>
      <c r="AX652" s="113" t="n"/>
      <c r="AY652" s="113" t="n"/>
    </row>
    <row r="653" ht="15.75" customHeight="1" s="258">
      <c r="A653" s="44" t="n"/>
      <c r="B653" s="44" t="inlineStr">
        <is>
          <t>Blue / 14 cms</t>
        </is>
      </c>
      <c r="C653" s="44" t="inlineStr">
        <is>
          <t>MI-SB-C-B-14</t>
        </is>
      </c>
      <c r="D653" s="45" t="n">
        <v>45</v>
      </c>
      <c r="E653" s="44" t="n">
        <v>0</v>
      </c>
      <c r="F653" s="44" t="n">
        <v>40</v>
      </c>
      <c r="G653" s="45" t="n">
        <v>940490099</v>
      </c>
      <c r="H653" s="115" t="n">
        <v>0.05</v>
      </c>
      <c r="I653" s="44">
        <f>D654*H654</f>
        <v/>
      </c>
      <c r="J653" s="113" t="n"/>
      <c r="K653" s="44" t="n">
        <v>20</v>
      </c>
      <c r="L653" s="48">
        <f>K654+J654+I654+F654+E654+D654</f>
        <v/>
      </c>
      <c r="M653" s="44">
        <f>D654*1%</f>
        <v/>
      </c>
      <c r="N653" s="49">
        <f>L654*8%</f>
        <v/>
      </c>
      <c r="O653" s="49">
        <f>L654*10%</f>
        <v/>
      </c>
      <c r="P653" s="49">
        <f>L654*5%</f>
        <v/>
      </c>
      <c r="Q653" s="49">
        <f>L654*2%</f>
        <v/>
      </c>
      <c r="R653" s="49">
        <f>AC654*0.5%</f>
        <v/>
      </c>
      <c r="S653" s="49">
        <f>L654*1%</f>
        <v/>
      </c>
      <c r="T653" s="50">
        <f>S654+Q654+P654+O654+N654+M654</f>
        <v/>
      </c>
      <c r="U653" s="44">
        <f>AC654*1%</f>
        <v/>
      </c>
      <c r="V653" s="44">
        <f>AC654*5%</f>
        <v/>
      </c>
      <c r="W653" s="44">
        <f>AC654*1%</f>
        <v/>
      </c>
      <c r="X653" s="44">
        <f>AC654*8%</f>
        <v/>
      </c>
      <c r="Y653" s="44">
        <f>U654+V654+W654+X654</f>
        <v/>
      </c>
      <c r="Z653" s="50">
        <f>Y654+T654+L654</f>
        <v/>
      </c>
      <c r="AA653" s="51">
        <f>Z654*20%</f>
        <v/>
      </c>
      <c r="AB653" s="49">
        <f>Z654+AA654</f>
        <v/>
      </c>
      <c r="AC653" s="44">
        <f>D654*2.1</f>
        <v/>
      </c>
      <c r="AD653" s="49">
        <f>AB654-AC654</f>
        <v/>
      </c>
      <c r="AE653" s="49">
        <f>AD654/AB654*100</f>
        <v/>
      </c>
      <c r="AF653" s="113" t="n">
        <v>295</v>
      </c>
      <c r="AG653" s="116">
        <f>((AF654-L654)/L654)*100</f>
        <v/>
      </c>
      <c r="AH653" s="54">
        <f>AJ654-AF654</f>
        <v/>
      </c>
      <c r="AI653" s="54">
        <f>AB654*2.5</f>
        <v/>
      </c>
      <c r="AJ653" s="113" t="n">
        <v>295</v>
      </c>
      <c r="AK653" s="55">
        <f>(AJ654-L654)/L654*100</f>
        <v/>
      </c>
      <c r="AL653" s="55" t="n"/>
      <c r="AM653" s="55">
        <f>AH654/AJ654%</f>
        <v/>
      </c>
      <c r="AN653" s="55">
        <f>AK654-AG654</f>
        <v/>
      </c>
      <c r="AO653" s="56">
        <f>AJ654/L654</f>
        <v/>
      </c>
      <c r="AP653" s="55">
        <f>(AJ654-AB654)/100</f>
        <v/>
      </c>
      <c r="AQ653" s="55">
        <f>(AJ654-AC654)/100</f>
        <v/>
      </c>
      <c r="AR653" s="57">
        <f>AI654/94</f>
        <v/>
      </c>
      <c r="AS653" s="57">
        <f>AJ654/94</f>
        <v/>
      </c>
      <c r="AT653" s="58">
        <f>AI654/24</f>
        <v/>
      </c>
      <c r="AU653" s="58">
        <f>AJ654/24</f>
        <v/>
      </c>
      <c r="AV653" s="58">
        <f>AI654/125</f>
        <v/>
      </c>
      <c r="AW653" s="58">
        <f>AJ654/125</f>
        <v/>
      </c>
      <c r="AX653" s="113" t="n"/>
      <c r="AY653" s="113" t="n"/>
    </row>
    <row r="654" ht="15.75" customHeight="1" s="258">
      <c r="A654" s="44" t="n"/>
      <c r="B654" s="44" t="inlineStr">
        <is>
          <t>14 cms / Green</t>
        </is>
      </c>
      <c r="C654" s="44" t="inlineStr">
        <is>
          <t>MI-SB-C-G-14</t>
        </is>
      </c>
      <c r="D654" s="45" t="n">
        <v>45</v>
      </c>
      <c r="E654" s="44" t="n">
        <v>0</v>
      </c>
      <c r="F654" s="44" t="n">
        <v>40</v>
      </c>
      <c r="G654" s="45" t="n">
        <v>940490099</v>
      </c>
      <c r="H654" s="115" t="n">
        <v>0.05</v>
      </c>
      <c r="I654" s="44">
        <f>D655*H655</f>
        <v/>
      </c>
      <c r="J654" s="113" t="n"/>
      <c r="K654" s="44" t="n">
        <v>20</v>
      </c>
      <c r="L654" s="48">
        <f>K655+J655+I655+F655+E655+D655</f>
        <v/>
      </c>
      <c r="M654" s="44">
        <f>D655*1%</f>
        <v/>
      </c>
      <c r="N654" s="49">
        <f>L655*8%</f>
        <v/>
      </c>
      <c r="O654" s="49">
        <f>L655*10%</f>
        <v/>
      </c>
      <c r="P654" s="49">
        <f>L655*5%</f>
        <v/>
      </c>
      <c r="Q654" s="49">
        <f>L655*2%</f>
        <v/>
      </c>
      <c r="R654" s="49">
        <f>AC655*0.5%</f>
        <v/>
      </c>
      <c r="S654" s="49">
        <f>L655*1%</f>
        <v/>
      </c>
      <c r="T654" s="50">
        <f>S655+Q655+P655+O655+N655+M655</f>
        <v/>
      </c>
      <c r="U654" s="44">
        <f>AC655*1%</f>
        <v/>
      </c>
      <c r="V654" s="44">
        <f>AC655*5%</f>
        <v/>
      </c>
      <c r="W654" s="44">
        <f>AC655*1%</f>
        <v/>
      </c>
      <c r="X654" s="44">
        <f>AC655*8%</f>
        <v/>
      </c>
      <c r="Y654" s="44">
        <f>U655+V655+W655+X655</f>
        <v/>
      </c>
      <c r="Z654" s="50">
        <f>Y655+T655+L655</f>
        <v/>
      </c>
      <c r="AA654" s="51">
        <f>Z655*20%</f>
        <v/>
      </c>
      <c r="AB654" s="49">
        <f>Z655+AA655</f>
        <v/>
      </c>
      <c r="AC654" s="44">
        <f>D655*2.1</f>
        <v/>
      </c>
      <c r="AD654" s="49">
        <f>AB655-AC655</f>
        <v/>
      </c>
      <c r="AE654" s="49">
        <f>AD655/AB655*100</f>
        <v/>
      </c>
      <c r="AF654" s="113" t="n">
        <v>295</v>
      </c>
      <c r="AG654" s="116">
        <f>((AF655-L655)/L655)*100</f>
        <v/>
      </c>
      <c r="AH654" s="54">
        <f>AJ655-AF655</f>
        <v/>
      </c>
      <c r="AI654" s="54">
        <f>AB655*2.5</f>
        <v/>
      </c>
      <c r="AJ654" s="113" t="n">
        <v>295</v>
      </c>
      <c r="AK654" s="55">
        <f>(AJ655-L655)/L655*100</f>
        <v/>
      </c>
      <c r="AL654" s="55" t="n"/>
      <c r="AM654" s="55">
        <f>AH655/AJ655%</f>
        <v/>
      </c>
      <c r="AN654" s="55">
        <f>AK655-AG655</f>
        <v/>
      </c>
      <c r="AO654" s="56">
        <f>AJ655/L655</f>
        <v/>
      </c>
      <c r="AP654" s="55">
        <f>(AJ655-AB655)/100</f>
        <v/>
      </c>
      <c r="AQ654" s="55">
        <f>(AJ655-AC655)/100</f>
        <v/>
      </c>
      <c r="AR654" s="57">
        <f>AI655/94</f>
        <v/>
      </c>
      <c r="AS654" s="57">
        <f>AJ655/94</f>
        <v/>
      </c>
      <c r="AT654" s="58">
        <f>AI655/24</f>
        <v/>
      </c>
      <c r="AU654" s="58">
        <f>AJ655/24</f>
        <v/>
      </c>
      <c r="AV654" s="58">
        <f>AI655/125</f>
        <v/>
      </c>
      <c r="AW654" s="58">
        <f>AJ655/125</f>
        <v/>
      </c>
      <c r="AX654" s="113" t="n"/>
      <c r="AY654" s="113" t="n"/>
    </row>
    <row r="655" ht="15.75" customHeight="1" s="258">
      <c r="A655" s="44" t="n"/>
      <c r="B655" s="44" t="inlineStr">
        <is>
          <t>Navy Blue / 14 cms</t>
        </is>
      </c>
      <c r="C655" s="44" t="inlineStr">
        <is>
          <t>MI-SB-C-NB-14</t>
        </is>
      </c>
      <c r="D655" s="45" t="n">
        <v>45</v>
      </c>
      <c r="E655" s="44" t="n">
        <v>0</v>
      </c>
      <c r="F655" s="44" t="n">
        <v>40</v>
      </c>
      <c r="G655" s="45" t="n">
        <v>940490099</v>
      </c>
      <c r="H655" s="115" t="n">
        <v>0.05</v>
      </c>
      <c r="I655" s="44">
        <f>D656*H656</f>
        <v/>
      </c>
      <c r="J655" s="113" t="n"/>
      <c r="K655" s="44" t="n">
        <v>20</v>
      </c>
      <c r="L655" s="48">
        <f>K656+J656+I656+F656+E656+D656</f>
        <v/>
      </c>
      <c r="M655" s="44">
        <f>D656*1%</f>
        <v/>
      </c>
      <c r="N655" s="49">
        <f>L656*8%</f>
        <v/>
      </c>
      <c r="O655" s="49">
        <f>L656*10%</f>
        <v/>
      </c>
      <c r="P655" s="49">
        <f>L656*5%</f>
        <v/>
      </c>
      <c r="Q655" s="49">
        <f>L656*2%</f>
        <v/>
      </c>
      <c r="R655" s="49">
        <f>AC656*0.5%</f>
        <v/>
      </c>
      <c r="S655" s="49">
        <f>L656*1%</f>
        <v/>
      </c>
      <c r="T655" s="50">
        <f>S656+Q656+P656+O656+N656+M656</f>
        <v/>
      </c>
      <c r="U655" s="44">
        <f>AC656*1%</f>
        <v/>
      </c>
      <c r="V655" s="44">
        <f>AC656*5%</f>
        <v/>
      </c>
      <c r="W655" s="44">
        <f>AC656*1%</f>
        <v/>
      </c>
      <c r="X655" s="44">
        <f>AC656*8%</f>
        <v/>
      </c>
      <c r="Y655" s="44">
        <f>U656+V656+W656+X656</f>
        <v/>
      </c>
      <c r="Z655" s="50">
        <f>Y656+T656+L656</f>
        <v/>
      </c>
      <c r="AA655" s="51">
        <f>Z656*20%</f>
        <v/>
      </c>
      <c r="AB655" s="49">
        <f>Z656+AA656</f>
        <v/>
      </c>
      <c r="AC655" s="44">
        <f>D656*2.1</f>
        <v/>
      </c>
      <c r="AD655" s="49">
        <f>AB656-AC656</f>
        <v/>
      </c>
      <c r="AE655" s="49">
        <f>AD656/AB656*100</f>
        <v/>
      </c>
      <c r="AF655" s="113" t="n">
        <v>295</v>
      </c>
      <c r="AG655" s="116">
        <f>((AF656-L656)/L656)*100</f>
        <v/>
      </c>
      <c r="AH655" s="54">
        <f>AJ656-AF656</f>
        <v/>
      </c>
      <c r="AI655" s="54">
        <f>AB656*2.5</f>
        <v/>
      </c>
      <c r="AJ655" s="113" t="n">
        <v>295</v>
      </c>
      <c r="AK655" s="55">
        <f>(AJ656-L656)/L656*100</f>
        <v/>
      </c>
      <c r="AL655" s="55" t="n"/>
      <c r="AM655" s="55">
        <f>AH656/AJ656%</f>
        <v/>
      </c>
      <c r="AN655" s="55">
        <f>AK656-AG656</f>
        <v/>
      </c>
      <c r="AO655" s="56">
        <f>AJ656/L656</f>
        <v/>
      </c>
      <c r="AP655" s="55">
        <f>(AJ656-AB656)/100</f>
        <v/>
      </c>
      <c r="AQ655" s="55">
        <f>(AJ656-AC656)/100</f>
        <v/>
      </c>
      <c r="AR655" s="57">
        <f>AI656/94</f>
        <v/>
      </c>
      <c r="AS655" s="57">
        <f>AJ656/94</f>
        <v/>
      </c>
      <c r="AT655" s="58">
        <f>AI656/24</f>
        <v/>
      </c>
      <c r="AU655" s="58">
        <f>AJ656/24</f>
        <v/>
      </c>
      <c r="AV655" s="58">
        <f>AI656/125</f>
        <v/>
      </c>
      <c r="AW655" s="58">
        <f>AJ656/125</f>
        <v/>
      </c>
      <c r="AX655" s="113" t="n"/>
      <c r="AY655" s="113" t="n"/>
    </row>
    <row r="656" ht="15.75" customHeight="1" s="258">
      <c r="A656" s="44" t="n"/>
      <c r="B656" s="44" t="inlineStr">
        <is>
          <t>Orange / 14 cms</t>
        </is>
      </c>
      <c r="C656" s="44" t="inlineStr">
        <is>
          <t>MI-SB-C-O-14</t>
        </is>
      </c>
      <c r="D656" s="45" t="n">
        <v>45</v>
      </c>
      <c r="E656" s="44" t="n">
        <v>0</v>
      </c>
      <c r="F656" s="44" t="n">
        <v>40</v>
      </c>
      <c r="G656" s="45" t="n">
        <v>940490099</v>
      </c>
      <c r="H656" s="115" t="n">
        <v>0.05</v>
      </c>
      <c r="I656" s="44">
        <f>D657*H657</f>
        <v/>
      </c>
      <c r="J656" s="113" t="n"/>
      <c r="K656" s="44" t="n">
        <v>20</v>
      </c>
      <c r="L656" s="48">
        <f>K657+J657+I657+F657+E657+D657</f>
        <v/>
      </c>
      <c r="M656" s="44">
        <f>D657*1%</f>
        <v/>
      </c>
      <c r="N656" s="49">
        <f>L657*8%</f>
        <v/>
      </c>
      <c r="O656" s="49">
        <f>L657*10%</f>
        <v/>
      </c>
      <c r="P656" s="49">
        <f>L657*5%</f>
        <v/>
      </c>
      <c r="Q656" s="49">
        <f>L657*2%</f>
        <v/>
      </c>
      <c r="R656" s="49">
        <f>AC657*0.5%</f>
        <v/>
      </c>
      <c r="S656" s="49">
        <f>L657*1%</f>
        <v/>
      </c>
      <c r="T656" s="50">
        <f>S657+Q657+P657+O657+N657+M657</f>
        <v/>
      </c>
      <c r="U656" s="44">
        <f>AC657*1%</f>
        <v/>
      </c>
      <c r="V656" s="44">
        <f>AC657*5%</f>
        <v/>
      </c>
      <c r="W656" s="44">
        <f>AC657*1%</f>
        <v/>
      </c>
      <c r="X656" s="44">
        <f>AC657*8%</f>
        <v/>
      </c>
      <c r="Y656" s="44">
        <f>U657+V657+W657+X657</f>
        <v/>
      </c>
      <c r="Z656" s="50">
        <f>Y657+T657+L657</f>
        <v/>
      </c>
      <c r="AA656" s="51">
        <f>Z657*20%</f>
        <v/>
      </c>
      <c r="AB656" s="49">
        <f>Z657+AA657</f>
        <v/>
      </c>
      <c r="AC656" s="44">
        <f>D657*2.1</f>
        <v/>
      </c>
      <c r="AD656" s="49">
        <f>AB657-AC657</f>
        <v/>
      </c>
      <c r="AE656" s="49">
        <f>AD657/AB657*100</f>
        <v/>
      </c>
      <c r="AF656" s="113" t="n">
        <v>295</v>
      </c>
      <c r="AG656" s="116">
        <f>((AF657-L657)/L657)*100</f>
        <v/>
      </c>
      <c r="AH656" s="54">
        <f>AJ657-AF657</f>
        <v/>
      </c>
      <c r="AI656" s="54">
        <f>AB657*2.5</f>
        <v/>
      </c>
      <c r="AJ656" s="113" t="n">
        <v>295</v>
      </c>
      <c r="AK656" s="55">
        <f>(AJ657-L657)/L657*100</f>
        <v/>
      </c>
      <c r="AL656" s="55" t="n"/>
      <c r="AM656" s="55">
        <f>AH657/AJ657%</f>
        <v/>
      </c>
      <c r="AN656" s="55">
        <f>AK657-AG657</f>
        <v/>
      </c>
      <c r="AO656" s="56">
        <f>AJ657/L657</f>
        <v/>
      </c>
      <c r="AP656" s="55">
        <f>(AJ657-AB657)/100</f>
        <v/>
      </c>
      <c r="AQ656" s="55">
        <f>(AJ657-AC657)/100</f>
        <v/>
      </c>
      <c r="AR656" s="57">
        <f>AI657/94</f>
        <v/>
      </c>
      <c r="AS656" s="57">
        <f>AJ657/94</f>
        <v/>
      </c>
      <c r="AT656" s="58">
        <f>AI657/24</f>
        <v/>
      </c>
      <c r="AU656" s="58">
        <f>AJ657/24</f>
        <v/>
      </c>
      <c r="AV656" s="58">
        <f>AI657/125</f>
        <v/>
      </c>
      <c r="AW656" s="58">
        <f>AJ657/125</f>
        <v/>
      </c>
      <c r="AX656" s="113" t="n"/>
      <c r="AY656" s="113" t="n"/>
    </row>
    <row r="657" ht="15.75" customHeight="1" s="258">
      <c r="A657" s="44" t="n"/>
      <c r="B657" s="44" t="inlineStr">
        <is>
          <t>Black / 14 cms</t>
        </is>
      </c>
      <c r="C657" s="44" t="inlineStr">
        <is>
          <t>MI-SB-C-BK-14</t>
        </is>
      </c>
      <c r="D657" s="45" t="n">
        <v>45</v>
      </c>
      <c r="E657" s="44" t="n">
        <v>0</v>
      </c>
      <c r="F657" s="44" t="n">
        <v>40</v>
      </c>
      <c r="G657" s="45" t="n">
        <v>940490099</v>
      </c>
      <c r="H657" s="115" t="n">
        <v>0.05</v>
      </c>
      <c r="I657" s="44">
        <f>D658*H658</f>
        <v/>
      </c>
      <c r="J657" s="113" t="n"/>
      <c r="K657" s="44" t="n">
        <v>20</v>
      </c>
      <c r="L657" s="48">
        <f>K658+J658+I658+F658+E658+D658</f>
        <v/>
      </c>
      <c r="M657" s="44">
        <f>D658*1%</f>
        <v/>
      </c>
      <c r="N657" s="49">
        <f>L658*8%</f>
        <v/>
      </c>
      <c r="O657" s="49">
        <f>L658*10%</f>
        <v/>
      </c>
      <c r="P657" s="49">
        <f>L658*5%</f>
        <v/>
      </c>
      <c r="Q657" s="49">
        <f>L658*2%</f>
        <v/>
      </c>
      <c r="R657" s="49">
        <f>AC658*0.5%</f>
        <v/>
      </c>
      <c r="S657" s="49">
        <f>L658*1%</f>
        <v/>
      </c>
      <c r="T657" s="50">
        <f>S658+Q658+P658+O658+N658+M658</f>
        <v/>
      </c>
      <c r="U657" s="44">
        <f>AC658*1%</f>
        <v/>
      </c>
      <c r="V657" s="44">
        <f>AC658*5%</f>
        <v/>
      </c>
      <c r="W657" s="44">
        <f>AC658*1%</f>
        <v/>
      </c>
      <c r="X657" s="44">
        <f>AC658*8%</f>
        <v/>
      </c>
      <c r="Y657" s="44">
        <f>U658+V658+W658+X658</f>
        <v/>
      </c>
      <c r="Z657" s="50">
        <f>Y658+T658+L658</f>
        <v/>
      </c>
      <c r="AA657" s="51">
        <f>Z658*20%</f>
        <v/>
      </c>
      <c r="AB657" s="49">
        <f>Z658+AA658</f>
        <v/>
      </c>
      <c r="AC657" s="44">
        <f>D658*2.1</f>
        <v/>
      </c>
      <c r="AD657" s="49">
        <f>AB658-AC658</f>
        <v/>
      </c>
      <c r="AE657" s="49">
        <f>AD658/AB658*100</f>
        <v/>
      </c>
      <c r="AF657" s="113" t="n">
        <v>295</v>
      </c>
      <c r="AG657" s="116">
        <f>((AF658-L658)/L658)*100</f>
        <v/>
      </c>
      <c r="AH657" s="54">
        <f>AJ658-AF658</f>
        <v/>
      </c>
      <c r="AI657" s="54">
        <f>AB658*2.5</f>
        <v/>
      </c>
      <c r="AJ657" s="113" t="n">
        <v>295</v>
      </c>
      <c r="AK657" s="55">
        <f>(AJ658-L658)/L658*100</f>
        <v/>
      </c>
      <c r="AL657" s="55" t="n"/>
      <c r="AM657" s="55">
        <f>AH658/AJ658%</f>
        <v/>
      </c>
      <c r="AN657" s="55">
        <f>AK658-AG658</f>
        <v/>
      </c>
      <c r="AO657" s="56">
        <f>AJ658/L658</f>
        <v/>
      </c>
      <c r="AP657" s="55">
        <f>(AJ658-AB658)/100</f>
        <v/>
      </c>
      <c r="AQ657" s="55">
        <f>(AJ658-AC658)/100</f>
        <v/>
      </c>
      <c r="AR657" s="57">
        <f>AI658/94</f>
        <v/>
      </c>
      <c r="AS657" s="57">
        <f>AJ658/94</f>
        <v/>
      </c>
      <c r="AT657" s="58">
        <f>AI658/24</f>
        <v/>
      </c>
      <c r="AU657" s="58">
        <f>AJ658/24</f>
        <v/>
      </c>
      <c r="AV657" s="58">
        <f>AI658/125</f>
        <v/>
      </c>
      <c r="AW657" s="58">
        <f>AJ658/125</f>
        <v/>
      </c>
      <c r="AX657" s="113" t="n"/>
      <c r="AY657" s="113" t="n"/>
    </row>
    <row r="658" ht="15.75" customHeight="1" s="258">
      <c r="A658" s="44" t="n"/>
      <c r="B658" s="44" t="inlineStr">
        <is>
          <t>Red / 14 cms</t>
        </is>
      </c>
      <c r="C658" s="44" t="inlineStr">
        <is>
          <t>MI-SB-C-R-14</t>
        </is>
      </c>
      <c r="D658" s="45" t="n">
        <v>45</v>
      </c>
      <c r="E658" s="44" t="n">
        <v>0</v>
      </c>
      <c r="F658" s="44" t="n">
        <v>40</v>
      </c>
      <c r="G658" s="45" t="n">
        <v>940490099</v>
      </c>
      <c r="H658" s="115" t="n">
        <v>0.05</v>
      </c>
      <c r="I658" s="44">
        <f>D659*H659</f>
        <v/>
      </c>
      <c r="J658" s="113" t="n"/>
      <c r="K658" s="44" t="n">
        <v>20</v>
      </c>
      <c r="L658" s="48">
        <f>K659+J659+I659+F659+E659+D659</f>
        <v/>
      </c>
      <c r="M658" s="44">
        <f>D659*1%</f>
        <v/>
      </c>
      <c r="N658" s="49">
        <f>L659*8%</f>
        <v/>
      </c>
      <c r="O658" s="49">
        <f>L659*10%</f>
        <v/>
      </c>
      <c r="P658" s="49">
        <f>L659*5%</f>
        <v/>
      </c>
      <c r="Q658" s="49">
        <f>L659*2%</f>
        <v/>
      </c>
      <c r="R658" s="49">
        <f>AC659*0.5%</f>
        <v/>
      </c>
      <c r="S658" s="49">
        <f>L659*1%</f>
        <v/>
      </c>
      <c r="T658" s="50">
        <f>S659+Q659+P659+O659+N659+M659</f>
        <v/>
      </c>
      <c r="U658" s="44">
        <f>AC659*1%</f>
        <v/>
      </c>
      <c r="V658" s="44">
        <f>AC659*5%</f>
        <v/>
      </c>
      <c r="W658" s="44">
        <f>AC659*1%</f>
        <v/>
      </c>
      <c r="X658" s="44">
        <f>AC659*8%</f>
        <v/>
      </c>
      <c r="Y658" s="44">
        <f>U659+V659+W659+X659</f>
        <v/>
      </c>
      <c r="Z658" s="50">
        <f>Y659+T659+L659</f>
        <v/>
      </c>
      <c r="AA658" s="51">
        <f>Z659*20%</f>
        <v/>
      </c>
      <c r="AB658" s="49">
        <f>Z659+AA659</f>
        <v/>
      </c>
      <c r="AC658" s="44">
        <f>D659*2.1</f>
        <v/>
      </c>
      <c r="AD658" s="49">
        <f>AB659-AC659</f>
        <v/>
      </c>
      <c r="AE658" s="49">
        <f>AD659/AB659*100</f>
        <v/>
      </c>
      <c r="AF658" s="113" t="n">
        <v>295</v>
      </c>
      <c r="AG658" s="116">
        <f>((AF659-L659)/L659)*100</f>
        <v/>
      </c>
      <c r="AH658" s="54">
        <f>AJ659-AF659</f>
        <v/>
      </c>
      <c r="AI658" s="54">
        <f>AB659*2.5</f>
        <v/>
      </c>
      <c r="AJ658" s="113" t="n">
        <v>295</v>
      </c>
      <c r="AK658" s="55">
        <f>(AJ659-L659)/L659*100</f>
        <v/>
      </c>
      <c r="AL658" s="55" t="n"/>
      <c r="AM658" s="55">
        <f>AH659/AJ659%</f>
        <v/>
      </c>
      <c r="AN658" s="55">
        <f>AK659-AG659</f>
        <v/>
      </c>
      <c r="AO658" s="56">
        <f>AJ659/L659</f>
        <v/>
      </c>
      <c r="AP658" s="55">
        <f>(AJ659-AB659)/100</f>
        <v/>
      </c>
      <c r="AQ658" s="55">
        <f>(AJ659-AC659)/100</f>
        <v/>
      </c>
      <c r="AR658" s="57">
        <f>AI659/94</f>
        <v/>
      </c>
      <c r="AS658" s="57">
        <f>AJ659/94</f>
        <v/>
      </c>
      <c r="AT658" s="58">
        <f>AI659/24</f>
        <v/>
      </c>
      <c r="AU658" s="58">
        <f>AJ659/24</f>
        <v/>
      </c>
      <c r="AV658" s="58">
        <f>AI659/125</f>
        <v/>
      </c>
      <c r="AW658" s="58">
        <f>AJ659/125</f>
        <v/>
      </c>
      <c r="AX658" s="113" t="n"/>
      <c r="AY658" s="113" t="n"/>
    </row>
    <row r="659" ht="15.75" customHeight="1" s="258">
      <c r="A659" s="44" t="n"/>
      <c r="B659" s="44" t="inlineStr">
        <is>
          <t>Brown / 14 cms</t>
        </is>
      </c>
      <c r="C659" s="44" t="inlineStr">
        <is>
          <t>MI-SB-C-Bn-14</t>
        </is>
      </c>
      <c r="D659" s="45" t="n">
        <v>45</v>
      </c>
      <c r="E659" s="44" t="n">
        <v>0</v>
      </c>
      <c r="F659" s="44" t="n">
        <v>40</v>
      </c>
      <c r="G659" s="45" t="n">
        <v>940490099</v>
      </c>
      <c r="H659" s="115" t="n">
        <v>0.05</v>
      </c>
      <c r="I659" s="44">
        <f>D660*H660</f>
        <v/>
      </c>
      <c r="J659" s="113" t="n"/>
      <c r="K659" s="44" t="n">
        <v>20</v>
      </c>
      <c r="L659" s="48">
        <f>K660+J660+I660+F660+E660+D660</f>
        <v/>
      </c>
      <c r="M659" s="44">
        <f>D660*1%</f>
        <v/>
      </c>
      <c r="N659" s="49">
        <f>L660*8%</f>
        <v/>
      </c>
      <c r="O659" s="49">
        <f>L660*10%</f>
        <v/>
      </c>
      <c r="P659" s="49">
        <f>L660*5%</f>
        <v/>
      </c>
      <c r="Q659" s="49">
        <f>L660*2%</f>
        <v/>
      </c>
      <c r="R659" s="49">
        <f>AC660*0.5%</f>
        <v/>
      </c>
      <c r="S659" s="49">
        <f>L660*1%</f>
        <v/>
      </c>
      <c r="T659" s="50">
        <f>S660+Q660+P660+O660+N660+M660</f>
        <v/>
      </c>
      <c r="U659" s="44">
        <f>AC660*1%</f>
        <v/>
      </c>
      <c r="V659" s="44">
        <f>AC660*5%</f>
        <v/>
      </c>
      <c r="W659" s="44">
        <f>AC660*1%</f>
        <v/>
      </c>
      <c r="X659" s="44">
        <f>AC660*8%</f>
        <v/>
      </c>
      <c r="Y659" s="44">
        <f>U660+V660+W660+X660</f>
        <v/>
      </c>
      <c r="Z659" s="50">
        <f>Y660+T660+L660</f>
        <v/>
      </c>
      <c r="AA659" s="51">
        <f>Z660*20%</f>
        <v/>
      </c>
      <c r="AB659" s="49">
        <f>Z660+AA660</f>
        <v/>
      </c>
      <c r="AC659" s="44">
        <f>D660*2.1</f>
        <v/>
      </c>
      <c r="AD659" s="49">
        <f>AB660-AC660</f>
        <v/>
      </c>
      <c r="AE659" s="49">
        <f>AD660/AB660*100</f>
        <v/>
      </c>
      <c r="AF659" s="113" t="n">
        <v>295</v>
      </c>
      <c r="AG659" s="116">
        <f>((AF660-L660)/L660)*100</f>
        <v/>
      </c>
      <c r="AH659" s="54">
        <f>AJ660-AF660</f>
        <v/>
      </c>
      <c r="AI659" s="54">
        <f>AB660*2.5</f>
        <v/>
      </c>
      <c r="AJ659" s="113" t="n">
        <v>295</v>
      </c>
      <c r="AK659" s="55">
        <f>(AJ660-L660)/L660*100</f>
        <v/>
      </c>
      <c r="AL659" s="55" t="n"/>
      <c r="AM659" s="55">
        <f>AH660/AJ660%</f>
        <v/>
      </c>
      <c r="AN659" s="55">
        <f>AK660-AG660</f>
        <v/>
      </c>
      <c r="AO659" s="56">
        <f>AJ660/L660</f>
        <v/>
      </c>
      <c r="AP659" s="55">
        <f>(AJ660-AB660)/100</f>
        <v/>
      </c>
      <c r="AQ659" s="55">
        <f>(AJ660-AC660)/100</f>
        <v/>
      </c>
      <c r="AR659" s="57">
        <f>AI660/94</f>
        <v/>
      </c>
      <c r="AS659" s="57">
        <f>AJ660/94</f>
        <v/>
      </c>
      <c r="AT659" s="58">
        <f>AI660/24</f>
        <v/>
      </c>
      <c r="AU659" s="58">
        <f>AJ660/24</f>
        <v/>
      </c>
      <c r="AV659" s="58">
        <f>AI660/125</f>
        <v/>
      </c>
      <c r="AW659" s="58">
        <f>AJ660/125</f>
        <v/>
      </c>
      <c r="AX659" s="113" t="n"/>
      <c r="AY659" s="113" t="n"/>
    </row>
    <row r="660" ht="15.75" customHeight="1" s="258">
      <c r="A660" s="44" t="n"/>
      <c r="B660" s="44" t="inlineStr">
        <is>
          <t>Pink / 14 cms</t>
        </is>
      </c>
      <c r="C660" s="44" t="inlineStr">
        <is>
          <t>MI-SB-C-PK-14</t>
        </is>
      </c>
      <c r="D660" s="45" t="n">
        <v>45</v>
      </c>
      <c r="E660" s="44" t="n">
        <v>0</v>
      </c>
      <c r="F660" s="44" t="n">
        <v>40</v>
      </c>
      <c r="G660" s="45" t="n">
        <v>940490099</v>
      </c>
      <c r="H660" s="115" t="n">
        <v>0.05</v>
      </c>
      <c r="I660" s="44">
        <f>D661*H661</f>
        <v/>
      </c>
      <c r="J660" s="113" t="n"/>
      <c r="K660" s="44" t="n">
        <v>20</v>
      </c>
      <c r="L660" s="48">
        <f>K661+J661+I661+F661+E661+D661</f>
        <v/>
      </c>
      <c r="M660" s="44">
        <f>D661*1%</f>
        <v/>
      </c>
      <c r="N660" s="49">
        <f>L661*8%</f>
        <v/>
      </c>
      <c r="O660" s="49">
        <f>L661*10%</f>
        <v/>
      </c>
      <c r="P660" s="49">
        <f>L661*5%</f>
        <v/>
      </c>
      <c r="Q660" s="49">
        <f>L661*2%</f>
        <v/>
      </c>
      <c r="R660" s="49">
        <f>AC661*0.5%</f>
        <v/>
      </c>
      <c r="S660" s="49">
        <f>L661*1%</f>
        <v/>
      </c>
      <c r="T660" s="50">
        <f>S661+Q661+P661+O661+N661+M661</f>
        <v/>
      </c>
      <c r="U660" s="44">
        <f>AC661*1%</f>
        <v/>
      </c>
      <c r="V660" s="44">
        <f>AC661*5%</f>
        <v/>
      </c>
      <c r="W660" s="44">
        <f>AC661*1%</f>
        <v/>
      </c>
      <c r="X660" s="44">
        <f>AC661*8%</f>
        <v/>
      </c>
      <c r="Y660" s="44">
        <f>U661+V661+W661+X661</f>
        <v/>
      </c>
      <c r="Z660" s="50">
        <f>Y661+T661+L661</f>
        <v/>
      </c>
      <c r="AA660" s="51">
        <f>Z661*20%</f>
        <v/>
      </c>
      <c r="AB660" s="49">
        <f>Z661+AA661</f>
        <v/>
      </c>
      <c r="AC660" s="44">
        <f>D661*2.1</f>
        <v/>
      </c>
      <c r="AD660" s="49">
        <f>AB661-AC661</f>
        <v/>
      </c>
      <c r="AE660" s="49">
        <f>AD661/AB661*100</f>
        <v/>
      </c>
      <c r="AF660" s="113" t="n">
        <v>295</v>
      </c>
      <c r="AG660" s="116">
        <f>((AF661-L661)/L661)*100</f>
        <v/>
      </c>
      <c r="AH660" s="54">
        <f>AJ661-AF661</f>
        <v/>
      </c>
      <c r="AI660" s="54">
        <f>AB661*2.5</f>
        <v/>
      </c>
      <c r="AJ660" s="113" t="n">
        <v>295</v>
      </c>
      <c r="AK660" s="55">
        <f>(AJ661-L661)/L661*100</f>
        <v/>
      </c>
      <c r="AL660" s="55" t="n"/>
      <c r="AM660" s="55">
        <f>AH661/AJ661%</f>
        <v/>
      </c>
      <c r="AN660" s="55">
        <f>AK661-AG661</f>
        <v/>
      </c>
      <c r="AO660" s="56">
        <f>AJ661/L661</f>
        <v/>
      </c>
      <c r="AP660" s="55">
        <f>(AJ661-AB661)/100</f>
        <v/>
      </c>
      <c r="AQ660" s="55">
        <f>(AJ661-AC661)/100</f>
        <v/>
      </c>
      <c r="AR660" s="57">
        <f>AI661/94</f>
        <v/>
      </c>
      <c r="AS660" s="57">
        <f>AJ661/94</f>
        <v/>
      </c>
      <c r="AT660" s="58">
        <f>AI661/24</f>
        <v/>
      </c>
      <c r="AU660" s="58">
        <f>AJ661/24</f>
        <v/>
      </c>
      <c r="AV660" s="58">
        <f>AI661/125</f>
        <v/>
      </c>
      <c r="AW660" s="58">
        <f>AJ661/125</f>
        <v/>
      </c>
      <c r="AX660" s="113" t="n"/>
      <c r="AY660" s="113" t="n"/>
    </row>
    <row r="661" ht="15.75" customHeight="1" s="258">
      <c r="A661" s="44" t="n"/>
      <c r="B661" s="44" t="inlineStr">
        <is>
          <t>Yellow / 14 cms</t>
        </is>
      </c>
      <c r="C661" s="44" t="inlineStr">
        <is>
          <t>MI-SB-C-Y-14</t>
        </is>
      </c>
      <c r="D661" s="45" t="n">
        <v>45</v>
      </c>
      <c r="E661" s="44" t="n">
        <v>0</v>
      </c>
      <c r="F661" s="44" t="n">
        <v>40</v>
      </c>
      <c r="G661" s="45" t="n">
        <v>940490099</v>
      </c>
      <c r="H661" s="115" t="n">
        <v>0.05</v>
      </c>
      <c r="I661" s="44">
        <f>D662*H662</f>
        <v/>
      </c>
      <c r="J661" s="113" t="n"/>
      <c r="K661" s="44" t="n">
        <v>20</v>
      </c>
      <c r="L661" s="48">
        <f>K662+J662+I662+F662+E662+D662</f>
        <v/>
      </c>
      <c r="M661" s="44">
        <f>D662*1%</f>
        <v/>
      </c>
      <c r="N661" s="49">
        <f>L662*8%</f>
        <v/>
      </c>
      <c r="O661" s="49">
        <f>L662*10%</f>
        <v/>
      </c>
      <c r="P661" s="49">
        <f>L662*5%</f>
        <v/>
      </c>
      <c r="Q661" s="49">
        <f>L662*2%</f>
        <v/>
      </c>
      <c r="R661" s="49">
        <f>AC662*0.5%</f>
        <v/>
      </c>
      <c r="S661" s="49">
        <f>L662*1%</f>
        <v/>
      </c>
      <c r="T661" s="50">
        <f>S662+Q662+P662+O662+N662+M662</f>
        <v/>
      </c>
      <c r="U661" s="44">
        <f>AC662*1%</f>
        <v/>
      </c>
      <c r="V661" s="44">
        <f>AC662*5%</f>
        <v/>
      </c>
      <c r="W661" s="44">
        <f>AC662*1%</f>
        <v/>
      </c>
      <c r="X661" s="44">
        <f>AC662*8%</f>
        <v/>
      </c>
      <c r="Y661" s="44">
        <f>U662+V662+W662+X662</f>
        <v/>
      </c>
      <c r="Z661" s="50">
        <f>Y662+T662+L662</f>
        <v/>
      </c>
      <c r="AA661" s="51">
        <f>Z662*20%</f>
        <v/>
      </c>
      <c r="AB661" s="49">
        <f>Z662+AA662</f>
        <v/>
      </c>
      <c r="AC661" s="44">
        <f>D662*2.1</f>
        <v/>
      </c>
      <c r="AD661" s="49">
        <f>AB662-AC662</f>
        <v/>
      </c>
      <c r="AE661" s="49">
        <f>AD662/AB662*100</f>
        <v/>
      </c>
      <c r="AF661" s="113" t="n">
        <v>295</v>
      </c>
      <c r="AG661" s="116">
        <f>((AF662-L662)/L662)*100</f>
        <v/>
      </c>
      <c r="AH661" s="54">
        <f>AJ662-AF662</f>
        <v/>
      </c>
      <c r="AI661" s="54">
        <f>AB662*2.5</f>
        <v/>
      </c>
      <c r="AJ661" s="113" t="n">
        <v>295</v>
      </c>
      <c r="AK661" s="55">
        <f>(AJ662-L662)/L662*100</f>
        <v/>
      </c>
      <c r="AL661" s="55" t="n"/>
      <c r="AM661" s="55">
        <f>AH662/AJ662%</f>
        <v/>
      </c>
      <c r="AN661" s="55">
        <f>AK662-AG662</f>
        <v/>
      </c>
      <c r="AO661" s="56">
        <f>AJ662/L662</f>
        <v/>
      </c>
      <c r="AP661" s="55">
        <f>(AJ662-AB662)/100</f>
        <v/>
      </c>
      <c r="AQ661" s="55">
        <f>(AJ662-AC662)/100</f>
        <v/>
      </c>
      <c r="AR661" s="57">
        <f>AI662/94</f>
        <v/>
      </c>
      <c r="AS661" s="57">
        <f>AJ662/94</f>
        <v/>
      </c>
      <c r="AT661" s="58">
        <f>AI662/24</f>
        <v/>
      </c>
      <c r="AU661" s="58">
        <f>AJ662/24</f>
        <v/>
      </c>
      <c r="AV661" s="58">
        <f>AI662/125</f>
        <v/>
      </c>
      <c r="AW661" s="58">
        <f>AJ662/125</f>
        <v/>
      </c>
      <c r="AX661" s="113" t="n"/>
      <c r="AY661" s="113" t="n"/>
    </row>
    <row r="662" ht="15.75" customHeight="1" s="258">
      <c r="A662" s="44" t="n"/>
      <c r="B662" s="44" t="inlineStr">
        <is>
          <t>16 cms / Blue</t>
        </is>
      </c>
      <c r="C662" s="44" t="inlineStr">
        <is>
          <t>MI-SB-C-B-16</t>
        </is>
      </c>
      <c r="D662" s="45" t="n">
        <v>55</v>
      </c>
      <c r="E662" s="44" t="n">
        <v>0</v>
      </c>
      <c r="F662" s="44" t="n">
        <v>40</v>
      </c>
      <c r="G662" s="45" t="n">
        <v>940490099</v>
      </c>
      <c r="H662" s="115" t="n">
        <v>0.05</v>
      </c>
      <c r="I662" s="44">
        <f>D663*H663</f>
        <v/>
      </c>
      <c r="J662" s="113" t="n"/>
      <c r="K662" s="44" t="n">
        <v>20</v>
      </c>
      <c r="L662" s="48">
        <f>K663+J663+I663+F663+E663+D663</f>
        <v/>
      </c>
      <c r="M662" s="44">
        <f>D663*1%</f>
        <v/>
      </c>
      <c r="N662" s="49">
        <f>L663*8%</f>
        <v/>
      </c>
      <c r="O662" s="49">
        <f>L663*10%</f>
        <v/>
      </c>
      <c r="P662" s="49">
        <f>L663*5%</f>
        <v/>
      </c>
      <c r="Q662" s="49">
        <f>L663*2%</f>
        <v/>
      </c>
      <c r="R662" s="49">
        <f>AC663*0.5%</f>
        <v/>
      </c>
      <c r="S662" s="49">
        <f>L663*1%</f>
        <v/>
      </c>
      <c r="T662" s="50">
        <f>S663+Q663+P663+O663+N663+M663</f>
        <v/>
      </c>
      <c r="U662" s="44">
        <f>AC663*1%</f>
        <v/>
      </c>
      <c r="V662" s="44">
        <f>AC663*5%</f>
        <v/>
      </c>
      <c r="W662" s="44">
        <f>AC663*1%</f>
        <v/>
      </c>
      <c r="X662" s="44">
        <f>AC663*8%</f>
        <v/>
      </c>
      <c r="Y662" s="44">
        <f>U663+V663+W663+X663</f>
        <v/>
      </c>
      <c r="Z662" s="50">
        <f>Y663+T663+L663</f>
        <v/>
      </c>
      <c r="AA662" s="51">
        <f>Z663*20%</f>
        <v/>
      </c>
      <c r="AB662" s="49">
        <f>Z663+AA663</f>
        <v/>
      </c>
      <c r="AC662" s="44">
        <f>D663*2.1</f>
        <v/>
      </c>
      <c r="AD662" s="49">
        <f>AB663-AC663</f>
        <v/>
      </c>
      <c r="AE662" s="49">
        <f>AD663/AB663*100</f>
        <v/>
      </c>
      <c r="AF662" s="113" t="n">
        <v>325</v>
      </c>
      <c r="AG662" s="116">
        <f>((AF663-L663)/L663)*100</f>
        <v/>
      </c>
      <c r="AH662" s="54">
        <f>AJ663-AF663</f>
        <v/>
      </c>
      <c r="AI662" s="54">
        <f>AB663*2.5</f>
        <v/>
      </c>
      <c r="AJ662" s="113" t="n">
        <v>325</v>
      </c>
      <c r="AK662" s="55">
        <f>(AJ663-L663)/L663*100</f>
        <v/>
      </c>
      <c r="AL662" s="55" t="n"/>
      <c r="AM662" s="55">
        <f>AH663/AJ663%</f>
        <v/>
      </c>
      <c r="AN662" s="55">
        <f>AK663-AG663</f>
        <v/>
      </c>
      <c r="AO662" s="56">
        <f>AJ663/L663</f>
        <v/>
      </c>
      <c r="AP662" s="55">
        <f>(AJ663-AB663)/100</f>
        <v/>
      </c>
      <c r="AQ662" s="55">
        <f>(AJ663-AC663)/100</f>
        <v/>
      </c>
      <c r="AR662" s="57">
        <f>AI663/94</f>
        <v/>
      </c>
      <c r="AS662" s="57">
        <f>AJ663/94</f>
        <v/>
      </c>
      <c r="AT662" s="58">
        <f>AI663/24</f>
        <v/>
      </c>
      <c r="AU662" s="58">
        <f>AJ663/24</f>
        <v/>
      </c>
      <c r="AV662" s="58">
        <f>AI663/125</f>
        <v/>
      </c>
      <c r="AW662" s="58">
        <f>AJ663/125</f>
        <v/>
      </c>
      <c r="AX662" s="113" t="n"/>
      <c r="AY662" s="113" t="n"/>
    </row>
    <row r="663" ht="15.75" customHeight="1" s="258">
      <c r="A663" s="44" t="n"/>
      <c r="B663" s="44" t="inlineStr">
        <is>
          <t>Black / 16 cms</t>
        </is>
      </c>
      <c r="C663" s="44" t="inlineStr">
        <is>
          <t>MI-SB-C-BK-16</t>
        </is>
      </c>
      <c r="D663" s="45" t="n">
        <v>55</v>
      </c>
      <c r="E663" s="44" t="n">
        <v>0</v>
      </c>
      <c r="F663" s="44" t="n">
        <v>40</v>
      </c>
      <c r="G663" s="45" t="n">
        <v>940490099</v>
      </c>
      <c r="H663" s="115" t="n">
        <v>0.05</v>
      </c>
      <c r="I663" s="44">
        <f>D664*H664</f>
        <v/>
      </c>
      <c r="J663" s="113" t="n"/>
      <c r="K663" s="44" t="n">
        <v>20</v>
      </c>
      <c r="L663" s="48">
        <f>K664+J664+I664+F664+E664+D664</f>
        <v/>
      </c>
      <c r="M663" s="44">
        <f>D664*1%</f>
        <v/>
      </c>
      <c r="N663" s="49">
        <f>L664*8%</f>
        <v/>
      </c>
      <c r="O663" s="49">
        <f>L664*10%</f>
        <v/>
      </c>
      <c r="P663" s="49">
        <f>L664*5%</f>
        <v/>
      </c>
      <c r="Q663" s="49">
        <f>L664*2%</f>
        <v/>
      </c>
      <c r="R663" s="49">
        <f>AC664*0.5%</f>
        <v/>
      </c>
      <c r="S663" s="49">
        <f>L664*1%</f>
        <v/>
      </c>
      <c r="T663" s="50">
        <f>S664+Q664+P664+O664+N664+M664</f>
        <v/>
      </c>
      <c r="U663" s="44">
        <f>AC664*1%</f>
        <v/>
      </c>
      <c r="V663" s="44">
        <f>AC664*5%</f>
        <v/>
      </c>
      <c r="W663" s="44">
        <f>AC664*1%</f>
        <v/>
      </c>
      <c r="X663" s="44">
        <f>AC664*8%</f>
        <v/>
      </c>
      <c r="Y663" s="44">
        <f>U664+V664+W664+X664</f>
        <v/>
      </c>
      <c r="Z663" s="50">
        <f>Y664+T664+L664</f>
        <v/>
      </c>
      <c r="AA663" s="51">
        <f>Z664*20%</f>
        <v/>
      </c>
      <c r="AB663" s="49">
        <f>Z664+AA664</f>
        <v/>
      </c>
      <c r="AC663" s="44">
        <f>D664*2.1</f>
        <v/>
      </c>
      <c r="AD663" s="49">
        <f>AB664-AC664</f>
        <v/>
      </c>
      <c r="AE663" s="49">
        <f>AD664/AB664*100</f>
        <v/>
      </c>
      <c r="AF663" s="113" t="n">
        <v>325</v>
      </c>
      <c r="AG663" s="116">
        <f>((AF664-L664)/L664)*100</f>
        <v/>
      </c>
      <c r="AH663" s="54">
        <f>AJ664-AF664</f>
        <v/>
      </c>
      <c r="AI663" s="54">
        <f>AB664*2.5</f>
        <v/>
      </c>
      <c r="AJ663" s="113" t="n">
        <v>325</v>
      </c>
      <c r="AK663" s="55">
        <f>(AJ664-L664)/L664*100</f>
        <v/>
      </c>
      <c r="AL663" s="55" t="n"/>
      <c r="AM663" s="55">
        <f>AH664/AJ664%</f>
        <v/>
      </c>
      <c r="AN663" s="55">
        <f>AK664-AG664</f>
        <v/>
      </c>
      <c r="AO663" s="56">
        <f>AJ664/L664</f>
        <v/>
      </c>
      <c r="AP663" s="55">
        <f>(AJ664-AB664)/100</f>
        <v/>
      </c>
      <c r="AQ663" s="55">
        <f>(AJ664-AC664)/100</f>
        <v/>
      </c>
      <c r="AR663" s="57">
        <f>AI664/94</f>
        <v/>
      </c>
      <c r="AS663" s="57">
        <f>AJ664/94</f>
        <v/>
      </c>
      <c r="AT663" s="58">
        <f>AI664/24</f>
        <v/>
      </c>
      <c r="AU663" s="58">
        <f>AJ664/24</f>
        <v/>
      </c>
      <c r="AV663" s="58">
        <f>AI664/125</f>
        <v/>
      </c>
      <c r="AW663" s="58">
        <f>AJ664/125</f>
        <v/>
      </c>
      <c r="AX663" s="113" t="n"/>
      <c r="AY663" s="113" t="n"/>
    </row>
    <row r="664" ht="15.75" customHeight="1" s="258">
      <c r="A664" s="44" t="n"/>
      <c r="B664" s="44" t="inlineStr">
        <is>
          <t>Brown / 16 cms</t>
        </is>
      </c>
      <c r="C664" s="44" t="inlineStr">
        <is>
          <t>MI-SB-C-Bn-16</t>
        </is>
      </c>
      <c r="D664" s="45" t="n">
        <v>55</v>
      </c>
      <c r="E664" s="44" t="n">
        <v>0</v>
      </c>
      <c r="F664" s="44" t="n">
        <v>40</v>
      </c>
      <c r="G664" s="45" t="n">
        <v>940490099</v>
      </c>
      <c r="H664" s="115" t="n">
        <v>0.05</v>
      </c>
      <c r="I664" s="44">
        <f>D665*H665</f>
        <v/>
      </c>
      <c r="J664" s="113" t="n"/>
      <c r="K664" s="44" t="n">
        <v>20</v>
      </c>
      <c r="L664" s="48">
        <f>K665+J665+I665+F665+E665+D665</f>
        <v/>
      </c>
      <c r="M664" s="44">
        <f>D665*1%</f>
        <v/>
      </c>
      <c r="N664" s="49">
        <f>L665*8%</f>
        <v/>
      </c>
      <c r="O664" s="49">
        <f>L665*10%</f>
        <v/>
      </c>
      <c r="P664" s="49">
        <f>L665*5%</f>
        <v/>
      </c>
      <c r="Q664" s="49">
        <f>L665*2%</f>
        <v/>
      </c>
      <c r="R664" s="49">
        <f>AC665*0.5%</f>
        <v/>
      </c>
      <c r="S664" s="49">
        <f>L665*1%</f>
        <v/>
      </c>
      <c r="T664" s="50">
        <f>S665+Q665+P665+O665+N665+M665</f>
        <v/>
      </c>
      <c r="U664" s="44">
        <f>AC665*1%</f>
        <v/>
      </c>
      <c r="V664" s="44">
        <f>AC665*5%</f>
        <v/>
      </c>
      <c r="W664" s="44">
        <f>AC665*1%</f>
        <v/>
      </c>
      <c r="X664" s="44">
        <f>AC665*8%</f>
        <v/>
      </c>
      <c r="Y664" s="44">
        <f>U665+V665+W665+X665</f>
        <v/>
      </c>
      <c r="Z664" s="50">
        <f>Y665+T665+L665</f>
        <v/>
      </c>
      <c r="AA664" s="51">
        <f>Z665*20%</f>
        <v/>
      </c>
      <c r="AB664" s="49">
        <f>Z665+AA665</f>
        <v/>
      </c>
      <c r="AC664" s="44">
        <f>D665*2.1</f>
        <v/>
      </c>
      <c r="AD664" s="49">
        <f>AB665-AC665</f>
        <v/>
      </c>
      <c r="AE664" s="49">
        <f>AD665/AB665*100</f>
        <v/>
      </c>
      <c r="AF664" s="113" t="n">
        <v>325</v>
      </c>
      <c r="AG664" s="116">
        <f>((AF665-L665)/L665)*100</f>
        <v/>
      </c>
      <c r="AH664" s="54">
        <f>AJ665-AF665</f>
        <v/>
      </c>
      <c r="AI664" s="54">
        <f>AB665*2.5</f>
        <v/>
      </c>
      <c r="AJ664" s="113" t="n">
        <v>325</v>
      </c>
      <c r="AK664" s="55">
        <f>(AJ665-L665)/L665*100</f>
        <v/>
      </c>
      <c r="AL664" s="55" t="n"/>
      <c r="AM664" s="55">
        <f>AH665/AJ665%</f>
        <v/>
      </c>
      <c r="AN664" s="55">
        <f>AK665-AG665</f>
        <v/>
      </c>
      <c r="AO664" s="56">
        <f>AJ665/L665</f>
        <v/>
      </c>
      <c r="AP664" s="55">
        <f>(AJ665-AB665)/100</f>
        <v/>
      </c>
      <c r="AQ664" s="55">
        <f>(AJ665-AC665)/100</f>
        <v/>
      </c>
      <c r="AR664" s="57">
        <f>AI665/94</f>
        <v/>
      </c>
      <c r="AS664" s="57">
        <f>AJ665/94</f>
        <v/>
      </c>
      <c r="AT664" s="58">
        <f>AI665/24</f>
        <v/>
      </c>
      <c r="AU664" s="58">
        <f>AJ665/24</f>
        <v/>
      </c>
      <c r="AV664" s="58">
        <f>AI665/125</f>
        <v/>
      </c>
      <c r="AW664" s="58">
        <f>AJ665/125</f>
        <v/>
      </c>
      <c r="AX664" s="113" t="n"/>
      <c r="AY664" s="113" t="n"/>
    </row>
    <row r="665" ht="15.75" customHeight="1" s="258">
      <c r="A665" s="44" t="n"/>
      <c r="B665" s="44" t="inlineStr">
        <is>
          <t>Orange / 16 cms</t>
        </is>
      </c>
      <c r="C665" s="44" t="inlineStr">
        <is>
          <t>MI-SB-C-O-16</t>
        </is>
      </c>
      <c r="D665" s="45" t="n">
        <v>55</v>
      </c>
      <c r="E665" s="44" t="n">
        <v>0</v>
      </c>
      <c r="F665" s="44" t="n">
        <v>40</v>
      </c>
      <c r="G665" s="45" t="n">
        <v>940490099</v>
      </c>
      <c r="H665" s="115" t="n">
        <v>0.05</v>
      </c>
      <c r="I665" s="44">
        <f>D666*H666</f>
        <v/>
      </c>
      <c r="J665" s="113" t="n"/>
      <c r="K665" s="44" t="n">
        <v>20</v>
      </c>
      <c r="L665" s="48">
        <f>K666+J666+I666+F666+E666+D666</f>
        <v/>
      </c>
      <c r="M665" s="44">
        <f>D666*1%</f>
        <v/>
      </c>
      <c r="N665" s="49">
        <f>L666*8%</f>
        <v/>
      </c>
      <c r="O665" s="49">
        <f>L666*10%</f>
        <v/>
      </c>
      <c r="P665" s="49">
        <f>L666*5%</f>
        <v/>
      </c>
      <c r="Q665" s="49">
        <f>L666*2%</f>
        <v/>
      </c>
      <c r="R665" s="49">
        <f>AC666*0.5%</f>
        <v/>
      </c>
      <c r="S665" s="49">
        <f>L666*1%</f>
        <v/>
      </c>
      <c r="T665" s="50">
        <f>S666+Q666+P666+O666+N666+M666</f>
        <v/>
      </c>
      <c r="U665" s="44">
        <f>AC666*1%</f>
        <v/>
      </c>
      <c r="V665" s="44">
        <f>AC666*5%</f>
        <v/>
      </c>
      <c r="W665" s="44">
        <f>AC666*1%</f>
        <v/>
      </c>
      <c r="X665" s="44">
        <f>AC666*8%</f>
        <v/>
      </c>
      <c r="Y665" s="44">
        <f>U666+V666+W666+X666</f>
        <v/>
      </c>
      <c r="Z665" s="50">
        <f>Y666+T666+L666</f>
        <v/>
      </c>
      <c r="AA665" s="51">
        <f>Z666*20%</f>
        <v/>
      </c>
      <c r="AB665" s="49">
        <f>Z666+AA666</f>
        <v/>
      </c>
      <c r="AC665" s="44">
        <f>D666*2.1</f>
        <v/>
      </c>
      <c r="AD665" s="49">
        <f>AB666-AC666</f>
        <v/>
      </c>
      <c r="AE665" s="49">
        <f>AD666/AB666*100</f>
        <v/>
      </c>
      <c r="AF665" s="113" t="n">
        <v>325</v>
      </c>
      <c r="AG665" s="116">
        <f>((AF666-L666)/L666)*100</f>
        <v/>
      </c>
      <c r="AH665" s="54">
        <f>AJ666-AF666</f>
        <v/>
      </c>
      <c r="AI665" s="54">
        <f>AB666*2.5</f>
        <v/>
      </c>
      <c r="AJ665" s="113" t="n">
        <v>325</v>
      </c>
      <c r="AK665" s="55">
        <f>(AJ666-L666)/L666*100</f>
        <v/>
      </c>
      <c r="AL665" s="55" t="n"/>
      <c r="AM665" s="55">
        <f>AH666/AJ666%</f>
        <v/>
      </c>
      <c r="AN665" s="55">
        <f>AK666-AG666</f>
        <v/>
      </c>
      <c r="AO665" s="56">
        <f>AJ666/L666</f>
        <v/>
      </c>
      <c r="AP665" s="55">
        <f>(AJ666-AB666)/100</f>
        <v/>
      </c>
      <c r="AQ665" s="55">
        <f>(AJ666-AC666)/100</f>
        <v/>
      </c>
      <c r="AR665" s="57">
        <f>AI666/94</f>
        <v/>
      </c>
      <c r="AS665" s="57">
        <f>AJ666/94</f>
        <v/>
      </c>
      <c r="AT665" s="58">
        <f>AI666/24</f>
        <v/>
      </c>
      <c r="AU665" s="58">
        <f>AJ666/24</f>
        <v/>
      </c>
      <c r="AV665" s="58">
        <f>AI666/125</f>
        <v/>
      </c>
      <c r="AW665" s="58">
        <f>AJ666/125</f>
        <v/>
      </c>
      <c r="AX665" s="113" t="n"/>
      <c r="AY665" s="113" t="n"/>
    </row>
    <row r="666" ht="15.75" customHeight="1" s="258">
      <c r="A666" s="44" t="n"/>
      <c r="B666" s="44" t="inlineStr">
        <is>
          <t>16 cms / Navy Blue</t>
        </is>
      </c>
      <c r="C666" s="44" t="inlineStr">
        <is>
          <t>MI-SB-C-NB-16</t>
        </is>
      </c>
      <c r="D666" s="45" t="n">
        <v>55</v>
      </c>
      <c r="E666" s="44" t="n">
        <v>0</v>
      </c>
      <c r="F666" s="44" t="n">
        <v>40</v>
      </c>
      <c r="G666" s="45" t="n">
        <v>940490099</v>
      </c>
      <c r="H666" s="115" t="n">
        <v>0.05</v>
      </c>
      <c r="I666" s="44">
        <f>D667*H667</f>
        <v/>
      </c>
      <c r="J666" s="113" t="n"/>
      <c r="K666" s="44" t="n">
        <v>20</v>
      </c>
      <c r="L666" s="48">
        <f>K667+J667+I667+F667+E667+D667</f>
        <v/>
      </c>
      <c r="M666" s="44">
        <f>D667*1%</f>
        <v/>
      </c>
      <c r="N666" s="49">
        <f>L667*8%</f>
        <v/>
      </c>
      <c r="O666" s="49">
        <f>L667*10%</f>
        <v/>
      </c>
      <c r="P666" s="49">
        <f>L667*5%</f>
        <v/>
      </c>
      <c r="Q666" s="49">
        <f>L667*2%</f>
        <v/>
      </c>
      <c r="R666" s="49">
        <f>AC667*0.5%</f>
        <v/>
      </c>
      <c r="S666" s="49">
        <f>L667*1%</f>
        <v/>
      </c>
      <c r="T666" s="50">
        <f>S667+Q667+P667+O667+N667+M667</f>
        <v/>
      </c>
      <c r="U666" s="44">
        <f>AC667*1%</f>
        <v/>
      </c>
      <c r="V666" s="44">
        <f>AC667*5%</f>
        <v/>
      </c>
      <c r="W666" s="44">
        <f>AC667*1%</f>
        <v/>
      </c>
      <c r="X666" s="44">
        <f>AC667*8%</f>
        <v/>
      </c>
      <c r="Y666" s="44">
        <f>U667+V667+W667+X667</f>
        <v/>
      </c>
      <c r="Z666" s="50">
        <f>Y667+T667+L667</f>
        <v/>
      </c>
      <c r="AA666" s="51">
        <f>Z667*20%</f>
        <v/>
      </c>
      <c r="AB666" s="49">
        <f>Z667+AA667</f>
        <v/>
      </c>
      <c r="AC666" s="44">
        <f>D667*2.1</f>
        <v/>
      </c>
      <c r="AD666" s="49">
        <f>AB667-AC667</f>
        <v/>
      </c>
      <c r="AE666" s="49">
        <f>AD667/AB667*100</f>
        <v/>
      </c>
      <c r="AF666" s="113" t="n">
        <v>325</v>
      </c>
      <c r="AG666" s="116">
        <f>((AF667-L667)/L667)*100</f>
        <v/>
      </c>
      <c r="AH666" s="54">
        <f>AJ667-AF667</f>
        <v/>
      </c>
      <c r="AI666" s="54">
        <f>AB667*2.5</f>
        <v/>
      </c>
      <c r="AJ666" s="113" t="n">
        <v>325</v>
      </c>
      <c r="AK666" s="55">
        <f>(AJ667-L667)/L667*100</f>
        <v/>
      </c>
      <c r="AL666" s="55" t="n"/>
      <c r="AM666" s="55">
        <f>AH667/AJ667%</f>
        <v/>
      </c>
      <c r="AN666" s="55">
        <f>AK667-AG667</f>
        <v/>
      </c>
      <c r="AO666" s="56">
        <f>AJ667/L667</f>
        <v/>
      </c>
      <c r="AP666" s="55">
        <f>(AJ667-AB667)/100</f>
        <v/>
      </c>
      <c r="AQ666" s="55">
        <f>(AJ667-AC667)/100</f>
        <v/>
      </c>
      <c r="AR666" s="57">
        <f>AI667/94</f>
        <v/>
      </c>
      <c r="AS666" s="57">
        <f>AJ667/94</f>
        <v/>
      </c>
      <c r="AT666" s="58">
        <f>AI667/24</f>
        <v/>
      </c>
      <c r="AU666" s="58">
        <f>AJ667/24</f>
        <v/>
      </c>
      <c r="AV666" s="58">
        <f>AI667/125</f>
        <v/>
      </c>
      <c r="AW666" s="58">
        <f>AJ667/125</f>
        <v/>
      </c>
      <c r="AX666" s="113" t="n"/>
      <c r="AY666" s="113" t="n"/>
    </row>
    <row r="667" ht="15.75" customHeight="1" s="258">
      <c r="A667" s="44" t="n"/>
      <c r="B667" s="44" t="inlineStr">
        <is>
          <t>16 cms / Green</t>
        </is>
      </c>
      <c r="C667" s="44" t="inlineStr">
        <is>
          <t>MI-SB-C-G-16</t>
        </is>
      </c>
      <c r="D667" s="45" t="n">
        <v>55</v>
      </c>
      <c r="E667" s="44" t="n">
        <v>0</v>
      </c>
      <c r="F667" s="44" t="n">
        <v>40</v>
      </c>
      <c r="G667" s="45" t="n">
        <v>940490099</v>
      </c>
      <c r="H667" s="115" t="n">
        <v>0.05</v>
      </c>
      <c r="I667" s="44">
        <f>D668*H668</f>
        <v/>
      </c>
      <c r="J667" s="113" t="n"/>
      <c r="K667" s="44" t="n">
        <v>20</v>
      </c>
      <c r="L667" s="48">
        <f>K668+J668+I668+F668+E668+D668</f>
        <v/>
      </c>
      <c r="M667" s="44">
        <f>D668*1%</f>
        <v/>
      </c>
      <c r="N667" s="49">
        <f>L668*8%</f>
        <v/>
      </c>
      <c r="O667" s="49">
        <f>L668*10%</f>
        <v/>
      </c>
      <c r="P667" s="49">
        <f>L668*5%</f>
        <v/>
      </c>
      <c r="Q667" s="49">
        <f>L668*2%</f>
        <v/>
      </c>
      <c r="R667" s="49">
        <f>AC668*0.5%</f>
        <v/>
      </c>
      <c r="S667" s="49">
        <f>L668*1%</f>
        <v/>
      </c>
      <c r="T667" s="50">
        <f>S668+Q668+P668+O668+N668+M668</f>
        <v/>
      </c>
      <c r="U667" s="44">
        <f>AC668*1%</f>
        <v/>
      </c>
      <c r="V667" s="44">
        <f>AC668*5%</f>
        <v/>
      </c>
      <c r="W667" s="44">
        <f>AC668*1%</f>
        <v/>
      </c>
      <c r="X667" s="44">
        <f>AC668*8%</f>
        <v/>
      </c>
      <c r="Y667" s="44">
        <f>U668+V668+W668+X668</f>
        <v/>
      </c>
      <c r="Z667" s="50">
        <f>Y668+T668+L668</f>
        <v/>
      </c>
      <c r="AA667" s="51">
        <f>Z668*20%</f>
        <v/>
      </c>
      <c r="AB667" s="49">
        <f>Z668+AA668</f>
        <v/>
      </c>
      <c r="AC667" s="44">
        <f>D668*2.1</f>
        <v/>
      </c>
      <c r="AD667" s="49">
        <f>AB668-AC668</f>
        <v/>
      </c>
      <c r="AE667" s="49">
        <f>AD668/AB668*100</f>
        <v/>
      </c>
      <c r="AF667" s="113" t="n">
        <v>325</v>
      </c>
      <c r="AG667" s="116">
        <f>((AF668-L668)/L668)*100</f>
        <v/>
      </c>
      <c r="AH667" s="54">
        <f>AJ668-AF668</f>
        <v/>
      </c>
      <c r="AI667" s="54">
        <f>AB668*2.5</f>
        <v/>
      </c>
      <c r="AJ667" s="113" t="n">
        <v>325</v>
      </c>
      <c r="AK667" s="55">
        <f>(AJ668-L668)/L668*100</f>
        <v/>
      </c>
      <c r="AL667" s="55" t="n"/>
      <c r="AM667" s="55">
        <f>AH668/AJ668%</f>
        <v/>
      </c>
      <c r="AN667" s="55">
        <f>AK668-AG668</f>
        <v/>
      </c>
      <c r="AO667" s="56">
        <f>AJ668/L668</f>
        <v/>
      </c>
      <c r="AP667" s="55">
        <f>(AJ668-AB668)/100</f>
        <v/>
      </c>
      <c r="AQ667" s="55">
        <f>(AJ668-AC668)/100</f>
        <v/>
      </c>
      <c r="AR667" s="57">
        <f>AI668/94</f>
        <v/>
      </c>
      <c r="AS667" s="57">
        <f>AJ668/94</f>
        <v/>
      </c>
      <c r="AT667" s="58">
        <f>AI668/24</f>
        <v/>
      </c>
      <c r="AU667" s="58">
        <f>AJ668/24</f>
        <v/>
      </c>
      <c r="AV667" s="58">
        <f>AI668/125</f>
        <v/>
      </c>
      <c r="AW667" s="58">
        <f>AJ668/125</f>
        <v/>
      </c>
      <c r="AX667" s="113" t="n"/>
      <c r="AY667" s="113" t="n"/>
    </row>
    <row r="668" ht="15.75" customHeight="1" s="258">
      <c r="A668" s="44" t="n"/>
      <c r="B668" s="44" t="inlineStr">
        <is>
          <t>Red / 16 cms</t>
        </is>
      </c>
      <c r="C668" s="44" t="inlineStr">
        <is>
          <t>MI-SB-C-R-16</t>
        </is>
      </c>
      <c r="D668" s="45" t="n">
        <v>55</v>
      </c>
      <c r="E668" s="44" t="n">
        <v>0</v>
      </c>
      <c r="F668" s="44" t="n">
        <v>40</v>
      </c>
      <c r="G668" s="45" t="n">
        <v>940490099</v>
      </c>
      <c r="H668" s="115" t="n">
        <v>0.05</v>
      </c>
      <c r="I668" s="44">
        <f>D669*H669</f>
        <v/>
      </c>
      <c r="J668" s="113" t="n"/>
      <c r="K668" s="44" t="n">
        <v>20</v>
      </c>
      <c r="L668" s="48">
        <f>K669+J669+I669+F669+E669+D669</f>
        <v/>
      </c>
      <c r="M668" s="44">
        <f>D669*1%</f>
        <v/>
      </c>
      <c r="N668" s="49">
        <f>L669*8%</f>
        <v/>
      </c>
      <c r="O668" s="49">
        <f>L669*10%</f>
        <v/>
      </c>
      <c r="P668" s="49">
        <f>L669*5%</f>
        <v/>
      </c>
      <c r="Q668" s="49">
        <f>L669*2%</f>
        <v/>
      </c>
      <c r="R668" s="49">
        <f>AC669*0.5%</f>
        <v/>
      </c>
      <c r="S668" s="49">
        <f>L669*1%</f>
        <v/>
      </c>
      <c r="T668" s="50">
        <f>S669+Q669+P669+O669+N669+M669</f>
        <v/>
      </c>
      <c r="U668" s="44">
        <f>AC669*1%</f>
        <v/>
      </c>
      <c r="V668" s="44">
        <f>AC669*5%</f>
        <v/>
      </c>
      <c r="W668" s="44">
        <f>AC669*1%</f>
        <v/>
      </c>
      <c r="X668" s="44">
        <f>AC669*8%</f>
        <v/>
      </c>
      <c r="Y668" s="44">
        <f>U669+V669+W669+X669</f>
        <v/>
      </c>
      <c r="Z668" s="50">
        <f>Y669+T669+L669</f>
        <v/>
      </c>
      <c r="AA668" s="51">
        <f>Z669*20%</f>
        <v/>
      </c>
      <c r="AB668" s="49">
        <f>Z669+AA669</f>
        <v/>
      </c>
      <c r="AC668" s="44">
        <f>D669*2.1</f>
        <v/>
      </c>
      <c r="AD668" s="49">
        <f>AB669-AC669</f>
        <v/>
      </c>
      <c r="AE668" s="49">
        <f>AD669/AB669*100</f>
        <v/>
      </c>
      <c r="AF668" s="113" t="n">
        <v>325</v>
      </c>
      <c r="AG668" s="116">
        <f>((AF669-L669)/L669)*100</f>
        <v/>
      </c>
      <c r="AH668" s="54">
        <f>AJ669-AF669</f>
        <v/>
      </c>
      <c r="AI668" s="54">
        <f>AB669*2.5</f>
        <v/>
      </c>
      <c r="AJ668" s="113" t="n">
        <v>325</v>
      </c>
      <c r="AK668" s="55">
        <f>(AJ669-L669)/L669*100</f>
        <v/>
      </c>
      <c r="AL668" s="55" t="n"/>
      <c r="AM668" s="55">
        <f>AH669/AJ669%</f>
        <v/>
      </c>
      <c r="AN668" s="55">
        <f>AK669-AG669</f>
        <v/>
      </c>
      <c r="AO668" s="56">
        <f>AJ669/L669</f>
        <v/>
      </c>
      <c r="AP668" s="55">
        <f>(AJ669-AB669)/100</f>
        <v/>
      </c>
      <c r="AQ668" s="55">
        <f>(AJ669-AC669)/100</f>
        <v/>
      </c>
      <c r="AR668" s="57">
        <f>AI669/94</f>
        <v/>
      </c>
      <c r="AS668" s="57">
        <f>AJ669/94</f>
        <v/>
      </c>
      <c r="AT668" s="58">
        <f>AI669/24</f>
        <v/>
      </c>
      <c r="AU668" s="58">
        <f>AJ669/24</f>
        <v/>
      </c>
      <c r="AV668" s="58">
        <f>AI669/125</f>
        <v/>
      </c>
      <c r="AW668" s="58">
        <f>AJ669/125</f>
        <v/>
      </c>
      <c r="AX668" s="113" t="n"/>
      <c r="AY668" s="113" t="n"/>
    </row>
    <row r="669" ht="15.75" customHeight="1" s="258">
      <c r="A669" s="44" t="n"/>
      <c r="B669" s="44" t="inlineStr">
        <is>
          <t>Yellow / 16 cms</t>
        </is>
      </c>
      <c r="C669" s="44" t="inlineStr">
        <is>
          <t>MI-SB-C-Y-16</t>
        </is>
      </c>
      <c r="D669" s="45" t="n">
        <v>55</v>
      </c>
      <c r="E669" s="44" t="n">
        <v>0</v>
      </c>
      <c r="F669" s="44" t="n">
        <v>40</v>
      </c>
      <c r="G669" s="45" t="n">
        <v>940490099</v>
      </c>
      <c r="H669" s="115" t="n">
        <v>0.05</v>
      </c>
      <c r="I669" s="44">
        <f>D670*H670</f>
        <v/>
      </c>
      <c r="J669" s="113" t="n"/>
      <c r="K669" s="44" t="n">
        <v>20</v>
      </c>
      <c r="L669" s="48">
        <f>K670+J670+I670+F670+E670+D670</f>
        <v/>
      </c>
      <c r="M669" s="44">
        <f>D670*1%</f>
        <v/>
      </c>
      <c r="N669" s="49">
        <f>L670*8%</f>
        <v/>
      </c>
      <c r="O669" s="49">
        <f>L670*10%</f>
        <v/>
      </c>
      <c r="P669" s="49">
        <f>L670*5%</f>
        <v/>
      </c>
      <c r="Q669" s="49">
        <f>L670*2%</f>
        <v/>
      </c>
      <c r="R669" s="49">
        <f>AC670*0.5%</f>
        <v/>
      </c>
      <c r="S669" s="49">
        <f>L670*1%</f>
        <v/>
      </c>
      <c r="T669" s="50">
        <f>S670+Q670+P670+O670+N670+M670</f>
        <v/>
      </c>
      <c r="U669" s="44">
        <f>AC670*1%</f>
        <v/>
      </c>
      <c r="V669" s="44">
        <f>AC670*5%</f>
        <v/>
      </c>
      <c r="W669" s="44">
        <f>AC670*1%</f>
        <v/>
      </c>
      <c r="X669" s="44">
        <f>AC670*8%</f>
        <v/>
      </c>
      <c r="Y669" s="44">
        <f>U670+V670+W670+X670</f>
        <v/>
      </c>
      <c r="Z669" s="50">
        <f>Y670+T670+L670</f>
        <v/>
      </c>
      <c r="AA669" s="51">
        <f>Z670*20%</f>
        <v/>
      </c>
      <c r="AB669" s="49">
        <f>Z670+AA670</f>
        <v/>
      </c>
      <c r="AC669" s="44">
        <f>D670*2.1</f>
        <v/>
      </c>
      <c r="AD669" s="49">
        <f>AB670-AC670</f>
        <v/>
      </c>
      <c r="AE669" s="49">
        <f>AD670/AB670*100</f>
        <v/>
      </c>
      <c r="AF669" s="113" t="n">
        <v>325</v>
      </c>
      <c r="AG669" s="116">
        <f>((AF670-L670)/L670)*100</f>
        <v/>
      </c>
      <c r="AH669" s="54">
        <f>AJ670-AF670</f>
        <v/>
      </c>
      <c r="AI669" s="54">
        <f>AB670*2.5</f>
        <v/>
      </c>
      <c r="AJ669" s="113" t="n">
        <v>325</v>
      </c>
      <c r="AK669" s="55">
        <f>(AJ670-L670)/L670*100</f>
        <v/>
      </c>
      <c r="AL669" s="55" t="n"/>
      <c r="AM669" s="55">
        <f>AH670/AJ670%</f>
        <v/>
      </c>
      <c r="AN669" s="55">
        <f>AK670-AG670</f>
        <v/>
      </c>
      <c r="AO669" s="56">
        <f>AJ670/L670</f>
        <v/>
      </c>
      <c r="AP669" s="55">
        <f>(AJ670-AB670)/100</f>
        <v/>
      </c>
      <c r="AQ669" s="55">
        <f>(AJ670-AC670)/100</f>
        <v/>
      </c>
      <c r="AR669" s="57">
        <f>AI670/94</f>
        <v/>
      </c>
      <c r="AS669" s="57">
        <f>AJ670/94</f>
        <v/>
      </c>
      <c r="AT669" s="58">
        <f>AI670/24</f>
        <v/>
      </c>
      <c r="AU669" s="58">
        <f>AJ670/24</f>
        <v/>
      </c>
      <c r="AV669" s="58">
        <f>AI670/125</f>
        <v/>
      </c>
      <c r="AW669" s="58">
        <f>AJ670/125</f>
        <v/>
      </c>
      <c r="AX669" s="113" t="n"/>
      <c r="AY669" s="113" t="n"/>
    </row>
    <row r="670" ht="15.75" customHeight="1" s="258">
      <c r="A670" s="44" t="n"/>
      <c r="B670" s="44" t="inlineStr">
        <is>
          <t>16 cms / Pink</t>
        </is>
      </c>
      <c r="C670" s="44" t="inlineStr">
        <is>
          <t>MI-SB-C-PK-16</t>
        </is>
      </c>
      <c r="D670" s="45" t="n">
        <v>55</v>
      </c>
      <c r="E670" s="44" t="n">
        <v>0</v>
      </c>
      <c r="F670" s="44" t="n">
        <v>40</v>
      </c>
      <c r="G670" s="45" t="n">
        <v>940490099</v>
      </c>
      <c r="H670" s="115" t="n">
        <v>0.05</v>
      </c>
      <c r="I670" s="44">
        <f>D671*H671</f>
        <v/>
      </c>
      <c r="J670" s="113" t="n"/>
      <c r="K670" s="44" t="n">
        <v>20</v>
      </c>
      <c r="L670" s="48">
        <f>K671+J671+I671+F671+E671+D671</f>
        <v/>
      </c>
      <c r="M670" s="44">
        <f>D671*1%</f>
        <v/>
      </c>
      <c r="N670" s="49">
        <f>L671*8%</f>
        <v/>
      </c>
      <c r="O670" s="49">
        <f>L671*10%</f>
        <v/>
      </c>
      <c r="P670" s="49">
        <f>L671*5%</f>
        <v/>
      </c>
      <c r="Q670" s="49">
        <f>L671*2%</f>
        <v/>
      </c>
      <c r="R670" s="49">
        <f>AC671*0.5%</f>
        <v/>
      </c>
      <c r="S670" s="49">
        <f>L671*1%</f>
        <v/>
      </c>
      <c r="T670" s="50">
        <f>S671+Q671+P671+O671+N671+M671</f>
        <v/>
      </c>
      <c r="U670" s="44">
        <f>AC671*1%</f>
        <v/>
      </c>
      <c r="V670" s="44">
        <f>AC671*5%</f>
        <v/>
      </c>
      <c r="W670" s="44">
        <f>AC671*1%</f>
        <v/>
      </c>
      <c r="X670" s="44">
        <f>AC671*8%</f>
        <v/>
      </c>
      <c r="Y670" s="44">
        <f>U671+V671+W671+X671</f>
        <v/>
      </c>
      <c r="Z670" s="50">
        <f>Y671+T671+L671</f>
        <v/>
      </c>
      <c r="AA670" s="51">
        <f>Z671*20%</f>
        <v/>
      </c>
      <c r="AB670" s="49">
        <f>Z671+AA671</f>
        <v/>
      </c>
      <c r="AC670" s="44">
        <f>D671*2.1</f>
        <v/>
      </c>
      <c r="AD670" s="49">
        <f>AB671-AC671</f>
        <v/>
      </c>
      <c r="AE670" s="49">
        <f>AD671/AB671*100</f>
        <v/>
      </c>
      <c r="AF670" s="113" t="n">
        <v>325</v>
      </c>
      <c r="AG670" s="116">
        <f>((AF671-L671)/L671)*100</f>
        <v/>
      </c>
      <c r="AH670" s="54">
        <f>AJ671-AF671</f>
        <v/>
      </c>
      <c r="AI670" s="54">
        <f>AB671*2.5</f>
        <v/>
      </c>
      <c r="AJ670" s="113" t="n">
        <v>325</v>
      </c>
      <c r="AK670" s="55">
        <f>(AJ671-L671)/L671*100</f>
        <v/>
      </c>
      <c r="AL670" s="55" t="n"/>
      <c r="AM670" s="55">
        <f>AH671/AJ671%</f>
        <v/>
      </c>
      <c r="AN670" s="55">
        <f>AK671-AG671</f>
        <v/>
      </c>
      <c r="AO670" s="56">
        <f>AJ671/L671</f>
        <v/>
      </c>
      <c r="AP670" s="55">
        <f>(AJ671-AB671)/100</f>
        <v/>
      </c>
      <c r="AQ670" s="55">
        <f>(AJ671-AC671)/100</f>
        <v/>
      </c>
      <c r="AR670" s="57">
        <f>AI671/94</f>
        <v/>
      </c>
      <c r="AS670" s="57">
        <f>AJ671/94</f>
        <v/>
      </c>
      <c r="AT670" s="58">
        <f>AI671/24</f>
        <v/>
      </c>
      <c r="AU670" s="58">
        <f>AJ671/24</f>
        <v/>
      </c>
      <c r="AV670" s="58">
        <f>AI671/125</f>
        <v/>
      </c>
      <c r="AW670" s="58">
        <f>AJ671/125</f>
        <v/>
      </c>
      <c r="AX670" s="113" t="n"/>
      <c r="AY670" s="113" t="n"/>
    </row>
    <row r="671" ht="15.75" customHeight="1" s="258">
      <c r="A671" s="44" t="n"/>
      <c r="B671" s="44" t="inlineStr">
        <is>
          <t>18 cms / Blue</t>
        </is>
      </c>
      <c r="C671" s="44" t="inlineStr">
        <is>
          <t>MI-SB-C-B-18</t>
        </is>
      </c>
      <c r="D671" s="45" t="n">
        <v>65</v>
      </c>
      <c r="E671" s="44" t="n">
        <v>0</v>
      </c>
      <c r="F671" s="44" t="n">
        <v>40</v>
      </c>
      <c r="G671" s="45" t="n">
        <v>940490099</v>
      </c>
      <c r="H671" s="115" t="n">
        <v>0.05</v>
      </c>
      <c r="I671" s="44">
        <f>D672*H672</f>
        <v/>
      </c>
      <c r="J671" s="113" t="n"/>
      <c r="K671" s="44" t="n">
        <v>20</v>
      </c>
      <c r="L671" s="48">
        <f>K672+J672+I672+F672+E672+D672</f>
        <v/>
      </c>
      <c r="M671" s="44">
        <f>D672*1%</f>
        <v/>
      </c>
      <c r="N671" s="49">
        <f>L672*8%</f>
        <v/>
      </c>
      <c r="O671" s="49">
        <f>L672*10%</f>
        <v/>
      </c>
      <c r="P671" s="49">
        <f>L672*5%</f>
        <v/>
      </c>
      <c r="Q671" s="49">
        <f>L672*2%</f>
        <v/>
      </c>
      <c r="R671" s="49">
        <f>AC672*0.5%</f>
        <v/>
      </c>
      <c r="S671" s="49">
        <f>L672*1%</f>
        <v/>
      </c>
      <c r="T671" s="50">
        <f>S672+Q672+P672+O672+N672+M672</f>
        <v/>
      </c>
      <c r="U671" s="44">
        <f>AC672*1%</f>
        <v/>
      </c>
      <c r="V671" s="44">
        <f>AC672*5%</f>
        <v/>
      </c>
      <c r="W671" s="44">
        <f>AC672*1%</f>
        <v/>
      </c>
      <c r="X671" s="44">
        <f>AC672*8%</f>
        <v/>
      </c>
      <c r="Y671" s="44">
        <f>U672+V672+W672+X672</f>
        <v/>
      </c>
      <c r="Z671" s="50">
        <f>Y672+T672+L672</f>
        <v/>
      </c>
      <c r="AA671" s="51">
        <f>Z672*20%</f>
        <v/>
      </c>
      <c r="AB671" s="49">
        <f>Z672+AA672</f>
        <v/>
      </c>
      <c r="AC671" s="44">
        <f>D672*2.1</f>
        <v/>
      </c>
      <c r="AD671" s="49">
        <f>AB672-AC672</f>
        <v/>
      </c>
      <c r="AE671" s="49">
        <f>AD672/AB672*100</f>
        <v/>
      </c>
      <c r="AF671" s="113" t="n">
        <v>345</v>
      </c>
      <c r="AG671" s="116">
        <f>((AF672-L672)/L672)*100</f>
        <v/>
      </c>
      <c r="AH671" s="54">
        <f>AJ672-AF672</f>
        <v/>
      </c>
      <c r="AI671" s="54">
        <f>AB672*2.5</f>
        <v/>
      </c>
      <c r="AJ671" s="113" t="n">
        <v>345</v>
      </c>
      <c r="AK671" s="55">
        <f>(AJ672-L672)/L672*100</f>
        <v/>
      </c>
      <c r="AL671" s="55" t="n"/>
      <c r="AM671" s="55">
        <f>AH672/AJ672%</f>
        <v/>
      </c>
      <c r="AN671" s="55">
        <f>AK672-AG672</f>
        <v/>
      </c>
      <c r="AO671" s="56">
        <f>AJ672/L672</f>
        <v/>
      </c>
      <c r="AP671" s="55">
        <f>(AJ672-AB672)/100</f>
        <v/>
      </c>
      <c r="AQ671" s="55">
        <f>(AJ672-AC672)/100</f>
        <v/>
      </c>
      <c r="AR671" s="57">
        <f>AI672/94</f>
        <v/>
      </c>
      <c r="AS671" s="57">
        <f>AJ672/94</f>
        <v/>
      </c>
      <c r="AT671" s="58">
        <f>AI672/24</f>
        <v/>
      </c>
      <c r="AU671" s="58">
        <f>AJ672/24</f>
        <v/>
      </c>
      <c r="AV671" s="58">
        <f>AI672/125</f>
        <v/>
      </c>
      <c r="AW671" s="58">
        <f>AJ672/125</f>
        <v/>
      </c>
      <c r="AX671" s="113" t="n"/>
      <c r="AY671" s="113" t="n"/>
    </row>
    <row r="672" ht="15.75" customHeight="1" s="258">
      <c r="A672" s="44" t="n"/>
      <c r="B672" s="44" t="inlineStr">
        <is>
          <t>Black / 18 cms</t>
        </is>
      </c>
      <c r="C672" s="44" t="inlineStr">
        <is>
          <t>MI-SB-C-BK-18</t>
        </is>
      </c>
      <c r="D672" s="45" t="n">
        <v>65</v>
      </c>
      <c r="E672" s="44" t="n">
        <v>0</v>
      </c>
      <c r="F672" s="44" t="n">
        <v>40</v>
      </c>
      <c r="G672" s="45" t="n">
        <v>940490099</v>
      </c>
      <c r="H672" s="115" t="n">
        <v>0.05</v>
      </c>
      <c r="I672" s="44">
        <f>D673*H673</f>
        <v/>
      </c>
      <c r="J672" s="113" t="n"/>
      <c r="K672" s="44" t="n">
        <v>20</v>
      </c>
      <c r="L672" s="48">
        <f>K673+J673+I673+F673+E673+D673</f>
        <v/>
      </c>
      <c r="M672" s="44">
        <f>D673*1%</f>
        <v/>
      </c>
      <c r="N672" s="49">
        <f>L673*8%</f>
        <v/>
      </c>
      <c r="O672" s="49">
        <f>L673*10%</f>
        <v/>
      </c>
      <c r="P672" s="49">
        <f>L673*5%</f>
        <v/>
      </c>
      <c r="Q672" s="49">
        <f>L673*2%</f>
        <v/>
      </c>
      <c r="R672" s="49">
        <f>AC673*0.5%</f>
        <v/>
      </c>
      <c r="S672" s="49">
        <f>L673*1%</f>
        <v/>
      </c>
      <c r="T672" s="50">
        <f>S673+Q673+P673+O673+N673+M673</f>
        <v/>
      </c>
      <c r="U672" s="44">
        <f>AC673*1%</f>
        <v/>
      </c>
      <c r="V672" s="44">
        <f>AC673*5%</f>
        <v/>
      </c>
      <c r="W672" s="44">
        <f>AC673*1%</f>
        <v/>
      </c>
      <c r="X672" s="44">
        <f>AC673*8%</f>
        <v/>
      </c>
      <c r="Y672" s="44">
        <f>U673+V673+W673+X673</f>
        <v/>
      </c>
      <c r="Z672" s="50">
        <f>Y673+T673+L673</f>
        <v/>
      </c>
      <c r="AA672" s="51">
        <f>Z673*20%</f>
        <v/>
      </c>
      <c r="AB672" s="49">
        <f>Z673+AA673</f>
        <v/>
      </c>
      <c r="AC672" s="44">
        <f>D673*2.1</f>
        <v/>
      </c>
      <c r="AD672" s="49">
        <f>AB673-AC673</f>
        <v/>
      </c>
      <c r="AE672" s="49">
        <f>AD673/AB673*100</f>
        <v/>
      </c>
      <c r="AF672" s="113" t="n">
        <v>385</v>
      </c>
      <c r="AG672" s="116">
        <f>((AF673-L673)/L673)*100</f>
        <v/>
      </c>
      <c r="AH672" s="54">
        <f>AJ673-AF673</f>
        <v/>
      </c>
      <c r="AI672" s="54">
        <f>AB673*2.5</f>
        <v/>
      </c>
      <c r="AJ672" s="113" t="n">
        <v>385</v>
      </c>
      <c r="AK672" s="55">
        <f>(AJ673-L673)/L673*100</f>
        <v/>
      </c>
      <c r="AL672" s="55" t="n"/>
      <c r="AM672" s="55">
        <f>AH673/AJ673%</f>
        <v/>
      </c>
      <c r="AN672" s="55">
        <f>AK673-AG673</f>
        <v/>
      </c>
      <c r="AO672" s="56">
        <f>AJ673/L673</f>
        <v/>
      </c>
      <c r="AP672" s="55">
        <f>(AJ673-AB673)/100</f>
        <v/>
      </c>
      <c r="AQ672" s="55">
        <f>(AJ673-AC673)/100</f>
        <v/>
      </c>
      <c r="AR672" s="57">
        <f>AI673/94</f>
        <v/>
      </c>
      <c r="AS672" s="57">
        <f>AJ673/94</f>
        <v/>
      </c>
      <c r="AT672" s="58">
        <f>AI673/24</f>
        <v/>
      </c>
      <c r="AU672" s="58">
        <f>AJ673/24</f>
        <v/>
      </c>
      <c r="AV672" s="58">
        <f>AI673/125</f>
        <v/>
      </c>
      <c r="AW672" s="58">
        <f>AJ673/125</f>
        <v/>
      </c>
      <c r="AX672" s="113" t="n"/>
      <c r="AY672" s="113" t="n"/>
    </row>
    <row r="673" ht="15.75" customHeight="1" s="258">
      <c r="A673" s="44" t="n"/>
      <c r="B673" s="44" t="inlineStr">
        <is>
          <t>18 cms / Green</t>
        </is>
      </c>
      <c r="C673" s="44" t="inlineStr">
        <is>
          <t>MI-SB-C-G-18</t>
        </is>
      </c>
      <c r="D673" s="45" t="n">
        <v>65</v>
      </c>
      <c r="E673" s="44" t="n">
        <v>0</v>
      </c>
      <c r="F673" s="44" t="n">
        <v>40</v>
      </c>
      <c r="G673" s="45" t="n">
        <v>940490099</v>
      </c>
      <c r="H673" s="115" t="n">
        <v>0.05</v>
      </c>
      <c r="I673" s="44">
        <f>D674*H674</f>
        <v/>
      </c>
      <c r="J673" s="113" t="n"/>
      <c r="K673" s="44" t="n">
        <v>20</v>
      </c>
      <c r="L673" s="48">
        <f>K674+J674+I674+F674+E674+D674</f>
        <v/>
      </c>
      <c r="M673" s="44">
        <f>D674*1%</f>
        <v/>
      </c>
      <c r="N673" s="49">
        <f>L674*8%</f>
        <v/>
      </c>
      <c r="O673" s="49">
        <f>L674*10%</f>
        <v/>
      </c>
      <c r="P673" s="49">
        <f>L674*5%</f>
        <v/>
      </c>
      <c r="Q673" s="49">
        <f>L674*2%</f>
        <v/>
      </c>
      <c r="R673" s="49">
        <f>AC674*0.5%</f>
        <v/>
      </c>
      <c r="S673" s="49">
        <f>L674*1%</f>
        <v/>
      </c>
      <c r="T673" s="50">
        <f>S674+Q674+P674+O674+N674+M674</f>
        <v/>
      </c>
      <c r="U673" s="44">
        <f>AC674*1%</f>
        <v/>
      </c>
      <c r="V673" s="44">
        <f>AC674*5%</f>
        <v/>
      </c>
      <c r="W673" s="44">
        <f>AC674*1%</f>
        <v/>
      </c>
      <c r="X673" s="44">
        <f>AC674*8%</f>
        <v/>
      </c>
      <c r="Y673" s="44">
        <f>U674+V674+W674+X674</f>
        <v/>
      </c>
      <c r="Z673" s="50">
        <f>Y674+T674+L674</f>
        <v/>
      </c>
      <c r="AA673" s="51">
        <f>Z674*20%</f>
        <v/>
      </c>
      <c r="AB673" s="49">
        <f>Z674+AA674</f>
        <v/>
      </c>
      <c r="AC673" s="44">
        <f>D674*2.1</f>
        <v/>
      </c>
      <c r="AD673" s="49">
        <f>AB674-AC674</f>
        <v/>
      </c>
      <c r="AE673" s="49">
        <f>AD674/AB674*100</f>
        <v/>
      </c>
      <c r="AF673" s="113" t="n">
        <v>345</v>
      </c>
      <c r="AG673" s="116">
        <f>((AF674-L674)/L674)*100</f>
        <v/>
      </c>
      <c r="AH673" s="54">
        <f>AJ674-AF674</f>
        <v/>
      </c>
      <c r="AI673" s="54">
        <f>AB674*2.5</f>
        <v/>
      </c>
      <c r="AJ673" s="113" t="n">
        <v>345</v>
      </c>
      <c r="AK673" s="55">
        <f>(AJ674-L674)/L674*100</f>
        <v/>
      </c>
      <c r="AL673" s="55" t="n"/>
      <c r="AM673" s="55">
        <f>AH674/AJ674%</f>
        <v/>
      </c>
      <c r="AN673" s="55">
        <f>AK674-AG674</f>
        <v/>
      </c>
      <c r="AO673" s="56">
        <f>AJ674/L674</f>
        <v/>
      </c>
      <c r="AP673" s="55">
        <f>(AJ674-AB674)/100</f>
        <v/>
      </c>
      <c r="AQ673" s="55">
        <f>(AJ674-AC674)/100</f>
        <v/>
      </c>
      <c r="AR673" s="57">
        <f>AI674/94</f>
        <v/>
      </c>
      <c r="AS673" s="57">
        <f>AJ674/94</f>
        <v/>
      </c>
      <c r="AT673" s="58">
        <f>AI674/24</f>
        <v/>
      </c>
      <c r="AU673" s="58">
        <f>AJ674/24</f>
        <v/>
      </c>
      <c r="AV673" s="58">
        <f>AI674/125</f>
        <v/>
      </c>
      <c r="AW673" s="58">
        <f>AJ674/125</f>
        <v/>
      </c>
      <c r="AX673" s="113" t="n"/>
      <c r="AY673" s="113" t="n"/>
    </row>
    <row r="674" ht="15.75" customHeight="1" s="258">
      <c r="A674" s="44" t="n"/>
      <c r="B674" s="44" t="inlineStr">
        <is>
          <t>Brown / 18 cms</t>
        </is>
      </c>
      <c r="C674" s="44" t="inlineStr">
        <is>
          <t>MI-SB-C-Bn-18</t>
        </is>
      </c>
      <c r="D674" s="45" t="n">
        <v>65</v>
      </c>
      <c r="E674" s="44" t="n">
        <v>0</v>
      </c>
      <c r="F674" s="44" t="n">
        <v>40</v>
      </c>
      <c r="G674" s="45" t="n">
        <v>940490099</v>
      </c>
      <c r="H674" s="115" t="n">
        <v>0.05</v>
      </c>
      <c r="I674" s="44">
        <f>D675*H675</f>
        <v/>
      </c>
      <c r="J674" s="113" t="n"/>
      <c r="K674" s="44" t="n">
        <v>20</v>
      </c>
      <c r="L674" s="48">
        <f>K675+J675+I675+F675+E675+D675</f>
        <v/>
      </c>
      <c r="M674" s="44">
        <f>D675*1%</f>
        <v/>
      </c>
      <c r="N674" s="49">
        <f>L675*8%</f>
        <v/>
      </c>
      <c r="O674" s="49">
        <f>L675*10%</f>
        <v/>
      </c>
      <c r="P674" s="49">
        <f>L675*5%</f>
        <v/>
      </c>
      <c r="Q674" s="49">
        <f>L675*2%</f>
        <v/>
      </c>
      <c r="R674" s="49">
        <f>AC675*0.5%</f>
        <v/>
      </c>
      <c r="S674" s="49">
        <f>L675*1%</f>
        <v/>
      </c>
      <c r="T674" s="50">
        <f>S675+Q675+P675+O675+N675+M675</f>
        <v/>
      </c>
      <c r="U674" s="44">
        <f>AC675*1%</f>
        <v/>
      </c>
      <c r="V674" s="44">
        <f>AC675*5%</f>
        <v/>
      </c>
      <c r="W674" s="44">
        <f>AC675*1%</f>
        <v/>
      </c>
      <c r="X674" s="44">
        <f>AC675*8%</f>
        <v/>
      </c>
      <c r="Y674" s="44">
        <f>U675+V675+W675+X675</f>
        <v/>
      </c>
      <c r="Z674" s="50">
        <f>Y675+T675+L675</f>
        <v/>
      </c>
      <c r="AA674" s="51">
        <f>Z675*20%</f>
        <v/>
      </c>
      <c r="AB674" s="49">
        <f>Z675+AA675</f>
        <v/>
      </c>
      <c r="AC674" s="44">
        <f>D675*2.1</f>
        <v/>
      </c>
      <c r="AD674" s="49">
        <f>AB675-AC675</f>
        <v/>
      </c>
      <c r="AE674" s="49">
        <f>AD675/AB675*100</f>
        <v/>
      </c>
      <c r="AF674" s="113" t="n">
        <v>345</v>
      </c>
      <c r="AG674" s="116">
        <f>((AF675-L675)/L675)*100</f>
        <v/>
      </c>
      <c r="AH674" s="54">
        <f>AJ675-AF675</f>
        <v/>
      </c>
      <c r="AI674" s="54">
        <f>AB675*2.5</f>
        <v/>
      </c>
      <c r="AJ674" s="113" t="n">
        <v>345</v>
      </c>
      <c r="AK674" s="55">
        <f>(AJ675-L675)/L675*100</f>
        <v/>
      </c>
      <c r="AL674" s="55" t="n"/>
      <c r="AM674" s="55">
        <f>AH675/AJ675%</f>
        <v/>
      </c>
      <c r="AN674" s="55">
        <f>AK675-AG675</f>
        <v/>
      </c>
      <c r="AO674" s="56">
        <f>AJ675/L675</f>
        <v/>
      </c>
      <c r="AP674" s="55">
        <f>(AJ675-AB675)/100</f>
        <v/>
      </c>
      <c r="AQ674" s="55">
        <f>(AJ675-AC675)/100</f>
        <v/>
      </c>
      <c r="AR674" s="57">
        <f>AI675/94</f>
        <v/>
      </c>
      <c r="AS674" s="57">
        <f>AJ675/94</f>
        <v/>
      </c>
      <c r="AT674" s="58">
        <f>AI675/24</f>
        <v/>
      </c>
      <c r="AU674" s="58">
        <f>AJ675/24</f>
        <v/>
      </c>
      <c r="AV674" s="58">
        <f>AI675/125</f>
        <v/>
      </c>
      <c r="AW674" s="58">
        <f>AJ675/125</f>
        <v/>
      </c>
      <c r="AX674" s="113" t="n"/>
      <c r="AY674" s="113" t="n"/>
    </row>
    <row r="675" ht="15.75" customHeight="1" s="258">
      <c r="A675" s="44" t="n"/>
      <c r="B675" s="44" t="inlineStr">
        <is>
          <t>18 cms / Navy Blue</t>
        </is>
      </c>
      <c r="C675" s="44" t="inlineStr">
        <is>
          <t>MI-SB-C-NB-18</t>
        </is>
      </c>
      <c r="D675" s="45" t="n">
        <v>65</v>
      </c>
      <c r="E675" s="44" t="n">
        <v>0</v>
      </c>
      <c r="F675" s="44" t="n">
        <v>40</v>
      </c>
      <c r="G675" s="45" t="n">
        <v>940490099</v>
      </c>
      <c r="H675" s="115" t="n">
        <v>0.05</v>
      </c>
      <c r="I675" s="44">
        <f>D676*H676</f>
        <v/>
      </c>
      <c r="J675" s="113" t="n"/>
      <c r="K675" s="44" t="n">
        <v>20</v>
      </c>
      <c r="L675" s="48">
        <f>K676+J676+I676+F676+E676+D676</f>
        <v/>
      </c>
      <c r="M675" s="44">
        <f>D676*1%</f>
        <v/>
      </c>
      <c r="N675" s="49">
        <f>L676*8%</f>
        <v/>
      </c>
      <c r="O675" s="49">
        <f>L676*10%</f>
        <v/>
      </c>
      <c r="P675" s="49">
        <f>L676*5%</f>
        <v/>
      </c>
      <c r="Q675" s="49">
        <f>L676*2%</f>
        <v/>
      </c>
      <c r="R675" s="49">
        <f>AC676*0.5%</f>
        <v/>
      </c>
      <c r="S675" s="49">
        <f>L676*1%</f>
        <v/>
      </c>
      <c r="T675" s="50">
        <f>S676+Q676+P676+O676+N676+M676</f>
        <v/>
      </c>
      <c r="U675" s="44">
        <f>AC676*1%</f>
        <v/>
      </c>
      <c r="V675" s="44">
        <f>AC676*5%</f>
        <v/>
      </c>
      <c r="W675" s="44">
        <f>AC676*1%</f>
        <v/>
      </c>
      <c r="X675" s="44">
        <f>AC676*8%</f>
        <v/>
      </c>
      <c r="Y675" s="44">
        <f>U676+V676+W676+X676</f>
        <v/>
      </c>
      <c r="Z675" s="50">
        <f>Y676+T676+L676</f>
        <v/>
      </c>
      <c r="AA675" s="51">
        <f>Z676*20%</f>
        <v/>
      </c>
      <c r="AB675" s="49">
        <f>Z676+AA676</f>
        <v/>
      </c>
      <c r="AC675" s="44">
        <f>D676*2.1</f>
        <v/>
      </c>
      <c r="AD675" s="49">
        <f>AB676-AC676</f>
        <v/>
      </c>
      <c r="AE675" s="49">
        <f>AD676/AB676*100</f>
        <v/>
      </c>
      <c r="AF675" s="113" t="n">
        <v>345</v>
      </c>
      <c r="AG675" s="116">
        <f>((AF676-L676)/L676)*100</f>
        <v/>
      </c>
      <c r="AH675" s="54">
        <f>AJ676-AF676</f>
        <v/>
      </c>
      <c r="AI675" s="54">
        <f>AB676*2.5</f>
        <v/>
      </c>
      <c r="AJ675" s="113" t="n">
        <v>345</v>
      </c>
      <c r="AK675" s="55">
        <f>(AJ676-L676)/L676*100</f>
        <v/>
      </c>
      <c r="AL675" s="55" t="n"/>
      <c r="AM675" s="55">
        <f>AH676/AJ676%</f>
        <v/>
      </c>
      <c r="AN675" s="55">
        <f>AK676-AG676</f>
        <v/>
      </c>
      <c r="AO675" s="56">
        <f>AJ676/L676</f>
        <v/>
      </c>
      <c r="AP675" s="55">
        <f>(AJ676-AB676)/100</f>
        <v/>
      </c>
      <c r="AQ675" s="55">
        <f>(AJ676-AC676)/100</f>
        <v/>
      </c>
      <c r="AR675" s="57">
        <f>AI676/94</f>
        <v/>
      </c>
      <c r="AS675" s="57">
        <f>AJ676/94</f>
        <v/>
      </c>
      <c r="AT675" s="58">
        <f>AI676/24</f>
        <v/>
      </c>
      <c r="AU675" s="58">
        <f>AJ676/24</f>
        <v/>
      </c>
      <c r="AV675" s="58">
        <f>AI676/125</f>
        <v/>
      </c>
      <c r="AW675" s="58">
        <f>AJ676/125</f>
        <v/>
      </c>
      <c r="AX675" s="113" t="n"/>
      <c r="AY675" s="113" t="n"/>
    </row>
    <row r="676" ht="15.75" customHeight="1" s="258">
      <c r="A676" s="44" t="n"/>
      <c r="B676" s="44" t="inlineStr">
        <is>
          <t>Yellow / 18 cms</t>
        </is>
      </c>
      <c r="C676" s="44" t="inlineStr">
        <is>
          <t>MI-SB-C-Y-18</t>
        </is>
      </c>
      <c r="D676" s="45" t="n">
        <v>65</v>
      </c>
      <c r="E676" s="44" t="n">
        <v>0</v>
      </c>
      <c r="F676" s="44" t="n">
        <v>40</v>
      </c>
      <c r="G676" s="45" t="n">
        <v>940490099</v>
      </c>
      <c r="H676" s="115" t="n">
        <v>0.05</v>
      </c>
      <c r="I676" s="44">
        <f>D677*H677</f>
        <v/>
      </c>
      <c r="J676" s="113" t="n"/>
      <c r="K676" s="44" t="n">
        <v>20</v>
      </c>
      <c r="L676" s="48">
        <f>K677+J677+I677+F677+E677+D677</f>
        <v/>
      </c>
      <c r="M676" s="44">
        <f>D677*1%</f>
        <v/>
      </c>
      <c r="N676" s="49">
        <f>L677*8%</f>
        <v/>
      </c>
      <c r="O676" s="49">
        <f>L677*10%</f>
        <v/>
      </c>
      <c r="P676" s="49">
        <f>L677*5%</f>
        <v/>
      </c>
      <c r="Q676" s="49">
        <f>L677*2%</f>
        <v/>
      </c>
      <c r="R676" s="49">
        <f>AC677*0.5%</f>
        <v/>
      </c>
      <c r="S676" s="49">
        <f>L677*1%</f>
        <v/>
      </c>
      <c r="T676" s="50">
        <f>S677+Q677+P677+O677+N677+M677</f>
        <v/>
      </c>
      <c r="U676" s="44">
        <f>AC677*1%</f>
        <v/>
      </c>
      <c r="V676" s="44">
        <f>AC677*5%</f>
        <v/>
      </c>
      <c r="W676" s="44">
        <f>AC677*1%</f>
        <v/>
      </c>
      <c r="X676" s="44">
        <f>AC677*8%</f>
        <v/>
      </c>
      <c r="Y676" s="44">
        <f>U677+V677+W677+X677</f>
        <v/>
      </c>
      <c r="Z676" s="50">
        <f>Y677+T677+L677</f>
        <v/>
      </c>
      <c r="AA676" s="51">
        <f>Z677*20%</f>
        <v/>
      </c>
      <c r="AB676" s="49">
        <f>Z677+AA677</f>
        <v/>
      </c>
      <c r="AC676" s="44">
        <f>D677*2.1</f>
        <v/>
      </c>
      <c r="AD676" s="49">
        <f>AB677-AC677</f>
        <v/>
      </c>
      <c r="AE676" s="49">
        <f>AD677/AB677*100</f>
        <v/>
      </c>
      <c r="AF676" s="113" t="n">
        <v>385</v>
      </c>
      <c r="AG676" s="116">
        <f>((AF677-L677)/L677)*100</f>
        <v/>
      </c>
      <c r="AH676" s="54">
        <f>AJ677-AF677</f>
        <v/>
      </c>
      <c r="AI676" s="54">
        <f>AB677*2.5</f>
        <v/>
      </c>
      <c r="AJ676" s="113" t="n">
        <v>385</v>
      </c>
      <c r="AK676" s="55">
        <f>(AJ677-L677)/L677*100</f>
        <v/>
      </c>
      <c r="AL676" s="55" t="n"/>
      <c r="AM676" s="55">
        <f>AH677/AJ677%</f>
        <v/>
      </c>
      <c r="AN676" s="55">
        <f>AK677-AG677</f>
        <v/>
      </c>
      <c r="AO676" s="56">
        <f>AJ677/L677</f>
        <v/>
      </c>
      <c r="AP676" s="55">
        <f>(AJ677-AB677)/100</f>
        <v/>
      </c>
      <c r="AQ676" s="55">
        <f>(AJ677-AC677)/100</f>
        <v/>
      </c>
      <c r="AR676" s="57">
        <f>AI677/94</f>
        <v/>
      </c>
      <c r="AS676" s="57">
        <f>AJ677/94</f>
        <v/>
      </c>
      <c r="AT676" s="58">
        <f>AI677/24</f>
        <v/>
      </c>
      <c r="AU676" s="58">
        <f>AJ677/24</f>
        <v/>
      </c>
      <c r="AV676" s="58">
        <f>AI677/125</f>
        <v/>
      </c>
      <c r="AW676" s="58">
        <f>AJ677/125</f>
        <v/>
      </c>
      <c r="AX676" s="113" t="n"/>
      <c r="AY676" s="113" t="n"/>
    </row>
    <row r="677" ht="15.75" customHeight="1" s="258">
      <c r="A677" s="44" t="n"/>
      <c r="B677" s="44" t="inlineStr">
        <is>
          <t>18 cms / Pink</t>
        </is>
      </c>
      <c r="C677" s="44" t="inlineStr">
        <is>
          <t>MI-SB-C-PK-18</t>
        </is>
      </c>
      <c r="D677" s="45" t="n">
        <v>65</v>
      </c>
      <c r="E677" s="44" t="n">
        <v>0</v>
      </c>
      <c r="F677" s="44" t="n">
        <v>40</v>
      </c>
      <c r="G677" s="45" t="n">
        <v>940490099</v>
      </c>
      <c r="H677" s="115" t="n">
        <v>0.05</v>
      </c>
      <c r="I677" s="44">
        <f>D678*H678</f>
        <v/>
      </c>
      <c r="J677" s="113" t="n"/>
      <c r="K677" s="44" t="n">
        <v>20</v>
      </c>
      <c r="L677" s="48">
        <f>K678+J678+I678+F678+E678+D678</f>
        <v/>
      </c>
      <c r="M677" s="44">
        <f>D678*1%</f>
        <v/>
      </c>
      <c r="N677" s="49">
        <f>L678*8%</f>
        <v/>
      </c>
      <c r="O677" s="49">
        <f>L678*10%</f>
        <v/>
      </c>
      <c r="P677" s="49">
        <f>L678*5%</f>
        <v/>
      </c>
      <c r="Q677" s="49">
        <f>L678*2%</f>
        <v/>
      </c>
      <c r="R677" s="49">
        <f>AC678*0.5%</f>
        <v/>
      </c>
      <c r="S677" s="49">
        <f>L678*1%</f>
        <v/>
      </c>
      <c r="T677" s="50">
        <f>S678+Q678+P678+O678+N678+M678</f>
        <v/>
      </c>
      <c r="U677" s="44">
        <f>AC678*1%</f>
        <v/>
      </c>
      <c r="V677" s="44">
        <f>AC678*5%</f>
        <v/>
      </c>
      <c r="W677" s="44">
        <f>AC678*1%</f>
        <v/>
      </c>
      <c r="X677" s="44">
        <f>AC678*8%</f>
        <v/>
      </c>
      <c r="Y677" s="44">
        <f>U678+V678+W678+X678</f>
        <v/>
      </c>
      <c r="Z677" s="50">
        <f>Y678+T678+L678</f>
        <v/>
      </c>
      <c r="AA677" s="51">
        <f>Z678*20%</f>
        <v/>
      </c>
      <c r="AB677" s="49">
        <f>Z678+AA678</f>
        <v/>
      </c>
      <c r="AC677" s="44">
        <f>D678*2.1</f>
        <v/>
      </c>
      <c r="AD677" s="49">
        <f>AB678-AC678</f>
        <v/>
      </c>
      <c r="AE677" s="49">
        <f>AD678/AB678*100</f>
        <v/>
      </c>
      <c r="AF677" s="113" t="n">
        <v>345</v>
      </c>
      <c r="AG677" s="116">
        <f>((AF678-L678)/L678)*100</f>
        <v/>
      </c>
      <c r="AH677" s="54">
        <f>AJ678-AF678</f>
        <v/>
      </c>
      <c r="AI677" s="54">
        <f>AB678*2.5</f>
        <v/>
      </c>
      <c r="AJ677" s="113" t="n">
        <v>345</v>
      </c>
      <c r="AK677" s="55">
        <f>(AJ678-L678)/L678*100</f>
        <v/>
      </c>
      <c r="AL677" s="55" t="n"/>
      <c r="AM677" s="55">
        <f>AH678/AJ678%</f>
        <v/>
      </c>
      <c r="AN677" s="55">
        <f>AK678-AG678</f>
        <v/>
      </c>
      <c r="AO677" s="56">
        <f>AJ678/L678</f>
        <v/>
      </c>
      <c r="AP677" s="55">
        <f>(AJ678-AB678)/100</f>
        <v/>
      </c>
      <c r="AQ677" s="55">
        <f>(AJ678-AC678)/100</f>
        <v/>
      </c>
      <c r="AR677" s="57">
        <f>AI678/94</f>
        <v/>
      </c>
      <c r="AS677" s="57">
        <f>AJ678/94</f>
        <v/>
      </c>
      <c r="AT677" s="58">
        <f>AI678/24</f>
        <v/>
      </c>
      <c r="AU677" s="58">
        <f>AJ678/24</f>
        <v/>
      </c>
      <c r="AV677" s="58">
        <f>AI678/125</f>
        <v/>
      </c>
      <c r="AW677" s="58">
        <f>AJ678/125</f>
        <v/>
      </c>
      <c r="AX677" s="113" t="n"/>
      <c r="AY677" s="113" t="n"/>
    </row>
    <row r="678" ht="15.75" customHeight="1" s="258">
      <c r="A678" s="44" t="n"/>
      <c r="B678" s="44" t="inlineStr">
        <is>
          <t>Red / 18 cms</t>
        </is>
      </c>
      <c r="C678" s="44" t="inlineStr">
        <is>
          <t>MI-SB-C-R-18</t>
        </is>
      </c>
      <c r="D678" s="45" t="n">
        <v>65</v>
      </c>
      <c r="E678" s="44" t="n">
        <v>0</v>
      </c>
      <c r="F678" s="44" t="n">
        <v>40</v>
      </c>
      <c r="G678" s="45" t="n">
        <v>940490099</v>
      </c>
      <c r="H678" s="115" t="n">
        <v>0.05</v>
      </c>
      <c r="I678" s="44">
        <f>D679*H679</f>
        <v/>
      </c>
      <c r="J678" s="113" t="n"/>
      <c r="K678" s="44" t="n">
        <v>20</v>
      </c>
      <c r="L678" s="48">
        <f>K679+J679+I679+F679+E679+D679</f>
        <v/>
      </c>
      <c r="M678" s="44">
        <f>D679*1%</f>
        <v/>
      </c>
      <c r="N678" s="49">
        <f>L679*8%</f>
        <v/>
      </c>
      <c r="O678" s="49">
        <f>L679*10%</f>
        <v/>
      </c>
      <c r="P678" s="49">
        <f>L679*5%</f>
        <v/>
      </c>
      <c r="Q678" s="49">
        <f>L679*2%</f>
        <v/>
      </c>
      <c r="R678" s="49">
        <f>AC679*0.5%</f>
        <v/>
      </c>
      <c r="S678" s="49">
        <f>L679*1%</f>
        <v/>
      </c>
      <c r="T678" s="50">
        <f>S679+Q679+P679+O679+N679+M679</f>
        <v/>
      </c>
      <c r="U678" s="44">
        <f>AC679*1%</f>
        <v/>
      </c>
      <c r="V678" s="44">
        <f>AC679*5%</f>
        <v/>
      </c>
      <c r="W678" s="44">
        <f>AC679*1%</f>
        <v/>
      </c>
      <c r="X678" s="44">
        <f>AC679*8%</f>
        <v/>
      </c>
      <c r="Y678" s="44">
        <f>U679+V679+W679+X679</f>
        <v/>
      </c>
      <c r="Z678" s="50">
        <f>Y679+T679+L679</f>
        <v/>
      </c>
      <c r="AA678" s="51">
        <f>Z679*20%</f>
        <v/>
      </c>
      <c r="AB678" s="49">
        <f>Z679+AA679</f>
        <v/>
      </c>
      <c r="AC678" s="44">
        <f>D679*2.1</f>
        <v/>
      </c>
      <c r="AD678" s="49">
        <f>AB679-AC679</f>
        <v/>
      </c>
      <c r="AE678" s="49">
        <f>AD679/AB679*100</f>
        <v/>
      </c>
      <c r="AF678" s="113" t="n">
        <v>345</v>
      </c>
      <c r="AG678" s="116">
        <f>((AF679-L679)/L679)*100</f>
        <v/>
      </c>
      <c r="AH678" s="54">
        <f>AJ679-AF679</f>
        <v/>
      </c>
      <c r="AI678" s="54">
        <f>AB679*2.5</f>
        <v/>
      </c>
      <c r="AJ678" s="113" t="n">
        <v>345</v>
      </c>
      <c r="AK678" s="55">
        <f>(AJ679-L679)/L679*100</f>
        <v/>
      </c>
      <c r="AL678" s="55" t="n"/>
      <c r="AM678" s="55">
        <f>AH679/AJ679%</f>
        <v/>
      </c>
      <c r="AN678" s="55">
        <f>AK679-AG679</f>
        <v/>
      </c>
      <c r="AO678" s="56">
        <f>AJ679/L679</f>
        <v/>
      </c>
      <c r="AP678" s="55">
        <f>(AJ679-AB679)/100</f>
        <v/>
      </c>
      <c r="AQ678" s="55">
        <f>(AJ679-AC679)/100</f>
        <v/>
      </c>
      <c r="AR678" s="57">
        <f>AI679/94</f>
        <v/>
      </c>
      <c r="AS678" s="57">
        <f>AJ679/94</f>
        <v/>
      </c>
      <c r="AT678" s="58">
        <f>AI679/24</f>
        <v/>
      </c>
      <c r="AU678" s="58">
        <f>AJ679/24</f>
        <v/>
      </c>
      <c r="AV678" s="58">
        <f>AI679/125</f>
        <v/>
      </c>
      <c r="AW678" s="58">
        <f>AJ679/125</f>
        <v/>
      </c>
      <c r="AX678" s="113" t="n"/>
      <c r="AY678" s="113" t="n"/>
    </row>
    <row r="679" ht="15.75" customHeight="1" s="258">
      <c r="A679" s="44" t="n"/>
      <c r="B679" s="44" t="inlineStr">
        <is>
          <t>Orange / 18 cms</t>
        </is>
      </c>
      <c r="C679" s="44" t="inlineStr">
        <is>
          <t>MI-SB-C-O-18</t>
        </is>
      </c>
      <c r="D679" s="45" t="n">
        <v>65</v>
      </c>
      <c r="E679" s="44" t="n">
        <v>0</v>
      </c>
      <c r="F679" s="44" t="n">
        <v>40</v>
      </c>
      <c r="G679" s="45" t="n">
        <v>940490099</v>
      </c>
      <c r="H679" s="115" t="n">
        <v>0.05</v>
      </c>
      <c r="I679" s="44">
        <f>D680*H680</f>
        <v/>
      </c>
      <c r="J679" s="113" t="n"/>
      <c r="K679" s="44" t="n">
        <v>20</v>
      </c>
      <c r="L679" s="48">
        <f>K680+J680+I680+F680+E680+D680</f>
        <v/>
      </c>
      <c r="M679" s="44">
        <f>D680*1%</f>
        <v/>
      </c>
      <c r="N679" s="49">
        <f>L680*8%</f>
        <v/>
      </c>
      <c r="O679" s="49">
        <f>L680*10%</f>
        <v/>
      </c>
      <c r="P679" s="49">
        <f>L680*5%</f>
        <v/>
      </c>
      <c r="Q679" s="49">
        <f>L680*2%</f>
        <v/>
      </c>
      <c r="R679" s="49">
        <f>AC680*0.5%</f>
        <v/>
      </c>
      <c r="S679" s="49">
        <f>L680*1%</f>
        <v/>
      </c>
      <c r="T679" s="50">
        <f>S680+Q680+P680+O680+N680+M680</f>
        <v/>
      </c>
      <c r="U679" s="44">
        <f>AC680*1%</f>
        <v/>
      </c>
      <c r="V679" s="44">
        <f>AC680*5%</f>
        <v/>
      </c>
      <c r="W679" s="44">
        <f>AC680*1%</f>
        <v/>
      </c>
      <c r="X679" s="44">
        <f>AC680*8%</f>
        <v/>
      </c>
      <c r="Y679" s="44">
        <f>U680+V680+W680+X680</f>
        <v/>
      </c>
      <c r="Z679" s="50">
        <f>Y680+T680+L680</f>
        <v/>
      </c>
      <c r="AA679" s="51">
        <f>Z680*20%</f>
        <v/>
      </c>
      <c r="AB679" s="49">
        <f>Z680+AA680</f>
        <v/>
      </c>
      <c r="AC679" s="44">
        <f>D680*2.1</f>
        <v/>
      </c>
      <c r="AD679" s="49">
        <f>AB680-AC680</f>
        <v/>
      </c>
      <c r="AE679" s="49">
        <f>AD680/AB680*100</f>
        <v/>
      </c>
      <c r="AF679" s="113" t="n">
        <v>345</v>
      </c>
      <c r="AG679" s="116">
        <f>((AF680-L680)/L680)*100</f>
        <v/>
      </c>
      <c r="AH679" s="54">
        <f>AJ680-AF680</f>
        <v/>
      </c>
      <c r="AI679" s="54">
        <f>AB680*2.5</f>
        <v/>
      </c>
      <c r="AJ679" s="113" t="n">
        <v>345</v>
      </c>
      <c r="AK679" s="55">
        <f>(AJ680-L680)/L680*100</f>
        <v/>
      </c>
      <c r="AL679" s="55" t="n"/>
      <c r="AM679" s="55">
        <f>AH680/AJ680%</f>
        <v/>
      </c>
      <c r="AN679" s="55">
        <f>AK680-AG680</f>
        <v/>
      </c>
      <c r="AO679" s="56">
        <f>AJ680/L680</f>
        <v/>
      </c>
      <c r="AP679" s="55">
        <f>(AJ680-AB680)/100</f>
        <v/>
      </c>
      <c r="AQ679" s="55">
        <f>(AJ680-AC680)/100</f>
        <v/>
      </c>
      <c r="AR679" s="57">
        <f>AI680/94</f>
        <v/>
      </c>
      <c r="AS679" s="57">
        <f>AJ680/94</f>
        <v/>
      </c>
      <c r="AT679" s="58">
        <f>AI680/24</f>
        <v/>
      </c>
      <c r="AU679" s="58">
        <f>AJ680/24</f>
        <v/>
      </c>
      <c r="AV679" s="58">
        <f>AI680/125</f>
        <v/>
      </c>
      <c r="AW679" s="58">
        <f>AJ680/125</f>
        <v/>
      </c>
      <c r="AX679" s="113" t="n"/>
      <c r="AY679" s="113" t="n"/>
    </row>
    <row r="680" ht="15.75" customHeight="1" s="258">
      <c r="A680" s="44" t="n"/>
      <c r="B680" s="44" t="inlineStr">
        <is>
          <t>20 cms / Blue</t>
        </is>
      </c>
      <c r="C680" s="44" t="inlineStr">
        <is>
          <t>MI-SB-C-B-20</t>
        </is>
      </c>
      <c r="D680" s="45" t="n">
        <v>80</v>
      </c>
      <c r="E680" s="44" t="n">
        <v>0</v>
      </c>
      <c r="F680" s="44" t="n">
        <v>40</v>
      </c>
      <c r="G680" s="45" t="n">
        <v>940490099</v>
      </c>
      <c r="H680" s="115" t="n">
        <v>0.05</v>
      </c>
      <c r="I680" s="44">
        <f>D681*H681</f>
        <v/>
      </c>
      <c r="J680" s="113" t="n"/>
      <c r="K680" s="44" t="n">
        <v>20</v>
      </c>
      <c r="L680" s="48">
        <f>K681+J681+I681+F681+E681+D681</f>
        <v/>
      </c>
      <c r="M680" s="44">
        <f>D681*1%</f>
        <v/>
      </c>
      <c r="N680" s="49">
        <f>L681*8%</f>
        <v/>
      </c>
      <c r="O680" s="49">
        <f>L681*10%</f>
        <v/>
      </c>
      <c r="P680" s="49">
        <f>L681*5%</f>
        <v/>
      </c>
      <c r="Q680" s="49">
        <f>L681*2%</f>
        <v/>
      </c>
      <c r="R680" s="49">
        <f>AC681*0.5%</f>
        <v/>
      </c>
      <c r="S680" s="49">
        <f>L681*1%</f>
        <v/>
      </c>
      <c r="T680" s="50">
        <f>S681+Q681+P681+O681+N681+M681</f>
        <v/>
      </c>
      <c r="U680" s="44">
        <f>AC681*1%</f>
        <v/>
      </c>
      <c r="V680" s="44">
        <f>AC681*5%</f>
        <v/>
      </c>
      <c r="W680" s="44">
        <f>AC681*1%</f>
        <v/>
      </c>
      <c r="X680" s="44">
        <f>AC681*8%</f>
        <v/>
      </c>
      <c r="Y680" s="44">
        <f>U681+V681+W681+X681</f>
        <v/>
      </c>
      <c r="Z680" s="50">
        <f>Y681+T681+L681</f>
        <v/>
      </c>
      <c r="AA680" s="51">
        <f>Z681*20%</f>
        <v/>
      </c>
      <c r="AB680" s="49">
        <f>Z681+AA681</f>
        <v/>
      </c>
      <c r="AC680" s="44">
        <f>D681*2.1</f>
        <v/>
      </c>
      <c r="AD680" s="49">
        <f>AB681-AC681</f>
        <v/>
      </c>
      <c r="AE680" s="49">
        <f>AD681/AB681*100</f>
        <v/>
      </c>
      <c r="AF680" s="113" t="n">
        <v>495</v>
      </c>
      <c r="AG680" s="116">
        <f>((AF681-L681)/L681)*100</f>
        <v/>
      </c>
      <c r="AH680" s="54">
        <f>AJ681-AF681</f>
        <v/>
      </c>
      <c r="AI680" s="54">
        <f>AB681*2.5</f>
        <v/>
      </c>
      <c r="AJ680" s="113" t="n">
        <v>495</v>
      </c>
      <c r="AK680" s="55">
        <f>(AJ681-L681)/L681*100</f>
        <v/>
      </c>
      <c r="AL680" s="55" t="n"/>
      <c r="AM680" s="55">
        <f>AH681/AJ681%</f>
        <v/>
      </c>
      <c r="AN680" s="55">
        <f>AK681-AG681</f>
        <v/>
      </c>
      <c r="AO680" s="56">
        <f>AJ681/L681</f>
        <v/>
      </c>
      <c r="AP680" s="55">
        <f>(AJ681-AB681)/100</f>
        <v/>
      </c>
      <c r="AQ680" s="55">
        <f>(AJ681-AC681)/100</f>
        <v/>
      </c>
      <c r="AR680" s="57">
        <f>AI681/94</f>
        <v/>
      </c>
      <c r="AS680" s="57">
        <f>AJ681/94</f>
        <v/>
      </c>
      <c r="AT680" s="58">
        <f>AI681/24</f>
        <v/>
      </c>
      <c r="AU680" s="58">
        <f>AJ681/24</f>
        <v/>
      </c>
      <c r="AV680" s="58">
        <f>AI681/125</f>
        <v/>
      </c>
      <c r="AW680" s="58">
        <f>AJ681/125</f>
        <v/>
      </c>
      <c r="AX680" s="113" t="n"/>
      <c r="AY680" s="113" t="n"/>
    </row>
    <row r="681" ht="15.75" customHeight="1" s="258">
      <c r="A681" s="44" t="n"/>
      <c r="B681" s="44" t="inlineStr">
        <is>
          <t>Brown / 20 cms</t>
        </is>
      </c>
      <c r="C681" s="44" t="inlineStr">
        <is>
          <t>MI-SB-C-Bn-20</t>
        </is>
      </c>
      <c r="D681" s="45" t="n">
        <v>80</v>
      </c>
      <c r="E681" s="44" t="n">
        <v>0</v>
      </c>
      <c r="F681" s="44" t="n">
        <v>40</v>
      </c>
      <c r="G681" s="45" t="n">
        <v>940490099</v>
      </c>
      <c r="H681" s="115" t="n">
        <v>0.05</v>
      </c>
      <c r="I681" s="44">
        <f>D682*H682</f>
        <v/>
      </c>
      <c r="J681" s="113" t="n"/>
      <c r="K681" s="44" t="n">
        <v>20</v>
      </c>
      <c r="L681" s="48">
        <f>K682+J682+I682+F682+E682+D682</f>
        <v/>
      </c>
      <c r="M681" s="44">
        <f>D682*1%</f>
        <v/>
      </c>
      <c r="N681" s="49">
        <f>L682*8%</f>
        <v/>
      </c>
      <c r="O681" s="49">
        <f>L682*10%</f>
        <v/>
      </c>
      <c r="P681" s="49">
        <f>L682*5%</f>
        <v/>
      </c>
      <c r="Q681" s="49">
        <f>L682*2%</f>
        <v/>
      </c>
      <c r="R681" s="49">
        <f>AC682*0.5%</f>
        <v/>
      </c>
      <c r="S681" s="49">
        <f>L682*1%</f>
        <v/>
      </c>
      <c r="T681" s="50">
        <f>S682+Q682+P682+O682+N682+M682</f>
        <v/>
      </c>
      <c r="U681" s="44">
        <f>AC682*1%</f>
        <v/>
      </c>
      <c r="V681" s="44">
        <f>AC682*5%</f>
        <v/>
      </c>
      <c r="W681" s="44">
        <f>AC682*1%</f>
        <v/>
      </c>
      <c r="X681" s="44">
        <f>AC682*8%</f>
        <v/>
      </c>
      <c r="Y681" s="44">
        <f>U682+V682+W682+X682</f>
        <v/>
      </c>
      <c r="Z681" s="50">
        <f>Y682+T682+L682</f>
        <v/>
      </c>
      <c r="AA681" s="51">
        <f>Z682*20%</f>
        <v/>
      </c>
      <c r="AB681" s="49">
        <f>Z682+AA682</f>
        <v/>
      </c>
      <c r="AC681" s="44">
        <f>D682*2.1</f>
        <v/>
      </c>
      <c r="AD681" s="49">
        <f>AB682-AC682</f>
        <v/>
      </c>
      <c r="AE681" s="49">
        <f>AD682/AB682*100</f>
        <v/>
      </c>
      <c r="AF681" s="113" t="n">
        <v>495</v>
      </c>
      <c r="AG681" s="116">
        <f>((AF682-L682)/L682)*100</f>
        <v/>
      </c>
      <c r="AH681" s="54">
        <f>AJ682-AF682</f>
        <v/>
      </c>
      <c r="AI681" s="54">
        <f>AB682*2.5</f>
        <v/>
      </c>
      <c r="AJ681" s="113" t="n">
        <v>495</v>
      </c>
      <c r="AK681" s="55">
        <f>(AJ682-L682)/L682*100</f>
        <v/>
      </c>
      <c r="AL681" s="55" t="n"/>
      <c r="AM681" s="55">
        <f>AH682/AJ682%</f>
        <v/>
      </c>
      <c r="AN681" s="55">
        <f>AK682-AG682</f>
        <v/>
      </c>
      <c r="AO681" s="56">
        <f>AJ682/L682</f>
        <v/>
      </c>
      <c r="AP681" s="55">
        <f>(AJ682-AB682)/100</f>
        <v/>
      </c>
      <c r="AQ681" s="55">
        <f>(AJ682-AC682)/100</f>
        <v/>
      </c>
      <c r="AR681" s="57">
        <f>AI682/94</f>
        <v/>
      </c>
      <c r="AS681" s="57">
        <f>AJ682/94</f>
        <v/>
      </c>
      <c r="AT681" s="58">
        <f>AI682/24</f>
        <v/>
      </c>
      <c r="AU681" s="58">
        <f>AJ682/24</f>
        <v/>
      </c>
      <c r="AV681" s="58">
        <f>AI682/125</f>
        <v/>
      </c>
      <c r="AW681" s="58">
        <f>AJ682/125</f>
        <v/>
      </c>
      <c r="AX681" s="113" t="n"/>
      <c r="AY681" s="113" t="n"/>
    </row>
    <row r="682" ht="15.75" customHeight="1" s="258">
      <c r="A682" s="44" t="n"/>
      <c r="B682" s="44" t="inlineStr">
        <is>
          <t>20 cms / Navy Blue</t>
        </is>
      </c>
      <c r="C682" s="44" t="inlineStr">
        <is>
          <t>MI-SB-C-NB-20</t>
        </is>
      </c>
      <c r="D682" s="45" t="n">
        <v>80</v>
      </c>
      <c r="E682" s="44" t="n">
        <v>0</v>
      </c>
      <c r="F682" s="44" t="n">
        <v>40</v>
      </c>
      <c r="G682" s="45" t="n">
        <v>940490099</v>
      </c>
      <c r="H682" s="115" t="n">
        <v>0.05</v>
      </c>
      <c r="I682" s="44">
        <f>D683*H683</f>
        <v/>
      </c>
      <c r="J682" s="113" t="n"/>
      <c r="K682" s="44" t="n">
        <v>20</v>
      </c>
      <c r="L682" s="48">
        <f>K683+J683+I683+F683+E683+D683</f>
        <v/>
      </c>
      <c r="M682" s="44">
        <f>D683*1%</f>
        <v/>
      </c>
      <c r="N682" s="49">
        <f>L683*8%</f>
        <v/>
      </c>
      <c r="O682" s="49">
        <f>L683*10%</f>
        <v/>
      </c>
      <c r="P682" s="49">
        <f>L683*5%</f>
        <v/>
      </c>
      <c r="Q682" s="49">
        <f>L683*2%</f>
        <v/>
      </c>
      <c r="R682" s="49">
        <f>AC683*0.5%</f>
        <v/>
      </c>
      <c r="S682" s="49">
        <f>L683*1%</f>
        <v/>
      </c>
      <c r="T682" s="50">
        <f>S683+Q683+P683+O683+N683+M683</f>
        <v/>
      </c>
      <c r="U682" s="44">
        <f>AC683*1%</f>
        <v/>
      </c>
      <c r="V682" s="44">
        <f>AC683*5%</f>
        <v/>
      </c>
      <c r="W682" s="44">
        <f>AC683*1%</f>
        <v/>
      </c>
      <c r="X682" s="44">
        <f>AC683*8%</f>
        <v/>
      </c>
      <c r="Y682" s="44">
        <f>U683+V683+W683+X683</f>
        <v/>
      </c>
      <c r="Z682" s="50">
        <f>Y683+T683+L683</f>
        <v/>
      </c>
      <c r="AA682" s="51">
        <f>Z683*20%</f>
        <v/>
      </c>
      <c r="AB682" s="49">
        <f>Z683+AA683</f>
        <v/>
      </c>
      <c r="AC682" s="44">
        <f>D683*2.1</f>
        <v/>
      </c>
      <c r="AD682" s="49">
        <f>AB683-AC683</f>
        <v/>
      </c>
      <c r="AE682" s="49">
        <f>AD683/AB683*100</f>
        <v/>
      </c>
      <c r="AF682" s="113" t="n">
        <v>495</v>
      </c>
      <c r="AG682" s="116">
        <f>((AF683-L683)/L683)*100</f>
        <v/>
      </c>
      <c r="AH682" s="54">
        <f>AJ683-AF683</f>
        <v/>
      </c>
      <c r="AI682" s="54">
        <f>AB683*2.5</f>
        <v/>
      </c>
      <c r="AJ682" s="113" t="n">
        <v>495</v>
      </c>
      <c r="AK682" s="55">
        <f>(AJ683-L683)/L683*100</f>
        <v/>
      </c>
      <c r="AL682" s="55" t="n"/>
      <c r="AM682" s="55">
        <f>AH683/AJ683%</f>
        <v/>
      </c>
      <c r="AN682" s="55">
        <f>AK683-AG683</f>
        <v/>
      </c>
      <c r="AO682" s="56">
        <f>AJ683/L683</f>
        <v/>
      </c>
      <c r="AP682" s="55">
        <f>(AJ683-AB683)/100</f>
        <v/>
      </c>
      <c r="AQ682" s="55">
        <f>(AJ683-AC683)/100</f>
        <v/>
      </c>
      <c r="AR682" s="57">
        <f>AI683/94</f>
        <v/>
      </c>
      <c r="AS682" s="57">
        <f>AJ683/94</f>
        <v/>
      </c>
      <c r="AT682" s="58">
        <f>AI683/24</f>
        <v/>
      </c>
      <c r="AU682" s="58">
        <f>AJ683/24</f>
        <v/>
      </c>
      <c r="AV682" s="58">
        <f>AI683/125</f>
        <v/>
      </c>
      <c r="AW682" s="58">
        <f>AJ683/125</f>
        <v/>
      </c>
      <c r="AX682" s="113" t="n"/>
      <c r="AY682" s="113" t="n"/>
    </row>
    <row r="683" ht="15.75" customHeight="1" s="258">
      <c r="A683" s="44" t="n"/>
      <c r="B683" s="44" t="inlineStr">
        <is>
          <t>Black / 20 cms</t>
        </is>
      </c>
      <c r="C683" s="44" t="inlineStr">
        <is>
          <t>MI-SB-C-BK-20</t>
        </is>
      </c>
      <c r="D683" s="45" t="n">
        <v>80</v>
      </c>
      <c r="E683" s="44" t="n">
        <v>0</v>
      </c>
      <c r="F683" s="44" t="n">
        <v>40</v>
      </c>
      <c r="G683" s="45" t="n">
        <v>940490099</v>
      </c>
      <c r="H683" s="115" t="n">
        <v>0.05</v>
      </c>
      <c r="I683" s="44">
        <f>D684*H684</f>
        <v/>
      </c>
      <c r="J683" s="113" t="n"/>
      <c r="K683" s="44" t="n">
        <v>20</v>
      </c>
      <c r="L683" s="48">
        <f>K684+J684+I684+F684+E684+D684</f>
        <v/>
      </c>
      <c r="M683" s="44">
        <f>D684*1%</f>
        <v/>
      </c>
      <c r="N683" s="49">
        <f>L684*8%</f>
        <v/>
      </c>
      <c r="O683" s="49">
        <f>L684*10%</f>
        <v/>
      </c>
      <c r="P683" s="49">
        <f>L684*5%</f>
        <v/>
      </c>
      <c r="Q683" s="49">
        <f>L684*2%</f>
        <v/>
      </c>
      <c r="R683" s="49">
        <f>AC684*0.5%</f>
        <v/>
      </c>
      <c r="S683" s="49">
        <f>L684*1%</f>
        <v/>
      </c>
      <c r="T683" s="50">
        <f>S684+Q684+P684+O684+N684+M684</f>
        <v/>
      </c>
      <c r="U683" s="44">
        <f>AC684*1%</f>
        <v/>
      </c>
      <c r="V683" s="44">
        <f>AC684*5%</f>
        <v/>
      </c>
      <c r="W683" s="44">
        <f>AC684*1%</f>
        <v/>
      </c>
      <c r="X683" s="44">
        <f>AC684*8%</f>
        <v/>
      </c>
      <c r="Y683" s="44">
        <f>U684+V684+W684+X684</f>
        <v/>
      </c>
      <c r="Z683" s="50">
        <f>Y684+T684+L684</f>
        <v/>
      </c>
      <c r="AA683" s="51">
        <f>Z684*20%</f>
        <v/>
      </c>
      <c r="AB683" s="49">
        <f>Z684+AA684</f>
        <v/>
      </c>
      <c r="AC683" s="44">
        <f>D684*2.1</f>
        <v/>
      </c>
      <c r="AD683" s="49">
        <f>AB684-AC684</f>
        <v/>
      </c>
      <c r="AE683" s="49">
        <f>AD684/AB684*100</f>
        <v/>
      </c>
      <c r="AF683" s="113" t="n">
        <v>495</v>
      </c>
      <c r="AG683" s="116">
        <f>((AF684-L684)/L684)*100</f>
        <v/>
      </c>
      <c r="AH683" s="54">
        <f>AJ684-AF684</f>
        <v/>
      </c>
      <c r="AI683" s="54">
        <f>AB684*2.5</f>
        <v/>
      </c>
      <c r="AJ683" s="113" t="n">
        <v>495</v>
      </c>
      <c r="AK683" s="55">
        <f>(AJ684-L684)/L684*100</f>
        <v/>
      </c>
      <c r="AL683" s="55" t="n"/>
      <c r="AM683" s="55">
        <f>AH684/AJ684%</f>
        <v/>
      </c>
      <c r="AN683" s="55">
        <f>AK684-AG684</f>
        <v/>
      </c>
      <c r="AO683" s="56">
        <f>AJ684/L684</f>
        <v/>
      </c>
      <c r="AP683" s="55">
        <f>(AJ684-AB684)/100</f>
        <v/>
      </c>
      <c r="AQ683" s="55">
        <f>(AJ684-AC684)/100</f>
        <v/>
      </c>
      <c r="AR683" s="57">
        <f>AI684/94</f>
        <v/>
      </c>
      <c r="AS683" s="57">
        <f>AJ684/94</f>
        <v/>
      </c>
      <c r="AT683" s="58">
        <f>AI684/24</f>
        <v/>
      </c>
      <c r="AU683" s="58">
        <f>AJ684/24</f>
        <v/>
      </c>
      <c r="AV683" s="58">
        <f>AI684/125</f>
        <v/>
      </c>
      <c r="AW683" s="58">
        <f>AJ684/125</f>
        <v/>
      </c>
      <c r="AX683" s="113" t="n"/>
      <c r="AY683" s="113" t="n"/>
    </row>
    <row r="684" ht="15.75" customHeight="1" s="258">
      <c r="A684" s="44" t="n"/>
      <c r="B684" s="44" t="inlineStr">
        <is>
          <t>Orange / 20 cms</t>
        </is>
      </c>
      <c r="C684" s="44" t="inlineStr">
        <is>
          <t>MI-SB-C-O-20</t>
        </is>
      </c>
      <c r="D684" s="45" t="n">
        <v>80</v>
      </c>
      <c r="E684" s="44" t="n">
        <v>0</v>
      </c>
      <c r="F684" s="44" t="n">
        <v>40</v>
      </c>
      <c r="G684" s="45" t="n">
        <v>940490099</v>
      </c>
      <c r="H684" s="115" t="n">
        <v>0.05</v>
      </c>
      <c r="I684" s="44">
        <f>D685*H685</f>
        <v/>
      </c>
      <c r="J684" s="113" t="n"/>
      <c r="K684" s="44" t="n">
        <v>20</v>
      </c>
      <c r="L684" s="48">
        <f>K685+J685+I685+F685+E685+D685</f>
        <v/>
      </c>
      <c r="M684" s="44">
        <f>D685*1%</f>
        <v/>
      </c>
      <c r="N684" s="49">
        <f>L685*8%</f>
        <v/>
      </c>
      <c r="O684" s="49">
        <f>L685*10%</f>
        <v/>
      </c>
      <c r="P684" s="49">
        <f>L685*5%</f>
        <v/>
      </c>
      <c r="Q684" s="49">
        <f>L685*2%</f>
        <v/>
      </c>
      <c r="R684" s="49">
        <f>AC685*0.5%</f>
        <v/>
      </c>
      <c r="S684" s="49">
        <f>L685*1%</f>
        <v/>
      </c>
      <c r="T684" s="50">
        <f>S685+Q685+P685+O685+N685+M685</f>
        <v/>
      </c>
      <c r="U684" s="44">
        <f>AC685*1%</f>
        <v/>
      </c>
      <c r="V684" s="44">
        <f>AC685*5%</f>
        <v/>
      </c>
      <c r="W684" s="44">
        <f>AC685*1%</f>
        <v/>
      </c>
      <c r="X684" s="44">
        <f>AC685*8%</f>
        <v/>
      </c>
      <c r="Y684" s="44">
        <f>U685+V685+W685+X685</f>
        <v/>
      </c>
      <c r="Z684" s="50">
        <f>Y685+T685+L685</f>
        <v/>
      </c>
      <c r="AA684" s="51">
        <f>Z685*20%</f>
        <v/>
      </c>
      <c r="AB684" s="49">
        <f>Z685+AA685</f>
        <v/>
      </c>
      <c r="AC684" s="44">
        <f>D685*2.1</f>
        <v/>
      </c>
      <c r="AD684" s="49">
        <f>AB685-AC685</f>
        <v/>
      </c>
      <c r="AE684" s="49">
        <f>AD685/AB685*100</f>
        <v/>
      </c>
      <c r="AF684" s="113" t="n">
        <v>495</v>
      </c>
      <c r="AG684" s="116">
        <f>((AF685-L685)/L685)*100</f>
        <v/>
      </c>
      <c r="AH684" s="54">
        <f>AJ685-AF685</f>
        <v/>
      </c>
      <c r="AI684" s="54">
        <f>AB685*2.5</f>
        <v/>
      </c>
      <c r="AJ684" s="113" t="n">
        <v>495</v>
      </c>
      <c r="AK684" s="55">
        <f>(AJ685-L685)/L685*100</f>
        <v/>
      </c>
      <c r="AL684" s="55" t="n"/>
      <c r="AM684" s="55">
        <f>AH685/AJ685%</f>
        <v/>
      </c>
      <c r="AN684" s="55">
        <f>AK685-AG685</f>
        <v/>
      </c>
      <c r="AO684" s="56">
        <f>AJ685/L685</f>
        <v/>
      </c>
      <c r="AP684" s="55">
        <f>(AJ685-AB685)/100</f>
        <v/>
      </c>
      <c r="AQ684" s="55">
        <f>(AJ685-AC685)/100</f>
        <v/>
      </c>
      <c r="AR684" s="57">
        <f>AI685/94</f>
        <v/>
      </c>
      <c r="AS684" s="57">
        <f>AJ685/94</f>
        <v/>
      </c>
      <c r="AT684" s="58">
        <f>AI685/24</f>
        <v/>
      </c>
      <c r="AU684" s="58">
        <f>AJ685/24</f>
        <v/>
      </c>
      <c r="AV684" s="58">
        <f>AI685/125</f>
        <v/>
      </c>
      <c r="AW684" s="58">
        <f>AJ685/125</f>
        <v/>
      </c>
      <c r="AX684" s="113" t="n"/>
      <c r="AY684" s="113" t="n"/>
    </row>
    <row r="685" ht="15.75" customHeight="1" s="258">
      <c r="A685" s="44" t="n"/>
      <c r="B685" s="44" t="inlineStr">
        <is>
          <t>Yellow / 20 cms</t>
        </is>
      </c>
      <c r="C685" s="44" t="inlineStr">
        <is>
          <t>MI-SB-C-Y-20</t>
        </is>
      </c>
      <c r="D685" s="45" t="n">
        <v>80</v>
      </c>
      <c r="E685" s="44" t="n">
        <v>0</v>
      </c>
      <c r="F685" s="44" t="n">
        <v>40</v>
      </c>
      <c r="G685" s="45" t="n">
        <v>940490099</v>
      </c>
      <c r="H685" s="115" t="n">
        <v>0.05</v>
      </c>
      <c r="I685" s="44">
        <f>D686*H686</f>
        <v/>
      </c>
      <c r="J685" s="113" t="n"/>
      <c r="K685" s="44" t="n">
        <v>20</v>
      </c>
      <c r="L685" s="48">
        <f>K686+J686+I686+F686+E686+D686</f>
        <v/>
      </c>
      <c r="M685" s="44">
        <f>D686*1%</f>
        <v/>
      </c>
      <c r="N685" s="49">
        <f>L686*8%</f>
        <v/>
      </c>
      <c r="O685" s="49">
        <f>L686*10%</f>
        <v/>
      </c>
      <c r="P685" s="49">
        <f>L686*5%</f>
        <v/>
      </c>
      <c r="Q685" s="49">
        <f>L686*2%</f>
        <v/>
      </c>
      <c r="R685" s="49">
        <f>AC686*0.5%</f>
        <v/>
      </c>
      <c r="S685" s="49">
        <f>L686*1%</f>
        <v/>
      </c>
      <c r="T685" s="50">
        <f>S686+Q686+P686+O686+N686+M686</f>
        <v/>
      </c>
      <c r="U685" s="44">
        <f>AC686*1%</f>
        <v/>
      </c>
      <c r="V685" s="44">
        <f>AC686*5%</f>
        <v/>
      </c>
      <c r="W685" s="44">
        <f>AC686*1%</f>
        <v/>
      </c>
      <c r="X685" s="44">
        <f>AC686*8%</f>
        <v/>
      </c>
      <c r="Y685" s="44">
        <f>U686+V686+W686+X686</f>
        <v/>
      </c>
      <c r="Z685" s="50">
        <f>Y686+T686+L686</f>
        <v/>
      </c>
      <c r="AA685" s="51">
        <f>Z686*20%</f>
        <v/>
      </c>
      <c r="AB685" s="49">
        <f>Z686+AA686</f>
        <v/>
      </c>
      <c r="AC685" s="44">
        <f>D686*2.1</f>
        <v/>
      </c>
      <c r="AD685" s="49">
        <f>AB686-AC686</f>
        <v/>
      </c>
      <c r="AE685" s="49">
        <f>AD686/AB686*100</f>
        <v/>
      </c>
      <c r="AF685" s="113" t="n">
        <v>495</v>
      </c>
      <c r="AG685" s="116">
        <f>((AF686-L686)/L686)*100</f>
        <v/>
      </c>
      <c r="AH685" s="54">
        <f>AJ686-AF686</f>
        <v/>
      </c>
      <c r="AI685" s="54">
        <f>AB686*2.5</f>
        <v/>
      </c>
      <c r="AJ685" s="113" t="n">
        <v>495</v>
      </c>
      <c r="AK685" s="55">
        <f>(AJ686-L686)/L686*100</f>
        <v/>
      </c>
      <c r="AL685" s="55" t="n"/>
      <c r="AM685" s="55">
        <f>AH686/AJ686%</f>
        <v/>
      </c>
      <c r="AN685" s="55">
        <f>AK686-AG686</f>
        <v/>
      </c>
      <c r="AO685" s="56">
        <f>AJ686/L686</f>
        <v/>
      </c>
      <c r="AP685" s="55">
        <f>(AJ686-AB686)/100</f>
        <v/>
      </c>
      <c r="AQ685" s="55">
        <f>(AJ686-AC686)/100</f>
        <v/>
      </c>
      <c r="AR685" s="57">
        <f>AI686/94</f>
        <v/>
      </c>
      <c r="AS685" s="57">
        <f>AJ686/94</f>
        <v/>
      </c>
      <c r="AT685" s="58">
        <f>AI686/24</f>
        <v/>
      </c>
      <c r="AU685" s="58">
        <f>AJ686/24</f>
        <v/>
      </c>
      <c r="AV685" s="58">
        <f>AI686/125</f>
        <v/>
      </c>
      <c r="AW685" s="58">
        <f>AJ686/125</f>
        <v/>
      </c>
      <c r="AX685" s="113" t="n"/>
      <c r="AY685" s="113" t="n"/>
    </row>
    <row r="686" ht="15.75" customHeight="1" s="258">
      <c r="A686" s="44" t="n"/>
      <c r="B686" s="44" t="inlineStr">
        <is>
          <t>20 cms / Green</t>
        </is>
      </c>
      <c r="C686" s="44" t="inlineStr">
        <is>
          <t>MI-SB-C-G-20</t>
        </is>
      </c>
      <c r="D686" s="45" t="n">
        <v>80</v>
      </c>
      <c r="E686" s="44" t="n">
        <v>0</v>
      </c>
      <c r="F686" s="44" t="n">
        <v>40</v>
      </c>
      <c r="G686" s="45" t="n">
        <v>940490099</v>
      </c>
      <c r="H686" s="115" t="n">
        <v>0.05</v>
      </c>
      <c r="I686" s="44">
        <f>D687*H687</f>
        <v/>
      </c>
      <c r="J686" s="113" t="n"/>
      <c r="K686" s="44" t="n">
        <v>20</v>
      </c>
      <c r="L686" s="48">
        <f>K687+J687+I687+F687+E687+D687</f>
        <v/>
      </c>
      <c r="M686" s="44">
        <f>D687*1%</f>
        <v/>
      </c>
      <c r="N686" s="49">
        <f>L687*8%</f>
        <v/>
      </c>
      <c r="O686" s="49">
        <f>L687*10%</f>
        <v/>
      </c>
      <c r="P686" s="49">
        <f>L687*5%</f>
        <v/>
      </c>
      <c r="Q686" s="49">
        <f>L687*2%</f>
        <v/>
      </c>
      <c r="R686" s="49">
        <f>AC687*0.5%</f>
        <v/>
      </c>
      <c r="S686" s="49">
        <f>L687*1%</f>
        <v/>
      </c>
      <c r="T686" s="50">
        <f>S687+Q687+P687+O687+N687+M687</f>
        <v/>
      </c>
      <c r="U686" s="44">
        <f>AC687*1%</f>
        <v/>
      </c>
      <c r="V686" s="44">
        <f>AC687*5%</f>
        <v/>
      </c>
      <c r="W686" s="44">
        <f>AC687*1%</f>
        <v/>
      </c>
      <c r="X686" s="44">
        <f>AC687*8%</f>
        <v/>
      </c>
      <c r="Y686" s="44">
        <f>U687+V687+W687+X687</f>
        <v/>
      </c>
      <c r="Z686" s="50">
        <f>Y687+T687+L687</f>
        <v/>
      </c>
      <c r="AA686" s="51">
        <f>Z687*20%</f>
        <v/>
      </c>
      <c r="AB686" s="49">
        <f>Z687+AA687</f>
        <v/>
      </c>
      <c r="AC686" s="44">
        <f>D687*2.1</f>
        <v/>
      </c>
      <c r="AD686" s="49">
        <f>AB687-AC687</f>
        <v/>
      </c>
      <c r="AE686" s="49">
        <f>AD687/AB687*100</f>
        <v/>
      </c>
      <c r="AF686" s="113" t="n">
        <v>495</v>
      </c>
      <c r="AG686" s="116">
        <f>((AF687-L687)/L687)*100</f>
        <v/>
      </c>
      <c r="AH686" s="54">
        <f>AJ687-AF687</f>
        <v/>
      </c>
      <c r="AI686" s="54">
        <f>AB687*2.5</f>
        <v/>
      </c>
      <c r="AJ686" s="113" t="n">
        <v>495</v>
      </c>
      <c r="AK686" s="55">
        <f>(AJ687-L687)/L687*100</f>
        <v/>
      </c>
      <c r="AL686" s="55" t="n"/>
      <c r="AM686" s="55">
        <f>AH687/AJ687%</f>
        <v/>
      </c>
      <c r="AN686" s="55">
        <f>AK687-AG687</f>
        <v/>
      </c>
      <c r="AO686" s="56">
        <f>AJ687/L687</f>
        <v/>
      </c>
      <c r="AP686" s="55">
        <f>(AJ687-AB687)/100</f>
        <v/>
      </c>
      <c r="AQ686" s="55">
        <f>(AJ687-AC687)/100</f>
        <v/>
      </c>
      <c r="AR686" s="57">
        <f>AI687/94</f>
        <v/>
      </c>
      <c r="AS686" s="57">
        <f>AJ687/94</f>
        <v/>
      </c>
      <c r="AT686" s="58">
        <f>AI687/24</f>
        <v/>
      </c>
      <c r="AU686" s="58">
        <f>AJ687/24</f>
        <v/>
      </c>
      <c r="AV686" s="58">
        <f>AI687/125</f>
        <v/>
      </c>
      <c r="AW686" s="58">
        <f>AJ687/125</f>
        <v/>
      </c>
      <c r="AX686" s="113" t="n"/>
      <c r="AY686" s="113" t="n"/>
    </row>
    <row r="687" ht="15.75" customHeight="1" s="258">
      <c r="A687" s="44" t="n"/>
      <c r="B687" s="44" t="inlineStr">
        <is>
          <t>Red / 20 cms</t>
        </is>
      </c>
      <c r="C687" s="44" t="inlineStr">
        <is>
          <t>MI-SB-C-R-20</t>
        </is>
      </c>
      <c r="D687" s="45" t="n">
        <v>80</v>
      </c>
      <c r="E687" s="44" t="n">
        <v>0</v>
      </c>
      <c r="F687" s="44" t="n">
        <v>40</v>
      </c>
      <c r="G687" s="45" t="n">
        <v>940490099</v>
      </c>
      <c r="H687" s="115" t="n">
        <v>0.05</v>
      </c>
      <c r="I687" s="44">
        <f>D688*H688</f>
        <v/>
      </c>
      <c r="J687" s="113" t="n"/>
      <c r="K687" s="44" t="n">
        <v>20</v>
      </c>
      <c r="L687" s="48">
        <f>K688+J688+I688+F688+E688+D688</f>
        <v/>
      </c>
      <c r="M687" s="44">
        <f>D688*1%</f>
        <v/>
      </c>
      <c r="N687" s="49">
        <f>L688*8%</f>
        <v/>
      </c>
      <c r="O687" s="49">
        <f>L688*10%</f>
        <v/>
      </c>
      <c r="P687" s="49">
        <f>L688*5%</f>
        <v/>
      </c>
      <c r="Q687" s="49">
        <f>L688*2%</f>
        <v/>
      </c>
      <c r="R687" s="49">
        <f>AC688*0.5%</f>
        <v/>
      </c>
      <c r="S687" s="49">
        <f>L688*1%</f>
        <v/>
      </c>
      <c r="T687" s="50">
        <f>S688+Q688+P688+O688+N688+M688</f>
        <v/>
      </c>
      <c r="U687" s="44">
        <f>AC688*1%</f>
        <v/>
      </c>
      <c r="V687" s="44">
        <f>AC688*5%</f>
        <v/>
      </c>
      <c r="W687" s="44">
        <f>AC688*1%</f>
        <v/>
      </c>
      <c r="X687" s="44">
        <f>AC688*8%</f>
        <v/>
      </c>
      <c r="Y687" s="44">
        <f>U688+V688+W688+X688</f>
        <v/>
      </c>
      <c r="Z687" s="50">
        <f>Y688+T688+L688</f>
        <v/>
      </c>
      <c r="AA687" s="51">
        <f>Z688*20%</f>
        <v/>
      </c>
      <c r="AB687" s="49">
        <f>Z688+AA688</f>
        <v/>
      </c>
      <c r="AC687" s="44">
        <f>D688*2.1</f>
        <v/>
      </c>
      <c r="AD687" s="49">
        <f>AB688-AC688</f>
        <v/>
      </c>
      <c r="AE687" s="49">
        <f>AD688/AB688*100</f>
        <v/>
      </c>
      <c r="AF687" s="113" t="n">
        <v>495</v>
      </c>
      <c r="AG687" s="116">
        <f>((AF688-L688)/L688)*100</f>
        <v/>
      </c>
      <c r="AH687" s="54">
        <f>AJ688-AF688</f>
        <v/>
      </c>
      <c r="AI687" s="54">
        <f>AB688*2.5</f>
        <v/>
      </c>
      <c r="AJ687" s="113" t="n">
        <v>495</v>
      </c>
      <c r="AK687" s="55">
        <f>(AJ688-L688)/L688*100</f>
        <v/>
      </c>
      <c r="AL687" s="55" t="n"/>
      <c r="AM687" s="55">
        <f>AH688/AJ688%</f>
        <v/>
      </c>
      <c r="AN687" s="55">
        <f>AK688-AG688</f>
        <v/>
      </c>
      <c r="AO687" s="56">
        <f>AJ688/L688</f>
        <v/>
      </c>
      <c r="AP687" s="55">
        <f>(AJ688-AB688)/100</f>
        <v/>
      </c>
      <c r="AQ687" s="55">
        <f>(AJ688-AC688)/100</f>
        <v/>
      </c>
      <c r="AR687" s="57">
        <f>AI688/94</f>
        <v/>
      </c>
      <c r="AS687" s="57">
        <f>AJ688/94</f>
        <v/>
      </c>
      <c r="AT687" s="58">
        <f>AI688/24</f>
        <v/>
      </c>
      <c r="AU687" s="58">
        <f>AJ688/24</f>
        <v/>
      </c>
      <c r="AV687" s="58">
        <f>AI688/125</f>
        <v/>
      </c>
      <c r="AW687" s="58">
        <f>AJ688/125</f>
        <v/>
      </c>
      <c r="AX687" s="113" t="n"/>
      <c r="AY687" s="113" t="n"/>
    </row>
    <row r="688" ht="15.75" customHeight="1" s="258">
      <c r="A688" s="44" t="n"/>
      <c r="B688" s="44" t="inlineStr">
        <is>
          <t>20 cms / Pink</t>
        </is>
      </c>
      <c r="C688" s="44" t="inlineStr">
        <is>
          <t>MI-SB-C-PK-20</t>
        </is>
      </c>
      <c r="D688" s="45" t="n">
        <v>80</v>
      </c>
      <c r="E688" s="44" t="n">
        <v>0</v>
      </c>
      <c r="F688" s="44" t="n">
        <v>40</v>
      </c>
      <c r="G688" s="45" t="n">
        <v>940490099</v>
      </c>
      <c r="H688" s="115" t="n">
        <v>0.05</v>
      </c>
      <c r="I688" s="44">
        <f>D689*H689</f>
        <v/>
      </c>
      <c r="J688" s="113" t="n"/>
      <c r="K688" s="44" t="n">
        <v>20</v>
      </c>
      <c r="L688" s="48">
        <f>K689+J689+I689+F689+E689+D689</f>
        <v/>
      </c>
      <c r="M688" s="44">
        <f>D689*1%</f>
        <v/>
      </c>
      <c r="N688" s="49">
        <f>L689*8%</f>
        <v/>
      </c>
      <c r="O688" s="49">
        <f>L689*10%</f>
        <v/>
      </c>
      <c r="P688" s="49">
        <f>L689*5%</f>
        <v/>
      </c>
      <c r="Q688" s="49">
        <f>L689*2%</f>
        <v/>
      </c>
      <c r="R688" s="49">
        <f>AC689*0.5%</f>
        <v/>
      </c>
      <c r="S688" s="49">
        <f>L689*1%</f>
        <v/>
      </c>
      <c r="T688" s="50">
        <f>S689+Q689+P689+O689+N689+M689</f>
        <v/>
      </c>
      <c r="U688" s="44">
        <f>AC689*1%</f>
        <v/>
      </c>
      <c r="V688" s="44">
        <f>AC689*5%</f>
        <v/>
      </c>
      <c r="W688" s="44">
        <f>AC689*1%</f>
        <v/>
      </c>
      <c r="X688" s="44">
        <f>AC689*8%</f>
        <v/>
      </c>
      <c r="Y688" s="44">
        <f>U689+V689+W689+X689</f>
        <v/>
      </c>
      <c r="Z688" s="50">
        <f>Y689+T689+L689</f>
        <v/>
      </c>
      <c r="AA688" s="51">
        <f>Z689*20%</f>
        <v/>
      </c>
      <c r="AB688" s="49">
        <f>Z689+AA689</f>
        <v/>
      </c>
      <c r="AC688" s="44">
        <f>D689*2.1</f>
        <v/>
      </c>
      <c r="AD688" s="49">
        <f>AB689-AC689</f>
        <v/>
      </c>
      <c r="AE688" s="49">
        <f>AD689/AB689*100</f>
        <v/>
      </c>
      <c r="AF688" s="113" t="n">
        <v>495</v>
      </c>
      <c r="AG688" s="116">
        <f>((AF689-L689)/L689)*100</f>
        <v/>
      </c>
      <c r="AH688" s="54">
        <f>AJ689-AF689</f>
        <v/>
      </c>
      <c r="AI688" s="54">
        <f>AB689*2.5</f>
        <v/>
      </c>
      <c r="AJ688" s="113" t="n">
        <v>495</v>
      </c>
      <c r="AK688" s="55">
        <f>(AJ689-L689)/L689*100</f>
        <v/>
      </c>
      <c r="AL688" s="55" t="n"/>
      <c r="AM688" s="55">
        <f>AH689/AJ689%</f>
        <v/>
      </c>
      <c r="AN688" s="55">
        <f>AK689-AG689</f>
        <v/>
      </c>
      <c r="AO688" s="56">
        <f>AJ689/L689</f>
        <v/>
      </c>
      <c r="AP688" s="55">
        <f>(AJ689-AB689)/100</f>
        <v/>
      </c>
      <c r="AQ688" s="55">
        <f>(AJ689-AC689)/100</f>
        <v/>
      </c>
      <c r="AR688" s="57">
        <f>AI689/94</f>
        <v/>
      </c>
      <c r="AS688" s="57">
        <f>AJ689/94</f>
        <v/>
      </c>
      <c r="AT688" s="58">
        <f>AI689/24</f>
        <v/>
      </c>
      <c r="AU688" s="58">
        <f>AJ689/24</f>
        <v/>
      </c>
      <c r="AV688" s="58">
        <f>AI689/125</f>
        <v/>
      </c>
      <c r="AW688" s="58">
        <f>AJ689/125</f>
        <v/>
      </c>
      <c r="AX688" s="113" t="n"/>
      <c r="AY688" s="113" t="n"/>
    </row>
    <row r="689" ht="15.75" customHeight="1" s="258">
      <c r="A689" s="44" t="n"/>
      <c r="B689" s="44" t="inlineStr">
        <is>
          <t>22 cms / Blue</t>
        </is>
      </c>
      <c r="C689" s="44" t="inlineStr">
        <is>
          <t>MI-SB-C-B-22</t>
        </is>
      </c>
      <c r="D689" s="45" t="n">
        <v>90</v>
      </c>
      <c r="E689" s="44" t="n">
        <v>0</v>
      </c>
      <c r="F689" s="44" t="n">
        <v>40</v>
      </c>
      <c r="G689" s="45" t="n">
        <v>940490099</v>
      </c>
      <c r="H689" s="115" t="n">
        <v>0.05</v>
      </c>
      <c r="I689" s="44">
        <f>D690*H690</f>
        <v/>
      </c>
      <c r="J689" s="113" t="n"/>
      <c r="K689" s="44" t="n">
        <v>20</v>
      </c>
      <c r="L689" s="48">
        <f>K690+J690+I690+F690+E690+D690</f>
        <v/>
      </c>
      <c r="M689" s="44">
        <f>D690*1%</f>
        <v/>
      </c>
      <c r="N689" s="49">
        <f>L690*8%</f>
        <v/>
      </c>
      <c r="O689" s="49">
        <f>L690*10%</f>
        <v/>
      </c>
      <c r="P689" s="49">
        <f>L690*5%</f>
        <v/>
      </c>
      <c r="Q689" s="49">
        <f>L690*2%</f>
        <v/>
      </c>
      <c r="R689" s="49">
        <f>AC690*0.5%</f>
        <v/>
      </c>
      <c r="S689" s="49">
        <f>L690*1%</f>
        <v/>
      </c>
      <c r="T689" s="50">
        <f>S690+Q690+P690+O690+N690+M690</f>
        <v/>
      </c>
      <c r="U689" s="44">
        <f>AC690*1%</f>
        <v/>
      </c>
      <c r="V689" s="44">
        <f>AC690*5%</f>
        <v/>
      </c>
      <c r="W689" s="44">
        <f>AC690*1%</f>
        <v/>
      </c>
      <c r="X689" s="44">
        <f>AC690*8%</f>
        <v/>
      </c>
      <c r="Y689" s="44">
        <f>U690+V690+W690+X690</f>
        <v/>
      </c>
      <c r="Z689" s="50">
        <f>Y690+T690+L690</f>
        <v/>
      </c>
      <c r="AA689" s="51">
        <f>Z690*20%</f>
        <v/>
      </c>
      <c r="AB689" s="49">
        <f>Z690+AA690</f>
        <v/>
      </c>
      <c r="AC689" s="44">
        <f>D690*2.1</f>
        <v/>
      </c>
      <c r="AD689" s="49">
        <f>AB690-AC690</f>
        <v/>
      </c>
      <c r="AE689" s="49">
        <f>AD690/AB690*100</f>
        <v/>
      </c>
      <c r="AF689" s="113" t="n">
        <v>595</v>
      </c>
      <c r="AG689" s="116">
        <f>((AF690-L690)/L690)*100</f>
        <v/>
      </c>
      <c r="AH689" s="54">
        <f>AJ690-AF690</f>
        <v/>
      </c>
      <c r="AI689" s="54">
        <f>AB690*2.5</f>
        <v/>
      </c>
      <c r="AJ689" s="113" t="n">
        <v>595</v>
      </c>
      <c r="AK689" s="55">
        <f>(AJ690-L690)/L690*100</f>
        <v/>
      </c>
      <c r="AL689" s="55" t="n"/>
      <c r="AM689" s="55">
        <f>AH690/AJ690%</f>
        <v/>
      </c>
      <c r="AN689" s="55">
        <f>AK690-AG690</f>
        <v/>
      </c>
      <c r="AO689" s="56">
        <f>AJ690/L690</f>
        <v/>
      </c>
      <c r="AP689" s="55">
        <f>(AJ690-AB690)/100</f>
        <v/>
      </c>
      <c r="AQ689" s="55">
        <f>(AJ690-AC690)/100</f>
        <v/>
      </c>
      <c r="AR689" s="57">
        <f>AI690/94</f>
        <v/>
      </c>
      <c r="AS689" s="57">
        <f>AJ690/94</f>
        <v/>
      </c>
      <c r="AT689" s="58">
        <f>AI690/24</f>
        <v/>
      </c>
      <c r="AU689" s="58">
        <f>AJ690/24</f>
        <v/>
      </c>
      <c r="AV689" s="58">
        <f>AI690/125</f>
        <v/>
      </c>
      <c r="AW689" s="58">
        <f>AJ690/125</f>
        <v/>
      </c>
      <c r="AX689" s="113" t="n"/>
      <c r="AY689" s="113" t="n"/>
    </row>
    <row r="690" ht="15.75" customHeight="1" s="258">
      <c r="A690" s="44" t="n"/>
      <c r="B690" s="44" t="inlineStr">
        <is>
          <t>Black / 22 cms</t>
        </is>
      </c>
      <c r="C690" s="44" t="inlineStr">
        <is>
          <t>MI-SB-C-BK-22</t>
        </is>
      </c>
      <c r="D690" s="45" t="n">
        <v>90</v>
      </c>
      <c r="E690" s="44" t="n">
        <v>0</v>
      </c>
      <c r="F690" s="44" t="n">
        <v>40</v>
      </c>
      <c r="G690" s="45" t="n">
        <v>940490099</v>
      </c>
      <c r="H690" s="115" t="n">
        <v>0.05</v>
      </c>
      <c r="I690" s="44">
        <f>D691*H691</f>
        <v/>
      </c>
      <c r="J690" s="113" t="n"/>
      <c r="K690" s="44" t="n">
        <v>20</v>
      </c>
      <c r="L690" s="48">
        <f>K691+J691+I691+F691+E691+D691</f>
        <v/>
      </c>
      <c r="M690" s="44">
        <f>D691*1%</f>
        <v/>
      </c>
      <c r="N690" s="49">
        <f>L691*8%</f>
        <v/>
      </c>
      <c r="O690" s="49">
        <f>L691*10%</f>
        <v/>
      </c>
      <c r="P690" s="49">
        <f>L691*5%</f>
        <v/>
      </c>
      <c r="Q690" s="49">
        <f>L691*2%</f>
        <v/>
      </c>
      <c r="R690" s="49">
        <f>AC691*0.5%</f>
        <v/>
      </c>
      <c r="S690" s="49">
        <f>L691*1%</f>
        <v/>
      </c>
      <c r="T690" s="50">
        <f>S691+Q691+P691+O691+N691+M691</f>
        <v/>
      </c>
      <c r="U690" s="44">
        <f>AC691*1%</f>
        <v/>
      </c>
      <c r="V690" s="44">
        <f>AC691*5%</f>
        <v/>
      </c>
      <c r="W690" s="44">
        <f>AC691*1%</f>
        <v/>
      </c>
      <c r="X690" s="44">
        <f>AC691*8%</f>
        <v/>
      </c>
      <c r="Y690" s="44">
        <f>U691+V691+W691+X691</f>
        <v/>
      </c>
      <c r="Z690" s="50">
        <f>Y691+T691+L691</f>
        <v/>
      </c>
      <c r="AA690" s="51">
        <f>Z691*20%</f>
        <v/>
      </c>
      <c r="AB690" s="49">
        <f>Z691+AA691</f>
        <v/>
      </c>
      <c r="AC690" s="44">
        <f>D691*2.1</f>
        <v/>
      </c>
      <c r="AD690" s="49">
        <f>AB691-AC691</f>
        <v/>
      </c>
      <c r="AE690" s="49">
        <f>AD691/AB691*100</f>
        <v/>
      </c>
      <c r="AF690" s="113" t="n">
        <v>595</v>
      </c>
      <c r="AG690" s="116">
        <f>((AF691-L691)/L691)*100</f>
        <v/>
      </c>
      <c r="AH690" s="54">
        <f>AJ691-AF691</f>
        <v/>
      </c>
      <c r="AI690" s="54">
        <f>AB691*2.5</f>
        <v/>
      </c>
      <c r="AJ690" s="113" t="n">
        <v>595</v>
      </c>
      <c r="AK690" s="55">
        <f>(AJ691-L691)/L691*100</f>
        <v/>
      </c>
      <c r="AL690" s="55" t="n"/>
      <c r="AM690" s="55">
        <f>AH691/AJ691%</f>
        <v/>
      </c>
      <c r="AN690" s="55">
        <f>AK691-AG691</f>
        <v/>
      </c>
      <c r="AO690" s="56">
        <f>AJ691/L691</f>
        <v/>
      </c>
      <c r="AP690" s="55">
        <f>(AJ691-AB691)/100</f>
        <v/>
      </c>
      <c r="AQ690" s="55">
        <f>(AJ691-AC691)/100</f>
        <v/>
      </c>
      <c r="AR690" s="57">
        <f>AI691/94</f>
        <v/>
      </c>
      <c r="AS690" s="57">
        <f>AJ691/94</f>
        <v/>
      </c>
      <c r="AT690" s="58">
        <f>AI691/24</f>
        <v/>
      </c>
      <c r="AU690" s="58">
        <f>AJ691/24</f>
        <v/>
      </c>
      <c r="AV690" s="58">
        <f>AI691/125</f>
        <v/>
      </c>
      <c r="AW690" s="58">
        <f>AJ691/125</f>
        <v/>
      </c>
      <c r="AX690" s="113" t="n"/>
      <c r="AY690" s="113" t="n"/>
    </row>
    <row r="691" ht="15.75" customHeight="1" s="258">
      <c r="A691" s="44" t="n"/>
      <c r="B691" s="44" t="inlineStr">
        <is>
          <t>Brown / 22 cms</t>
        </is>
      </c>
      <c r="C691" s="44" t="inlineStr">
        <is>
          <t>MI-SB-C-Bn-22</t>
        </is>
      </c>
      <c r="D691" s="45" t="n">
        <v>90</v>
      </c>
      <c r="E691" s="44" t="n">
        <v>0</v>
      </c>
      <c r="F691" s="44" t="n">
        <v>40</v>
      </c>
      <c r="G691" s="45" t="n">
        <v>940490099</v>
      </c>
      <c r="H691" s="115" t="n">
        <v>0.05</v>
      </c>
      <c r="I691" s="44">
        <f>D692*H692</f>
        <v/>
      </c>
      <c r="J691" s="113" t="n"/>
      <c r="K691" s="44" t="n">
        <v>20</v>
      </c>
      <c r="L691" s="48">
        <f>K692+J692+I692+F692+E692+D692</f>
        <v/>
      </c>
      <c r="M691" s="44">
        <f>D692*1%</f>
        <v/>
      </c>
      <c r="N691" s="49">
        <f>L692*8%</f>
        <v/>
      </c>
      <c r="O691" s="49">
        <f>L692*10%</f>
        <v/>
      </c>
      <c r="P691" s="49">
        <f>L692*5%</f>
        <v/>
      </c>
      <c r="Q691" s="49">
        <f>L692*2%</f>
        <v/>
      </c>
      <c r="R691" s="49">
        <f>AC692*0.5%</f>
        <v/>
      </c>
      <c r="S691" s="49">
        <f>L692*1%</f>
        <v/>
      </c>
      <c r="T691" s="50">
        <f>S692+Q692+P692+O692+N692+M692</f>
        <v/>
      </c>
      <c r="U691" s="44">
        <f>AC692*1%</f>
        <v/>
      </c>
      <c r="V691" s="44">
        <f>AC692*5%</f>
        <v/>
      </c>
      <c r="W691" s="44">
        <f>AC692*1%</f>
        <v/>
      </c>
      <c r="X691" s="44">
        <f>AC692*8%</f>
        <v/>
      </c>
      <c r="Y691" s="44">
        <f>U692+V692+W692+X692</f>
        <v/>
      </c>
      <c r="Z691" s="50">
        <f>Y692+T692+L692</f>
        <v/>
      </c>
      <c r="AA691" s="51">
        <f>Z692*20%</f>
        <v/>
      </c>
      <c r="AB691" s="49">
        <f>Z692+AA692</f>
        <v/>
      </c>
      <c r="AC691" s="44">
        <f>D692*2.1</f>
        <v/>
      </c>
      <c r="AD691" s="49">
        <f>AB692-AC692</f>
        <v/>
      </c>
      <c r="AE691" s="49">
        <f>AD692/AB692*100</f>
        <v/>
      </c>
      <c r="AF691" s="113" t="n">
        <v>595</v>
      </c>
      <c r="AG691" s="116">
        <f>((AF692-L692)/L692)*100</f>
        <v/>
      </c>
      <c r="AH691" s="54">
        <f>AJ692-AF692</f>
        <v/>
      </c>
      <c r="AI691" s="54">
        <f>AB692*2.5</f>
        <v/>
      </c>
      <c r="AJ691" s="113" t="n">
        <v>595</v>
      </c>
      <c r="AK691" s="55">
        <f>(AJ692-L692)/L692*100</f>
        <v/>
      </c>
      <c r="AL691" s="55" t="n"/>
      <c r="AM691" s="55">
        <f>AH692/AJ692%</f>
        <v/>
      </c>
      <c r="AN691" s="55">
        <f>AK692-AG692</f>
        <v/>
      </c>
      <c r="AO691" s="56">
        <f>AJ692/L692</f>
        <v/>
      </c>
      <c r="AP691" s="55">
        <f>(AJ692-AB692)/100</f>
        <v/>
      </c>
      <c r="AQ691" s="55">
        <f>(AJ692-AC692)/100</f>
        <v/>
      </c>
      <c r="AR691" s="57">
        <f>AI692/94</f>
        <v/>
      </c>
      <c r="AS691" s="57">
        <f>AJ692/94</f>
        <v/>
      </c>
      <c r="AT691" s="58">
        <f>AI692/24</f>
        <v/>
      </c>
      <c r="AU691" s="58">
        <f>AJ692/24</f>
        <v/>
      </c>
      <c r="AV691" s="58">
        <f>AI692/125</f>
        <v/>
      </c>
      <c r="AW691" s="58">
        <f>AJ692/125</f>
        <v/>
      </c>
      <c r="AX691" s="113" t="n"/>
      <c r="AY691" s="113" t="n"/>
    </row>
    <row r="692" ht="15.75" customHeight="1" s="258">
      <c r="A692" s="44" t="n"/>
      <c r="B692" s="44" t="inlineStr">
        <is>
          <t>22 cms / Green</t>
        </is>
      </c>
      <c r="C692" s="44" t="inlineStr">
        <is>
          <t>MI-SB-C-G-22</t>
        </is>
      </c>
      <c r="D692" s="45" t="n">
        <v>90</v>
      </c>
      <c r="E692" s="44" t="n">
        <v>0</v>
      </c>
      <c r="F692" s="44" t="n">
        <v>40</v>
      </c>
      <c r="G692" s="45" t="n">
        <v>940490099</v>
      </c>
      <c r="H692" s="115" t="n">
        <v>0.05</v>
      </c>
      <c r="I692" s="44">
        <f>D693*H693</f>
        <v/>
      </c>
      <c r="J692" s="113" t="n"/>
      <c r="K692" s="44" t="n">
        <v>20</v>
      </c>
      <c r="L692" s="48">
        <f>K693+J693+I693+F693+E693+D693</f>
        <v/>
      </c>
      <c r="M692" s="44">
        <f>D693*1%</f>
        <v/>
      </c>
      <c r="N692" s="49">
        <f>L693*8%</f>
        <v/>
      </c>
      <c r="O692" s="49">
        <f>L693*10%</f>
        <v/>
      </c>
      <c r="P692" s="49">
        <f>L693*5%</f>
        <v/>
      </c>
      <c r="Q692" s="49">
        <f>L693*2%</f>
        <v/>
      </c>
      <c r="R692" s="49">
        <f>AC693*0.5%</f>
        <v/>
      </c>
      <c r="S692" s="49">
        <f>L693*1%</f>
        <v/>
      </c>
      <c r="T692" s="50">
        <f>S693+Q693+P693+O693+N693+M693</f>
        <v/>
      </c>
      <c r="U692" s="44">
        <f>AC693*1%</f>
        <v/>
      </c>
      <c r="V692" s="44">
        <f>AC693*5%</f>
        <v/>
      </c>
      <c r="W692" s="44">
        <f>AC693*1%</f>
        <v/>
      </c>
      <c r="X692" s="44">
        <f>AC693*8%</f>
        <v/>
      </c>
      <c r="Y692" s="44">
        <f>U693+V693+W693+X693</f>
        <v/>
      </c>
      <c r="Z692" s="50">
        <f>Y693+T693+L693</f>
        <v/>
      </c>
      <c r="AA692" s="51">
        <f>Z693*20%</f>
        <v/>
      </c>
      <c r="AB692" s="49">
        <f>Z693+AA693</f>
        <v/>
      </c>
      <c r="AC692" s="44">
        <f>D693*2.1</f>
        <v/>
      </c>
      <c r="AD692" s="49">
        <f>AB693-AC693</f>
        <v/>
      </c>
      <c r="AE692" s="49">
        <f>AD693/AB693*100</f>
        <v/>
      </c>
      <c r="AF692" s="113" t="n">
        <v>595</v>
      </c>
      <c r="AG692" s="116">
        <f>((AF693-L693)/L693)*100</f>
        <v/>
      </c>
      <c r="AH692" s="54">
        <f>AJ693-AF693</f>
        <v/>
      </c>
      <c r="AI692" s="54">
        <f>AB693*2.5</f>
        <v/>
      </c>
      <c r="AJ692" s="113" t="n">
        <v>595</v>
      </c>
      <c r="AK692" s="55">
        <f>(AJ693-L693)/L693*100</f>
        <v/>
      </c>
      <c r="AL692" s="55" t="n"/>
      <c r="AM692" s="55">
        <f>AH693/AJ693%</f>
        <v/>
      </c>
      <c r="AN692" s="55">
        <f>AK693-AG693</f>
        <v/>
      </c>
      <c r="AO692" s="56">
        <f>AJ693/L693</f>
        <v/>
      </c>
      <c r="AP692" s="55">
        <f>(AJ693-AB693)/100</f>
        <v/>
      </c>
      <c r="AQ692" s="55">
        <f>(AJ693-AC693)/100</f>
        <v/>
      </c>
      <c r="AR692" s="57">
        <f>AI693/94</f>
        <v/>
      </c>
      <c r="AS692" s="57">
        <f>AJ693/94</f>
        <v/>
      </c>
      <c r="AT692" s="58">
        <f>AI693/24</f>
        <v/>
      </c>
      <c r="AU692" s="58">
        <f>AJ693/24</f>
        <v/>
      </c>
      <c r="AV692" s="58">
        <f>AI693/125</f>
        <v/>
      </c>
      <c r="AW692" s="58">
        <f>AJ693/125</f>
        <v/>
      </c>
      <c r="AX692" s="113" t="n"/>
      <c r="AY692" s="113" t="n"/>
    </row>
    <row r="693" ht="15.75" customHeight="1" s="258">
      <c r="A693" s="44" t="n"/>
      <c r="B693" s="44" t="inlineStr">
        <is>
          <t>22 cms / Navy Blue</t>
        </is>
      </c>
      <c r="C693" s="44" t="inlineStr">
        <is>
          <t>MI-SB-C-NB-22</t>
        </is>
      </c>
      <c r="D693" s="45" t="n">
        <v>90</v>
      </c>
      <c r="E693" s="44" t="n">
        <v>0</v>
      </c>
      <c r="F693" s="44" t="n">
        <v>40</v>
      </c>
      <c r="G693" s="45" t="n">
        <v>940490099</v>
      </c>
      <c r="H693" s="115" t="n">
        <v>0.05</v>
      </c>
      <c r="I693" s="44">
        <f>D694*H694</f>
        <v/>
      </c>
      <c r="J693" s="113" t="n"/>
      <c r="K693" s="44" t="n">
        <v>20</v>
      </c>
      <c r="L693" s="48">
        <f>K694+J694+I694+F694+E694+D694</f>
        <v/>
      </c>
      <c r="M693" s="44">
        <f>D694*1%</f>
        <v/>
      </c>
      <c r="N693" s="49">
        <f>L694*8%</f>
        <v/>
      </c>
      <c r="O693" s="49">
        <f>L694*10%</f>
        <v/>
      </c>
      <c r="P693" s="49">
        <f>L694*5%</f>
        <v/>
      </c>
      <c r="Q693" s="49">
        <f>L694*2%</f>
        <v/>
      </c>
      <c r="R693" s="49">
        <f>AC694*0.5%</f>
        <v/>
      </c>
      <c r="S693" s="49">
        <f>L694*1%</f>
        <v/>
      </c>
      <c r="T693" s="50">
        <f>S694+Q694+P694+O694+N694+M694</f>
        <v/>
      </c>
      <c r="U693" s="44">
        <f>AC694*1%</f>
        <v/>
      </c>
      <c r="V693" s="44">
        <f>AC694*5%</f>
        <v/>
      </c>
      <c r="W693" s="44">
        <f>AC694*1%</f>
        <v/>
      </c>
      <c r="X693" s="44">
        <f>AC694*8%</f>
        <v/>
      </c>
      <c r="Y693" s="44">
        <f>U694+V694+W694+X694</f>
        <v/>
      </c>
      <c r="Z693" s="50">
        <f>Y694+T694+L694</f>
        <v/>
      </c>
      <c r="AA693" s="51">
        <f>Z694*20%</f>
        <v/>
      </c>
      <c r="AB693" s="49">
        <f>Z694+AA694</f>
        <v/>
      </c>
      <c r="AC693" s="44">
        <f>D694*2.1</f>
        <v/>
      </c>
      <c r="AD693" s="49">
        <f>AB694-AC694</f>
        <v/>
      </c>
      <c r="AE693" s="49">
        <f>AD694/AB694*100</f>
        <v/>
      </c>
      <c r="AF693" s="113" t="n">
        <v>595</v>
      </c>
      <c r="AG693" s="116">
        <f>((AF694-L694)/L694)*100</f>
        <v/>
      </c>
      <c r="AH693" s="54">
        <f>AJ694-AF694</f>
        <v/>
      </c>
      <c r="AI693" s="54">
        <f>AB694*2.5</f>
        <v/>
      </c>
      <c r="AJ693" s="113" t="n">
        <v>595</v>
      </c>
      <c r="AK693" s="55">
        <f>(AJ694-L694)/L694*100</f>
        <v/>
      </c>
      <c r="AL693" s="55" t="n"/>
      <c r="AM693" s="55">
        <f>AH694/AJ694%</f>
        <v/>
      </c>
      <c r="AN693" s="55">
        <f>AK694-AG694</f>
        <v/>
      </c>
      <c r="AO693" s="56">
        <f>AJ694/L694</f>
        <v/>
      </c>
      <c r="AP693" s="55">
        <f>(AJ694-AB694)/100</f>
        <v/>
      </c>
      <c r="AQ693" s="55">
        <f>(AJ694-AC694)/100</f>
        <v/>
      </c>
      <c r="AR693" s="57">
        <f>AI694/94</f>
        <v/>
      </c>
      <c r="AS693" s="57">
        <f>AJ694/94</f>
        <v/>
      </c>
      <c r="AT693" s="58">
        <f>AI694/24</f>
        <v/>
      </c>
      <c r="AU693" s="58">
        <f>AJ694/24</f>
        <v/>
      </c>
      <c r="AV693" s="58">
        <f>AI694/125</f>
        <v/>
      </c>
      <c r="AW693" s="58">
        <f>AJ694/125</f>
        <v/>
      </c>
      <c r="AX693" s="113" t="n"/>
      <c r="AY693" s="113" t="n"/>
    </row>
    <row r="694" ht="15.75" customHeight="1" s="258">
      <c r="A694" s="44" t="n"/>
      <c r="B694" s="44" t="inlineStr">
        <is>
          <t>Orange / 22 cms</t>
        </is>
      </c>
      <c r="C694" s="44" t="inlineStr">
        <is>
          <t>MI-SB-C-O-22</t>
        </is>
      </c>
      <c r="D694" s="45" t="n">
        <v>90</v>
      </c>
      <c r="E694" s="44" t="n">
        <v>0</v>
      </c>
      <c r="F694" s="44" t="n">
        <v>40</v>
      </c>
      <c r="G694" s="45" t="n">
        <v>940490099</v>
      </c>
      <c r="H694" s="115" t="n">
        <v>0.05</v>
      </c>
      <c r="I694" s="44">
        <f>D695*H695</f>
        <v/>
      </c>
      <c r="J694" s="113" t="n"/>
      <c r="K694" s="44" t="n">
        <v>20</v>
      </c>
      <c r="L694" s="48">
        <f>K695+J695+I695+F695+E695+D695</f>
        <v/>
      </c>
      <c r="M694" s="44">
        <f>D695*1%</f>
        <v/>
      </c>
      <c r="N694" s="49">
        <f>L695*8%</f>
        <v/>
      </c>
      <c r="O694" s="49">
        <f>L695*10%</f>
        <v/>
      </c>
      <c r="P694" s="49">
        <f>L695*5%</f>
        <v/>
      </c>
      <c r="Q694" s="49">
        <f>L695*2%</f>
        <v/>
      </c>
      <c r="R694" s="49">
        <f>AC695*0.5%</f>
        <v/>
      </c>
      <c r="S694" s="49">
        <f>L695*1%</f>
        <v/>
      </c>
      <c r="T694" s="50">
        <f>S695+Q695+P695+O695+N695+M695</f>
        <v/>
      </c>
      <c r="U694" s="44">
        <f>AC695*1%</f>
        <v/>
      </c>
      <c r="V694" s="44">
        <f>AC695*5%</f>
        <v/>
      </c>
      <c r="W694" s="44">
        <f>AC695*1%</f>
        <v/>
      </c>
      <c r="X694" s="44">
        <f>AC695*8%</f>
        <v/>
      </c>
      <c r="Y694" s="44">
        <f>U695+V695+W695+X695</f>
        <v/>
      </c>
      <c r="Z694" s="50">
        <f>Y695+T695+L695</f>
        <v/>
      </c>
      <c r="AA694" s="51">
        <f>Z695*20%</f>
        <v/>
      </c>
      <c r="AB694" s="49">
        <f>Z695+AA695</f>
        <v/>
      </c>
      <c r="AC694" s="44">
        <f>D695*2.1</f>
        <v/>
      </c>
      <c r="AD694" s="49">
        <f>AB695-AC695</f>
        <v/>
      </c>
      <c r="AE694" s="49">
        <f>AD695/AB695*100</f>
        <v/>
      </c>
      <c r="AF694" s="113" t="n">
        <v>595</v>
      </c>
      <c r="AG694" s="116">
        <f>((AF695-L695)/L695)*100</f>
        <v/>
      </c>
      <c r="AH694" s="54">
        <f>AJ695-AF695</f>
        <v/>
      </c>
      <c r="AI694" s="54">
        <f>AB695*2.5</f>
        <v/>
      </c>
      <c r="AJ694" s="113" t="n">
        <v>595</v>
      </c>
      <c r="AK694" s="55">
        <f>(AJ695-L695)/L695*100</f>
        <v/>
      </c>
      <c r="AL694" s="55" t="n"/>
      <c r="AM694" s="55">
        <f>AH695/AJ695%</f>
        <v/>
      </c>
      <c r="AN694" s="55">
        <f>AK695-AG695</f>
        <v/>
      </c>
      <c r="AO694" s="56">
        <f>AJ695/L695</f>
        <v/>
      </c>
      <c r="AP694" s="55">
        <f>(AJ695-AB695)/100</f>
        <v/>
      </c>
      <c r="AQ694" s="55">
        <f>(AJ695-AC695)/100</f>
        <v/>
      </c>
      <c r="AR694" s="57">
        <f>AI695/94</f>
        <v/>
      </c>
      <c r="AS694" s="57">
        <f>AJ695/94</f>
        <v/>
      </c>
      <c r="AT694" s="58">
        <f>AI695/24</f>
        <v/>
      </c>
      <c r="AU694" s="58">
        <f>AJ695/24</f>
        <v/>
      </c>
      <c r="AV694" s="58">
        <f>AI695/125</f>
        <v/>
      </c>
      <c r="AW694" s="58">
        <f>AJ695/125</f>
        <v/>
      </c>
      <c r="AX694" s="113" t="n"/>
      <c r="AY694" s="113" t="n"/>
    </row>
    <row r="695" ht="15.75" customHeight="1" s="258">
      <c r="A695" s="44" t="n"/>
      <c r="B695" s="44" t="inlineStr">
        <is>
          <t>22 cms / Pink</t>
        </is>
      </c>
      <c r="C695" s="44" t="inlineStr">
        <is>
          <t>MI-SB-C-PK-22</t>
        </is>
      </c>
      <c r="D695" s="45" t="n">
        <v>90</v>
      </c>
      <c r="E695" s="44" t="n">
        <v>0</v>
      </c>
      <c r="F695" s="44" t="n">
        <v>40</v>
      </c>
      <c r="G695" s="45" t="n">
        <v>940490099</v>
      </c>
      <c r="H695" s="115" t="n">
        <v>0.05</v>
      </c>
      <c r="I695" s="44">
        <f>D696*H696</f>
        <v/>
      </c>
      <c r="J695" s="113" t="n"/>
      <c r="K695" s="44" t="n">
        <v>20</v>
      </c>
      <c r="L695" s="48">
        <f>K696+J696+I696+F696+E696+D696</f>
        <v/>
      </c>
      <c r="M695" s="44">
        <f>D696*1%</f>
        <v/>
      </c>
      <c r="N695" s="49">
        <f>L696*8%</f>
        <v/>
      </c>
      <c r="O695" s="49">
        <f>L696*10%</f>
        <v/>
      </c>
      <c r="P695" s="49">
        <f>L696*5%</f>
        <v/>
      </c>
      <c r="Q695" s="49">
        <f>L696*2%</f>
        <v/>
      </c>
      <c r="R695" s="49">
        <f>AC696*0.5%</f>
        <v/>
      </c>
      <c r="S695" s="49">
        <f>L696*1%</f>
        <v/>
      </c>
      <c r="T695" s="50">
        <f>S696+Q696+P696+O696+N696+M696</f>
        <v/>
      </c>
      <c r="U695" s="44">
        <f>AC696*1%</f>
        <v/>
      </c>
      <c r="V695" s="44">
        <f>AC696*5%</f>
        <v/>
      </c>
      <c r="W695" s="44">
        <f>AC696*1%</f>
        <v/>
      </c>
      <c r="X695" s="44">
        <f>AC696*8%</f>
        <v/>
      </c>
      <c r="Y695" s="44">
        <f>U696+V696+W696+X696</f>
        <v/>
      </c>
      <c r="Z695" s="50">
        <f>Y696+T696+L696</f>
        <v/>
      </c>
      <c r="AA695" s="51">
        <f>Z696*20%</f>
        <v/>
      </c>
      <c r="AB695" s="49">
        <f>Z696+AA696</f>
        <v/>
      </c>
      <c r="AC695" s="44">
        <f>D696*2.1</f>
        <v/>
      </c>
      <c r="AD695" s="49">
        <f>AB696-AC696</f>
        <v/>
      </c>
      <c r="AE695" s="49">
        <f>AD696/AB696*100</f>
        <v/>
      </c>
      <c r="AF695" s="113" t="n">
        <v>595</v>
      </c>
      <c r="AG695" s="116">
        <f>((AF696-L696)/L696)*100</f>
        <v/>
      </c>
      <c r="AH695" s="54">
        <f>AJ696-AF696</f>
        <v/>
      </c>
      <c r="AI695" s="54">
        <f>AB696*2.5</f>
        <v/>
      </c>
      <c r="AJ695" s="113" t="n">
        <v>595</v>
      </c>
      <c r="AK695" s="55">
        <f>(AJ696-L696)/L696*100</f>
        <v/>
      </c>
      <c r="AL695" s="55" t="n"/>
      <c r="AM695" s="55">
        <f>AH696/AJ696%</f>
        <v/>
      </c>
      <c r="AN695" s="55">
        <f>AK696-AG696</f>
        <v/>
      </c>
      <c r="AO695" s="56">
        <f>AJ696/L696</f>
        <v/>
      </c>
      <c r="AP695" s="55">
        <f>(AJ696-AB696)/100</f>
        <v/>
      </c>
      <c r="AQ695" s="55">
        <f>(AJ696-AC696)/100</f>
        <v/>
      </c>
      <c r="AR695" s="57">
        <f>AI696/94</f>
        <v/>
      </c>
      <c r="AS695" s="57">
        <f>AJ696/94</f>
        <v/>
      </c>
      <c r="AT695" s="58">
        <f>AI696/24</f>
        <v/>
      </c>
      <c r="AU695" s="58">
        <f>AJ696/24</f>
        <v/>
      </c>
      <c r="AV695" s="58">
        <f>AI696/125</f>
        <v/>
      </c>
      <c r="AW695" s="58">
        <f>AJ696/125</f>
        <v/>
      </c>
      <c r="AX695" s="113" t="n"/>
      <c r="AY695" s="113" t="n"/>
    </row>
    <row r="696" ht="15.75" customHeight="1" s="258">
      <c r="A696" s="44" t="n"/>
      <c r="B696" s="44" t="inlineStr">
        <is>
          <t>Red / 22 cms</t>
        </is>
      </c>
      <c r="C696" s="44" t="inlineStr">
        <is>
          <t>MI-SB-C-R-22</t>
        </is>
      </c>
      <c r="D696" s="45" t="n">
        <v>90</v>
      </c>
      <c r="E696" s="44" t="n">
        <v>0</v>
      </c>
      <c r="F696" s="44" t="n">
        <v>40</v>
      </c>
      <c r="G696" s="45" t="n">
        <v>940490099</v>
      </c>
      <c r="H696" s="115" t="n">
        <v>0.05</v>
      </c>
      <c r="I696" s="44">
        <f>D697*H697</f>
        <v/>
      </c>
      <c r="J696" s="113" t="n"/>
      <c r="K696" s="44" t="n">
        <v>20</v>
      </c>
      <c r="L696" s="48">
        <f>K697+J697+I697+F697+E697+D697</f>
        <v/>
      </c>
      <c r="M696" s="44">
        <f>D697*1%</f>
        <v/>
      </c>
      <c r="N696" s="49">
        <f>L697*8%</f>
        <v/>
      </c>
      <c r="O696" s="49">
        <f>L697*10%</f>
        <v/>
      </c>
      <c r="P696" s="49">
        <f>L697*5%</f>
        <v/>
      </c>
      <c r="Q696" s="49">
        <f>L697*2%</f>
        <v/>
      </c>
      <c r="R696" s="49">
        <f>AC697*0.5%</f>
        <v/>
      </c>
      <c r="S696" s="49">
        <f>L697*1%</f>
        <v/>
      </c>
      <c r="T696" s="50">
        <f>S697+Q697+P697+O697+N697+M697</f>
        <v/>
      </c>
      <c r="U696" s="44">
        <f>AC697*1%</f>
        <v/>
      </c>
      <c r="V696" s="44">
        <f>AC697*5%</f>
        <v/>
      </c>
      <c r="W696" s="44">
        <f>AC697*1%</f>
        <v/>
      </c>
      <c r="X696" s="44">
        <f>AC697*8%</f>
        <v/>
      </c>
      <c r="Y696" s="44">
        <f>U697+V697+W697+X697</f>
        <v/>
      </c>
      <c r="Z696" s="50">
        <f>Y697+T697+L697</f>
        <v/>
      </c>
      <c r="AA696" s="51">
        <f>Z697*20%</f>
        <v/>
      </c>
      <c r="AB696" s="49">
        <f>Z697+AA697</f>
        <v/>
      </c>
      <c r="AC696" s="44">
        <f>D697*2.1</f>
        <v/>
      </c>
      <c r="AD696" s="49">
        <f>AB697-AC697</f>
        <v/>
      </c>
      <c r="AE696" s="49">
        <f>AD697/AB697*100</f>
        <v/>
      </c>
      <c r="AF696" s="113" t="n">
        <v>595</v>
      </c>
      <c r="AG696" s="116">
        <f>((AF697-L697)/L697)*100</f>
        <v/>
      </c>
      <c r="AH696" s="54">
        <f>AJ697-AF697</f>
        <v/>
      </c>
      <c r="AI696" s="54">
        <f>AB697*2.5</f>
        <v/>
      </c>
      <c r="AJ696" s="113" t="n">
        <v>595</v>
      </c>
      <c r="AK696" s="55">
        <f>(AJ697-L697)/L697*100</f>
        <v/>
      </c>
      <c r="AL696" s="55" t="n"/>
      <c r="AM696" s="55">
        <f>AH697/AJ697%</f>
        <v/>
      </c>
      <c r="AN696" s="55">
        <f>AK697-AG697</f>
        <v/>
      </c>
      <c r="AO696" s="56">
        <f>AJ697/L697</f>
        <v/>
      </c>
      <c r="AP696" s="55">
        <f>(AJ697-AB697)/100</f>
        <v/>
      </c>
      <c r="AQ696" s="55">
        <f>(AJ697-AC697)/100</f>
        <v/>
      </c>
      <c r="AR696" s="57">
        <f>AI697/94</f>
        <v/>
      </c>
      <c r="AS696" s="57">
        <f>AJ697/94</f>
        <v/>
      </c>
      <c r="AT696" s="58">
        <f>AI697/24</f>
        <v/>
      </c>
      <c r="AU696" s="58">
        <f>AJ697/24</f>
        <v/>
      </c>
      <c r="AV696" s="58">
        <f>AI697/125</f>
        <v/>
      </c>
      <c r="AW696" s="58">
        <f>AJ697/125</f>
        <v/>
      </c>
      <c r="AX696" s="113" t="n"/>
      <c r="AY696" s="113" t="n"/>
    </row>
    <row r="697" ht="15.75" customHeight="1" s="258">
      <c r="A697" s="44" t="n"/>
      <c r="B697" s="44" t="inlineStr">
        <is>
          <t>Yellow / 22 cms</t>
        </is>
      </c>
      <c r="C697" s="44" t="inlineStr">
        <is>
          <t>MI-SB-C-Y-22</t>
        </is>
      </c>
      <c r="D697" s="45" t="n">
        <v>90</v>
      </c>
      <c r="E697" s="44" t="n">
        <v>0</v>
      </c>
      <c r="F697" s="44" t="n">
        <v>40</v>
      </c>
      <c r="G697" s="45" t="n">
        <v>940490099</v>
      </c>
      <c r="H697" s="115" t="n">
        <v>0.05</v>
      </c>
      <c r="I697" s="44">
        <f>D698*H698</f>
        <v/>
      </c>
      <c r="J697" s="113" t="n"/>
      <c r="K697" s="44" t="n">
        <v>20</v>
      </c>
      <c r="L697" s="48">
        <f>K698+J698+I698+F698+E698+D698</f>
        <v/>
      </c>
      <c r="M697" s="44">
        <f>D698*1%</f>
        <v/>
      </c>
      <c r="N697" s="49">
        <f>L698*8%</f>
        <v/>
      </c>
      <c r="O697" s="49">
        <f>L698*10%</f>
        <v/>
      </c>
      <c r="P697" s="49">
        <f>L698*5%</f>
        <v/>
      </c>
      <c r="Q697" s="49">
        <f>L698*2%</f>
        <v/>
      </c>
      <c r="R697" s="49">
        <f>AC698*0.5%</f>
        <v/>
      </c>
      <c r="S697" s="49">
        <f>L698*1%</f>
        <v/>
      </c>
      <c r="T697" s="50">
        <f>S698+Q698+P698+O698+N698+M698</f>
        <v/>
      </c>
      <c r="U697" s="44">
        <f>AC698*1%</f>
        <v/>
      </c>
      <c r="V697" s="44">
        <f>AC698*5%</f>
        <v/>
      </c>
      <c r="W697" s="44">
        <f>AC698*1%</f>
        <v/>
      </c>
      <c r="X697" s="44">
        <f>AC698*8%</f>
        <v/>
      </c>
      <c r="Y697" s="44">
        <f>U698+V698+W698+X698</f>
        <v/>
      </c>
      <c r="Z697" s="50">
        <f>Y698+T698+L698</f>
        <v/>
      </c>
      <c r="AA697" s="51">
        <f>Z698*20%</f>
        <v/>
      </c>
      <c r="AB697" s="49">
        <f>Z698+AA698</f>
        <v/>
      </c>
      <c r="AC697" s="44">
        <f>D698*2.1</f>
        <v/>
      </c>
      <c r="AD697" s="49">
        <f>AB698-AC698</f>
        <v/>
      </c>
      <c r="AE697" s="49">
        <f>AD698/AB698*100</f>
        <v/>
      </c>
      <c r="AF697" s="113" t="n">
        <v>595</v>
      </c>
      <c r="AG697" s="116">
        <f>((AF698-L698)/L698)*100</f>
        <v/>
      </c>
      <c r="AH697" s="54">
        <f>AJ698-AF698</f>
        <v/>
      </c>
      <c r="AI697" s="54">
        <f>AB698*2.5</f>
        <v/>
      </c>
      <c r="AJ697" s="113" t="n">
        <v>595</v>
      </c>
      <c r="AK697" s="55">
        <f>(AJ698-L698)/L698*100</f>
        <v/>
      </c>
      <c r="AL697" s="55" t="n"/>
      <c r="AM697" s="55">
        <f>AH698/AJ698%</f>
        <v/>
      </c>
      <c r="AN697" s="55">
        <f>AK698-AG698</f>
        <v/>
      </c>
      <c r="AO697" s="56">
        <f>AJ698/L698</f>
        <v/>
      </c>
      <c r="AP697" s="55">
        <f>(AJ698-AB698)/100</f>
        <v/>
      </c>
      <c r="AQ697" s="55">
        <f>(AJ698-AC698)/100</f>
        <v/>
      </c>
      <c r="AR697" s="57">
        <f>AI698/94</f>
        <v/>
      </c>
      <c r="AS697" s="57">
        <f>AJ698/94</f>
        <v/>
      </c>
      <c r="AT697" s="58">
        <f>AI698/24</f>
        <v/>
      </c>
      <c r="AU697" s="58">
        <f>AJ698/24</f>
        <v/>
      </c>
      <c r="AV697" s="58">
        <f>AI698/125</f>
        <v/>
      </c>
      <c r="AW697" s="58">
        <f>AJ698/125</f>
        <v/>
      </c>
      <c r="AX697" s="113" t="n"/>
      <c r="AY697" s="113" t="n"/>
    </row>
    <row r="698" ht="15.75" customHeight="1" s="258">
      <c r="A698" s="44" t="n"/>
      <c r="B698" s="44" t="inlineStr">
        <is>
          <t>Combo of 3</t>
        </is>
      </c>
      <c r="C698" s="44" t="inlineStr">
        <is>
          <t>MI-SB-C-CO-3</t>
        </is>
      </c>
      <c r="D698" s="45" t="n">
        <v>165</v>
      </c>
      <c r="E698" s="44" t="n">
        <v>0</v>
      </c>
      <c r="F698" s="44" t="n">
        <v>80</v>
      </c>
      <c r="G698" s="45" t="n">
        <v>940490099</v>
      </c>
      <c r="H698" s="115" t="n">
        <v>0.05</v>
      </c>
      <c r="I698" s="44">
        <f>D699*H699</f>
        <v/>
      </c>
      <c r="J698" s="113" t="n"/>
      <c r="K698" s="44" t="n">
        <v>60</v>
      </c>
      <c r="L698" s="48">
        <f>K699+J699+I699+F699+E699+D699</f>
        <v/>
      </c>
      <c r="M698" s="44">
        <f>D699*1%</f>
        <v/>
      </c>
      <c r="N698" s="49">
        <f>L699*8%</f>
        <v/>
      </c>
      <c r="O698" s="49">
        <f>L699*10%</f>
        <v/>
      </c>
      <c r="P698" s="49">
        <f>L699*5%</f>
        <v/>
      </c>
      <c r="Q698" s="49">
        <f>L699*2%</f>
        <v/>
      </c>
      <c r="R698" s="49">
        <f>AC699*0.5%</f>
        <v/>
      </c>
      <c r="S698" s="49">
        <f>L699*1%</f>
        <v/>
      </c>
      <c r="T698" s="50">
        <f>S699+Q699+P699+O699+N699+M699</f>
        <v/>
      </c>
      <c r="U698" s="44">
        <f>AC699*1%</f>
        <v/>
      </c>
      <c r="V698" s="44">
        <f>AC699*5%</f>
        <v/>
      </c>
      <c r="W698" s="44">
        <f>AC699*1%</f>
        <v/>
      </c>
      <c r="X698" s="44">
        <f>AC699*8%</f>
        <v/>
      </c>
      <c r="Y698" s="44">
        <f>U699+V699+W699+X699</f>
        <v/>
      </c>
      <c r="Z698" s="50">
        <f>Y699+T699+L699</f>
        <v/>
      </c>
      <c r="AA698" s="51">
        <f>Z699*20%</f>
        <v/>
      </c>
      <c r="AB698" s="49">
        <f>Z699+AA699</f>
        <v/>
      </c>
      <c r="AC698" s="44">
        <f>D699*2.1</f>
        <v/>
      </c>
      <c r="AD698" s="49">
        <f>AB699-AC699</f>
        <v/>
      </c>
      <c r="AE698" s="49">
        <f>AD699/AB699*100</f>
        <v/>
      </c>
      <c r="AF698" s="113" t="n">
        <v>795</v>
      </c>
      <c r="AG698" s="116">
        <f>((AF699-L699)/L699)*100</f>
        <v/>
      </c>
      <c r="AH698" s="54">
        <f>AJ699-AF699</f>
        <v/>
      </c>
      <c r="AI698" s="54">
        <f>AB699*2.5</f>
        <v/>
      </c>
      <c r="AJ698" s="113" t="n">
        <v>795</v>
      </c>
      <c r="AK698" s="55">
        <f>(AJ699-L699)/L699*100</f>
        <v/>
      </c>
      <c r="AL698" s="55" t="n"/>
      <c r="AM698" s="55">
        <f>AH699/AJ699%</f>
        <v/>
      </c>
      <c r="AN698" s="55">
        <f>AK699-AG699</f>
        <v/>
      </c>
      <c r="AO698" s="56">
        <f>AJ699/L699</f>
        <v/>
      </c>
      <c r="AP698" s="55">
        <f>(AJ699-AB699)/100</f>
        <v/>
      </c>
      <c r="AQ698" s="55">
        <f>(AJ699-AC699)/100</f>
        <v/>
      </c>
      <c r="AR698" s="57">
        <f>AI699/94</f>
        <v/>
      </c>
      <c r="AS698" s="57">
        <f>AJ699/94</f>
        <v/>
      </c>
      <c r="AT698" s="58">
        <f>AI699/24</f>
        <v/>
      </c>
      <c r="AU698" s="58">
        <f>AJ699/24</f>
        <v/>
      </c>
      <c r="AV698" s="58">
        <f>AI699/125</f>
        <v/>
      </c>
      <c r="AW698" s="58">
        <f>AJ699/125</f>
        <v/>
      </c>
      <c r="AX698" s="113" t="n"/>
      <c r="AY698" s="113" t="n"/>
    </row>
    <row r="699" ht="15.75" customHeight="1" s="258">
      <c r="A699" s="44" t="n"/>
      <c r="B699" s="44" t="inlineStr">
        <is>
          <t>Combo of 5</t>
        </is>
      </c>
      <c r="C699" s="44" t="inlineStr">
        <is>
          <t>MI-SB-C-CO-5</t>
        </is>
      </c>
      <c r="D699" s="45" t="n">
        <v>335</v>
      </c>
      <c r="E699" s="44" t="n">
        <v>0</v>
      </c>
      <c r="F699" s="44" t="n">
        <v>120</v>
      </c>
      <c r="G699" s="45" t="n">
        <v>940490099</v>
      </c>
      <c r="H699" s="115" t="n">
        <v>0.05</v>
      </c>
      <c r="I699" s="44">
        <f>D700*H700</f>
        <v/>
      </c>
      <c r="J699" s="113" t="n"/>
      <c r="K699" s="44" t="n">
        <v>100</v>
      </c>
      <c r="L699" s="48">
        <f>K700+J700+I700+F700+E700+D700</f>
        <v/>
      </c>
      <c r="M699" s="44">
        <f>D700*1%</f>
        <v/>
      </c>
      <c r="N699" s="49">
        <f>L700*8%</f>
        <v/>
      </c>
      <c r="O699" s="49">
        <f>L700*10%</f>
        <v/>
      </c>
      <c r="P699" s="49">
        <f>L700*5%</f>
        <v/>
      </c>
      <c r="Q699" s="49">
        <f>L700*2%</f>
        <v/>
      </c>
      <c r="R699" s="49">
        <f>AC700*0.5%</f>
        <v/>
      </c>
      <c r="S699" s="49">
        <f>L700*1%</f>
        <v/>
      </c>
      <c r="T699" s="50">
        <f>S700+Q700+P700+O700+N700+M700</f>
        <v/>
      </c>
      <c r="U699" s="44">
        <f>AC700*1%</f>
        <v/>
      </c>
      <c r="V699" s="44">
        <f>AC700*5%</f>
        <v/>
      </c>
      <c r="W699" s="44">
        <f>AC700*1%</f>
        <v/>
      </c>
      <c r="X699" s="44">
        <f>AC700*8%</f>
        <v/>
      </c>
      <c r="Y699" s="44">
        <f>U700+V700+W700+X700</f>
        <v/>
      </c>
      <c r="Z699" s="50">
        <f>Y700+T700+L700</f>
        <v/>
      </c>
      <c r="AA699" s="51">
        <f>Z700*20%</f>
        <v/>
      </c>
      <c r="AB699" s="49">
        <f>Z700+AA700</f>
        <v/>
      </c>
      <c r="AC699" s="44">
        <f>D700*2.1</f>
        <v/>
      </c>
      <c r="AD699" s="49">
        <f>AB700-AC700</f>
        <v/>
      </c>
      <c r="AE699" s="49">
        <f>AD700/AB700*100</f>
        <v/>
      </c>
      <c r="AF699" s="113" t="n">
        <v>1645</v>
      </c>
      <c r="AG699" s="116">
        <f>((AF700-L700)/L700)*100</f>
        <v/>
      </c>
      <c r="AH699" s="54">
        <f>AJ700-AF700</f>
        <v/>
      </c>
      <c r="AI699" s="54">
        <f>AB700*2.5</f>
        <v/>
      </c>
      <c r="AJ699" s="113" t="n">
        <v>1645</v>
      </c>
      <c r="AK699" s="55">
        <f>(AJ700-L700)/L700*100</f>
        <v/>
      </c>
      <c r="AL699" s="55" t="n"/>
      <c r="AM699" s="55">
        <f>AH700/AJ700%</f>
        <v/>
      </c>
      <c r="AN699" s="55">
        <f>AK700-AG700</f>
        <v/>
      </c>
      <c r="AO699" s="56">
        <f>AJ700/L700</f>
        <v/>
      </c>
      <c r="AP699" s="55">
        <f>(AJ700-AB700)/100</f>
        <v/>
      </c>
      <c r="AQ699" s="55">
        <f>(AJ700-AC700)/100</f>
        <v/>
      </c>
      <c r="AR699" s="57">
        <f>AI700/94</f>
        <v/>
      </c>
      <c r="AS699" s="57">
        <f>AJ700/94</f>
        <v/>
      </c>
      <c r="AT699" s="58">
        <f>AI700/24</f>
        <v/>
      </c>
      <c r="AU699" s="58">
        <f>AJ700/24</f>
        <v/>
      </c>
      <c r="AV699" s="58">
        <f>AI700/125</f>
        <v/>
      </c>
      <c r="AW699" s="58">
        <f>AJ700/125</f>
        <v/>
      </c>
      <c r="AX699" s="113" t="n"/>
      <c r="AY699" s="113" t="n"/>
    </row>
    <row r="700" ht="15.75" customHeight="1" s="258">
      <c r="A700" s="44" t="n"/>
      <c r="B700" s="44" t="inlineStr">
        <is>
          <t>Combo of 7</t>
        </is>
      </c>
      <c r="C700" s="44" t="inlineStr">
        <is>
          <t>MI-SB-C-CO-7</t>
        </is>
      </c>
      <c r="D700" s="45" t="n">
        <v>480</v>
      </c>
      <c r="E700" s="44" t="n">
        <v>0</v>
      </c>
      <c r="F700" s="44" t="n">
        <v>150</v>
      </c>
      <c r="G700" s="45" t="n">
        <v>940490099</v>
      </c>
      <c r="H700" s="115" t="n">
        <v>0.05</v>
      </c>
      <c r="I700" s="44">
        <f>D701*H701</f>
        <v/>
      </c>
      <c r="J700" s="113" t="n"/>
      <c r="K700" s="44" t="n">
        <v>140</v>
      </c>
      <c r="L700" s="48">
        <f>K701+J701+I701+F701+E701+D701</f>
        <v/>
      </c>
      <c r="M700" s="44">
        <f>D701*1%</f>
        <v/>
      </c>
      <c r="N700" s="49">
        <f>L701*8%</f>
        <v/>
      </c>
      <c r="O700" s="49">
        <f>L701*10%</f>
        <v/>
      </c>
      <c r="P700" s="49">
        <f>L701*5%</f>
        <v/>
      </c>
      <c r="Q700" s="49">
        <f>L701*2%</f>
        <v/>
      </c>
      <c r="R700" s="49">
        <f>AC701*0.5%</f>
        <v/>
      </c>
      <c r="S700" s="49">
        <f>L701*1%</f>
        <v/>
      </c>
      <c r="T700" s="50">
        <f>S701+Q701+P701+O701+N701+M701</f>
        <v/>
      </c>
      <c r="U700" s="44">
        <f>AC701*1%</f>
        <v/>
      </c>
      <c r="V700" s="44">
        <f>AC701*5%</f>
        <v/>
      </c>
      <c r="W700" s="44">
        <f>AC701*1%</f>
        <v/>
      </c>
      <c r="X700" s="44">
        <f>AC701*8%</f>
        <v/>
      </c>
      <c r="Y700" s="44">
        <f>U701+V701+W701+X701</f>
        <v/>
      </c>
      <c r="Z700" s="50">
        <f>Y701+T701+L701</f>
        <v/>
      </c>
      <c r="AA700" s="51">
        <f>Z701*20%</f>
        <v/>
      </c>
      <c r="AB700" s="49">
        <f>Z701+AA701</f>
        <v/>
      </c>
      <c r="AC700" s="44">
        <f>D701*2.1</f>
        <v/>
      </c>
      <c r="AD700" s="49">
        <f>AB701-AC701</f>
        <v/>
      </c>
      <c r="AE700" s="49">
        <f>AD701/AB701*100</f>
        <v/>
      </c>
      <c r="AF700" s="113" t="n">
        <v>2245</v>
      </c>
      <c r="AG700" s="116">
        <f>((AF701-L701)/L701)*100</f>
        <v/>
      </c>
      <c r="AH700" s="54">
        <f>AJ701-AF701</f>
        <v/>
      </c>
      <c r="AI700" s="54">
        <f>AB701*2.5</f>
        <v/>
      </c>
      <c r="AJ700" s="113" t="n">
        <v>2245</v>
      </c>
      <c r="AK700" s="55">
        <f>(AJ701-L701)/L701*100</f>
        <v/>
      </c>
      <c r="AL700" s="55" t="n"/>
      <c r="AM700" s="55">
        <f>AH701/AJ701%</f>
        <v/>
      </c>
      <c r="AN700" s="55">
        <f>AK701-AG701</f>
        <v/>
      </c>
      <c r="AO700" s="56">
        <f>AJ701/L701</f>
        <v/>
      </c>
      <c r="AP700" s="55">
        <f>(AJ701-AB701)/100</f>
        <v/>
      </c>
      <c r="AQ700" s="55">
        <f>(AJ701-AC701)/100</f>
        <v/>
      </c>
      <c r="AR700" s="57">
        <f>AI701/94</f>
        <v/>
      </c>
      <c r="AS700" s="57">
        <f>AJ701/94</f>
        <v/>
      </c>
      <c r="AT700" s="58">
        <f>AI701/24</f>
        <v/>
      </c>
      <c r="AU700" s="58">
        <f>AJ701/24</f>
        <v/>
      </c>
      <c r="AV700" s="58">
        <f>AI701/125</f>
        <v/>
      </c>
      <c r="AW700" s="58">
        <f>AJ701/125</f>
        <v/>
      </c>
      <c r="AX700" s="113" t="n"/>
      <c r="AY700" s="113" t="n"/>
    </row>
    <row r="701" ht="15.75" customHeight="1" s="258">
      <c r="A701" s="2" t="inlineStr">
        <is>
          <t>Singing Bowls with Sacred Mantra Printed</t>
        </is>
      </c>
      <c r="B701" s="2" t="inlineStr">
        <is>
          <t>3.5 Inches / Blue</t>
        </is>
      </c>
      <c r="C701" s="2" t="inlineStr">
        <is>
          <t>MI-SB-P-B-3.5</t>
        </is>
      </c>
      <c r="D701" s="118" t="n">
        <v>350</v>
      </c>
      <c r="E701" s="2" t="n">
        <v>55</v>
      </c>
      <c r="F701" s="2" t="n">
        <v>85</v>
      </c>
      <c r="G701" s="118" t="n">
        <v>83061000</v>
      </c>
      <c r="H701" s="255" t="n">
        <v>0.05</v>
      </c>
      <c r="I701" s="2">
        <f>D702*H702</f>
        <v/>
      </c>
      <c r="K701" s="2" t="n">
        <v>40</v>
      </c>
      <c r="L701" s="4">
        <f>K702+J702+I702+F702+E702+D702</f>
        <v/>
      </c>
      <c r="M701" s="2">
        <f>D702*1%</f>
        <v/>
      </c>
      <c r="N701" s="12">
        <f>L702*8%</f>
        <v/>
      </c>
      <c r="O701" s="12">
        <f>L702*10%</f>
        <v/>
      </c>
      <c r="P701" s="12">
        <f>L702*5%</f>
        <v/>
      </c>
      <c r="Q701" s="12">
        <f>L702*2%</f>
        <v/>
      </c>
      <c r="R701" s="12">
        <f>AC702*0.5%</f>
        <v/>
      </c>
      <c r="S701" s="12">
        <f>L702*1%</f>
        <v/>
      </c>
      <c r="T701" s="60">
        <f>S702+Q702+P702+O702+N702+M702</f>
        <v/>
      </c>
      <c r="U701" s="2">
        <f>AC702*1%</f>
        <v/>
      </c>
      <c r="V701" s="44">
        <f>AC702*5%</f>
        <v/>
      </c>
      <c r="W701" s="2">
        <f>AC702*1%</f>
        <v/>
      </c>
      <c r="X701" s="2">
        <f>AC702*8%</f>
        <v/>
      </c>
      <c r="Y701" s="2">
        <f>U702+V702+W702+X702</f>
        <v/>
      </c>
      <c r="Z701" s="60">
        <f>Y702+T702+L702</f>
        <v/>
      </c>
      <c r="AA701" s="11">
        <f>Z702*20%</f>
        <v/>
      </c>
      <c r="AB701" s="12">
        <f>Z702+AA702</f>
        <v/>
      </c>
      <c r="AC701" s="2">
        <f>D702*2.1</f>
        <v/>
      </c>
      <c r="AD701" s="12">
        <f>AB702-AC702</f>
        <v/>
      </c>
      <c r="AE701" s="12">
        <f>AD702/AB702*100</f>
        <v/>
      </c>
      <c r="AF701" s="92" t="n">
        <v>1295</v>
      </c>
      <c r="AG701" s="62">
        <f>((AF702-L702)/L702)*100</f>
        <v/>
      </c>
      <c r="AH701" s="106">
        <f>AJ702-AF702</f>
        <v/>
      </c>
      <c r="AI701" s="65">
        <f>AB702</f>
        <v/>
      </c>
      <c r="AJ701" s="92" t="n">
        <v>945</v>
      </c>
      <c r="AK701" s="66">
        <f>(AJ702-L702)/L702*100</f>
        <v/>
      </c>
      <c r="AL701" s="66" t="n"/>
      <c r="AM701" s="14">
        <f>AH702/AJ702%</f>
        <v/>
      </c>
      <c r="AN701" s="67">
        <f>AK702-AG702</f>
        <v/>
      </c>
      <c r="AO701" s="68">
        <f>AJ702/L702</f>
        <v/>
      </c>
      <c r="AP701" s="69">
        <f>(AJ702-AB702)/100</f>
        <v/>
      </c>
      <c r="AQ701" s="70">
        <f>(AJ702-AC702)/100</f>
        <v/>
      </c>
      <c r="AR701" s="71">
        <f>AI702/94</f>
        <v/>
      </c>
      <c r="AS701" s="71">
        <f>AJ702/94</f>
        <v/>
      </c>
      <c r="AT701" s="72">
        <f>AI702/24</f>
        <v/>
      </c>
      <c r="AU701" s="72">
        <f>AJ702/24</f>
        <v/>
      </c>
      <c r="AV701" s="73">
        <f>AI702/125</f>
        <v/>
      </c>
      <c r="AW701" s="73">
        <f>AJ702/125</f>
        <v/>
      </c>
    </row>
    <row r="702" ht="15.75" customHeight="1" s="258">
      <c r="A702" s="2" t="n"/>
      <c r="B702" s="2" t="inlineStr">
        <is>
          <t>3.5 Inches / Black</t>
        </is>
      </c>
      <c r="C702" s="2" t="inlineStr">
        <is>
          <t>MI-SB-P-BK-3.5</t>
        </is>
      </c>
      <c r="D702" s="118" t="n">
        <v>350</v>
      </c>
      <c r="E702" s="2" t="n">
        <v>55</v>
      </c>
      <c r="F702" s="2" t="n">
        <v>85</v>
      </c>
      <c r="G702" s="118" t="n">
        <v>83061000</v>
      </c>
      <c r="H702" s="255" t="n">
        <v>0.05</v>
      </c>
      <c r="I702" s="2">
        <f>D703*H703</f>
        <v/>
      </c>
      <c r="K702" s="2" t="n">
        <v>40</v>
      </c>
      <c r="L702" s="4">
        <f>K703+J703+I703+F703+E703+D703</f>
        <v/>
      </c>
      <c r="M702" s="2">
        <f>D703*1%</f>
        <v/>
      </c>
      <c r="N702" s="12">
        <f>L703*8%</f>
        <v/>
      </c>
      <c r="O702" s="12">
        <f>L703*10%</f>
        <v/>
      </c>
      <c r="P702" s="12">
        <f>L703*5%</f>
        <v/>
      </c>
      <c r="Q702" s="12">
        <f>L703*2%</f>
        <v/>
      </c>
      <c r="R702" s="12">
        <f>AC703*0.5%</f>
        <v/>
      </c>
      <c r="S702" s="12">
        <f>L703*1%</f>
        <v/>
      </c>
      <c r="T702" s="60">
        <f>S703+Q703+P703+O703+N703+M703</f>
        <v/>
      </c>
      <c r="U702" s="2">
        <f>AC703*1%</f>
        <v/>
      </c>
      <c r="V702" s="44">
        <f>AC703*5%</f>
        <v/>
      </c>
      <c r="W702" s="2">
        <f>AC703*1%</f>
        <v/>
      </c>
      <c r="X702" s="2">
        <f>AC703*8%</f>
        <v/>
      </c>
      <c r="Y702" s="2">
        <f>U703+V703+W703+X703</f>
        <v/>
      </c>
      <c r="Z702" s="60">
        <f>Y703+T703+L703</f>
        <v/>
      </c>
      <c r="AA702" s="11">
        <f>Z703*20%</f>
        <v/>
      </c>
      <c r="AB702" s="12">
        <f>Z703+AA703</f>
        <v/>
      </c>
      <c r="AC702" s="2">
        <f>D703*2.1</f>
        <v/>
      </c>
      <c r="AD702" s="12">
        <f>AB703-AC703</f>
        <v/>
      </c>
      <c r="AE702" s="12">
        <f>AD703/AB703*100</f>
        <v/>
      </c>
      <c r="AF702" s="92" t="n">
        <v>1295</v>
      </c>
      <c r="AG702" s="62">
        <f>((AF703-L703)/L703)*100</f>
        <v/>
      </c>
      <c r="AH702" s="106">
        <f>AJ703-AF703</f>
        <v/>
      </c>
      <c r="AI702" s="65">
        <f>AB703</f>
        <v/>
      </c>
      <c r="AJ702" s="92" t="n">
        <v>945</v>
      </c>
      <c r="AK702" s="66">
        <f>(AJ703-L703)/L703*100</f>
        <v/>
      </c>
      <c r="AL702" s="66" t="n"/>
      <c r="AM702" s="14">
        <f>AH703/AJ703%</f>
        <v/>
      </c>
      <c r="AN702" s="67">
        <f>AK703-AG703</f>
        <v/>
      </c>
      <c r="AO702" s="68">
        <f>AJ703/L703</f>
        <v/>
      </c>
      <c r="AP702" s="69">
        <f>(AJ703-AB703)/100</f>
        <v/>
      </c>
      <c r="AQ702" s="70">
        <f>(AJ703-AC703)/100</f>
        <v/>
      </c>
      <c r="AR702" s="71">
        <f>AI703/94</f>
        <v/>
      </c>
      <c r="AS702" s="71">
        <f>AJ703/94</f>
        <v/>
      </c>
      <c r="AT702" s="72">
        <f>AI703/24</f>
        <v/>
      </c>
      <c r="AU702" s="72">
        <f>AJ703/24</f>
        <v/>
      </c>
      <c r="AV702" s="73">
        <f>AI703/125</f>
        <v/>
      </c>
      <c r="AW702" s="73">
        <f>AJ703/125</f>
        <v/>
      </c>
    </row>
    <row r="703" ht="15.75" customHeight="1" s="258">
      <c r="A703" s="2" t="n"/>
      <c r="B703" s="2" t="inlineStr">
        <is>
          <t>3.5 Inches / Green</t>
        </is>
      </c>
      <c r="C703" s="2" t="inlineStr">
        <is>
          <t>MI-SB-P-G-3.5</t>
        </is>
      </c>
      <c r="D703" s="118" t="n">
        <v>350</v>
      </c>
      <c r="E703" s="2" t="n">
        <v>55</v>
      </c>
      <c r="F703" s="2" t="n">
        <v>85</v>
      </c>
      <c r="G703" s="118" t="n">
        <v>83061000</v>
      </c>
      <c r="H703" s="255" t="n">
        <v>0.05</v>
      </c>
      <c r="I703" s="2">
        <f>D704*H704</f>
        <v/>
      </c>
      <c r="K703" s="2" t="n">
        <v>40</v>
      </c>
      <c r="L703" s="4">
        <f>K704+J704+I704+F704+E704+D704</f>
        <v/>
      </c>
      <c r="M703" s="2">
        <f>D704*1%</f>
        <v/>
      </c>
      <c r="N703" s="12">
        <f>L704*8%</f>
        <v/>
      </c>
      <c r="O703" s="12">
        <f>L704*10%</f>
        <v/>
      </c>
      <c r="P703" s="12">
        <f>L704*5%</f>
        <v/>
      </c>
      <c r="Q703" s="12">
        <f>L704*2%</f>
        <v/>
      </c>
      <c r="R703" s="12">
        <f>AC704*0.5%</f>
        <v/>
      </c>
      <c r="S703" s="12">
        <f>L704*1%</f>
        <v/>
      </c>
      <c r="T703" s="60">
        <f>S704+Q704+P704+O704+N704+M704</f>
        <v/>
      </c>
      <c r="U703" s="2">
        <f>AC704*1%</f>
        <v/>
      </c>
      <c r="V703" s="44">
        <f>AC704*5%</f>
        <v/>
      </c>
      <c r="W703" s="2">
        <f>AC704*1%</f>
        <v/>
      </c>
      <c r="X703" s="2">
        <f>AC704*8%</f>
        <v/>
      </c>
      <c r="Y703" s="2">
        <f>U704+V704+W704+X704</f>
        <v/>
      </c>
      <c r="Z703" s="60">
        <f>Y704+T704+L704</f>
        <v/>
      </c>
      <c r="AA703" s="11">
        <f>Z704*20%</f>
        <v/>
      </c>
      <c r="AB703" s="12">
        <f>Z704+AA704</f>
        <v/>
      </c>
      <c r="AC703" s="2">
        <f>D704*2.1</f>
        <v/>
      </c>
      <c r="AD703" s="12">
        <f>AB704-AC704</f>
        <v/>
      </c>
      <c r="AE703" s="12">
        <f>AD704/AB704*100</f>
        <v/>
      </c>
      <c r="AF703" s="92" t="n">
        <v>1295</v>
      </c>
      <c r="AG703" s="62">
        <f>((AF704-L704)/L704)*100</f>
        <v/>
      </c>
      <c r="AH703" s="106">
        <f>AJ704-AF704</f>
        <v/>
      </c>
      <c r="AI703" s="65">
        <f>AB704</f>
        <v/>
      </c>
      <c r="AJ703" s="92" t="n">
        <v>945</v>
      </c>
      <c r="AK703" s="66">
        <f>(AJ704-L704)/L704*100</f>
        <v/>
      </c>
      <c r="AL703" s="66" t="n"/>
      <c r="AM703" s="14">
        <f>AH704/AJ704%</f>
        <v/>
      </c>
      <c r="AN703" s="67">
        <f>AK704-AG704</f>
        <v/>
      </c>
      <c r="AO703" s="68">
        <f>AJ704/L704</f>
        <v/>
      </c>
      <c r="AP703" s="69">
        <f>(AJ704-AB704)/100</f>
        <v/>
      </c>
      <c r="AQ703" s="70">
        <f>(AJ704-AC704)/100</f>
        <v/>
      </c>
      <c r="AR703" s="71">
        <f>AI704/94</f>
        <v/>
      </c>
      <c r="AS703" s="71">
        <f>AJ704/94</f>
        <v/>
      </c>
      <c r="AT703" s="72">
        <f>AI704/24</f>
        <v/>
      </c>
      <c r="AU703" s="72">
        <f>AJ704/24</f>
        <v/>
      </c>
      <c r="AV703" s="73">
        <f>AI704/125</f>
        <v/>
      </c>
      <c r="AW703" s="73">
        <f>AJ704/125</f>
        <v/>
      </c>
    </row>
    <row r="704" ht="15.75" customHeight="1" s="258">
      <c r="A704" s="2" t="n"/>
      <c r="B704" s="2" t="inlineStr">
        <is>
          <t>3.5 Inches / Red</t>
        </is>
      </c>
      <c r="C704" s="2" t="inlineStr">
        <is>
          <t>MI-SB-P-R-3.5</t>
        </is>
      </c>
      <c r="D704" s="118" t="n">
        <v>350</v>
      </c>
      <c r="E704" s="2" t="n">
        <v>55</v>
      </c>
      <c r="F704" s="2" t="n">
        <v>85</v>
      </c>
      <c r="G704" s="118" t="n">
        <v>83061000</v>
      </c>
      <c r="H704" s="255" t="n">
        <v>0.05</v>
      </c>
      <c r="I704" s="2">
        <f>D705*H705</f>
        <v/>
      </c>
      <c r="K704" s="2" t="n">
        <v>40</v>
      </c>
      <c r="L704" s="4">
        <f>K705+J705+I705+F705+E705+D705</f>
        <v/>
      </c>
      <c r="M704" s="2">
        <f>D705*1%</f>
        <v/>
      </c>
      <c r="N704" s="12">
        <f>L705*8%</f>
        <v/>
      </c>
      <c r="O704" s="12">
        <f>L705*10%</f>
        <v/>
      </c>
      <c r="P704" s="12">
        <f>L705*5%</f>
        <v/>
      </c>
      <c r="Q704" s="12">
        <f>L705*2%</f>
        <v/>
      </c>
      <c r="R704" s="12">
        <f>AC705*0.5%</f>
        <v/>
      </c>
      <c r="S704" s="12">
        <f>L705*1%</f>
        <v/>
      </c>
      <c r="T704" s="60">
        <f>S705+Q705+P705+O705+N705+M705</f>
        <v/>
      </c>
      <c r="U704" s="2">
        <f>AC705*1%</f>
        <v/>
      </c>
      <c r="V704" s="44">
        <f>AC705*5%</f>
        <v/>
      </c>
      <c r="W704" s="2">
        <f>AC705*1%</f>
        <v/>
      </c>
      <c r="X704" s="2">
        <f>AC705*8%</f>
        <v/>
      </c>
      <c r="Y704" s="2">
        <f>U705+V705+W705+X705</f>
        <v/>
      </c>
      <c r="Z704" s="60">
        <f>Y705+T705+L705</f>
        <v/>
      </c>
      <c r="AA704" s="11">
        <f>Z705*20%</f>
        <v/>
      </c>
      <c r="AB704" s="12">
        <f>Z705+AA705</f>
        <v/>
      </c>
      <c r="AC704" s="2">
        <f>D705*2.1</f>
        <v/>
      </c>
      <c r="AD704" s="12">
        <f>AB705-AC705</f>
        <v/>
      </c>
      <c r="AE704" s="12">
        <f>AD705/AB705*100</f>
        <v/>
      </c>
      <c r="AF704" s="92" t="n">
        <v>1295</v>
      </c>
      <c r="AG704" s="62">
        <f>((AF705-L705)/L705)*100</f>
        <v/>
      </c>
      <c r="AH704" s="106">
        <f>AJ705-AF705</f>
        <v/>
      </c>
      <c r="AI704" s="65">
        <f>AB705</f>
        <v/>
      </c>
      <c r="AJ704" s="92" t="n">
        <v>945</v>
      </c>
      <c r="AK704" s="66">
        <f>(AJ705-L705)/L705*100</f>
        <v/>
      </c>
      <c r="AL704" s="66" t="n"/>
      <c r="AM704" s="14">
        <f>AH705/AJ705%</f>
        <v/>
      </c>
      <c r="AN704" s="67">
        <f>AK705-AG705</f>
        <v/>
      </c>
      <c r="AO704" s="68">
        <f>AJ705/L705</f>
        <v/>
      </c>
      <c r="AP704" s="69">
        <f>(AJ705-AB705)/100</f>
        <v/>
      </c>
      <c r="AQ704" s="70">
        <f>(AJ705-AC705)/100</f>
        <v/>
      </c>
      <c r="AR704" s="71">
        <f>AI705/94</f>
        <v/>
      </c>
      <c r="AS704" s="71">
        <f>AJ705/94</f>
        <v/>
      </c>
      <c r="AT704" s="72">
        <f>AI705/24</f>
        <v/>
      </c>
      <c r="AU704" s="72">
        <f>AJ705/24</f>
        <v/>
      </c>
      <c r="AV704" s="73">
        <f>AI705/125</f>
        <v/>
      </c>
      <c r="AW704" s="73">
        <f>AJ705/125</f>
        <v/>
      </c>
    </row>
    <row r="705" ht="15.75" customHeight="1" s="258">
      <c r="A705" s="2" t="n"/>
      <c r="B705" s="2" t="inlineStr">
        <is>
          <t>3.5 Inches / Gold</t>
        </is>
      </c>
      <c r="C705" s="2" t="inlineStr">
        <is>
          <t>MI-SB-P-W-3.5</t>
        </is>
      </c>
      <c r="D705" s="118" t="n">
        <v>350</v>
      </c>
      <c r="E705" s="2" t="n">
        <v>55</v>
      </c>
      <c r="F705" s="2" t="n">
        <v>85</v>
      </c>
      <c r="G705" s="118" t="n">
        <v>83061000</v>
      </c>
      <c r="H705" s="255" t="n">
        <v>0.05</v>
      </c>
      <c r="I705" s="2">
        <f>D706*H706</f>
        <v/>
      </c>
      <c r="K705" s="2" t="n">
        <v>40</v>
      </c>
      <c r="L705" s="4">
        <f>K706+J706+I706+F706+E706+D706</f>
        <v/>
      </c>
      <c r="M705" s="2">
        <f>D706*1%</f>
        <v/>
      </c>
      <c r="N705" s="12">
        <f>L706*8%</f>
        <v/>
      </c>
      <c r="O705" s="12">
        <f>L706*10%</f>
        <v/>
      </c>
      <c r="P705" s="12">
        <f>L706*5%</f>
        <v/>
      </c>
      <c r="Q705" s="12">
        <f>L706*2%</f>
        <v/>
      </c>
      <c r="R705" s="12">
        <f>AC706*0.5%</f>
        <v/>
      </c>
      <c r="S705" s="12">
        <f>L706*1%</f>
        <v/>
      </c>
      <c r="T705" s="60">
        <f>S706+Q706+P706+O706+N706+M706</f>
        <v/>
      </c>
      <c r="U705" s="2">
        <f>AC706*1%</f>
        <v/>
      </c>
      <c r="V705" s="44">
        <f>AC706*5%</f>
        <v/>
      </c>
      <c r="W705" s="2">
        <f>AC706*1%</f>
        <v/>
      </c>
      <c r="X705" s="2">
        <f>AC706*8%</f>
        <v/>
      </c>
      <c r="Y705" s="2">
        <f>U706+V706+W706+X706</f>
        <v/>
      </c>
      <c r="Z705" s="60">
        <f>Y706+T706+L706</f>
        <v/>
      </c>
      <c r="AA705" s="11">
        <f>Z706*20%</f>
        <v/>
      </c>
      <c r="AB705" s="12">
        <f>Z706+AA706</f>
        <v/>
      </c>
      <c r="AC705" s="2">
        <f>D706*2.1</f>
        <v/>
      </c>
      <c r="AD705" s="12">
        <f>AB706-AC706</f>
        <v/>
      </c>
      <c r="AE705" s="12">
        <f>AD706/AB706*100</f>
        <v/>
      </c>
      <c r="AF705" s="92" t="n">
        <v>1295</v>
      </c>
      <c r="AG705" s="62">
        <f>((AF706-L706)/L706)*100</f>
        <v/>
      </c>
      <c r="AH705" s="106">
        <f>AJ706-AF706</f>
        <v/>
      </c>
      <c r="AI705" s="65">
        <f>AB706</f>
        <v/>
      </c>
      <c r="AJ705" s="92" t="n">
        <v>945</v>
      </c>
      <c r="AK705" s="66">
        <f>(AJ706-L706)/L706*100</f>
        <v/>
      </c>
      <c r="AL705" s="66" t="n"/>
      <c r="AM705" s="14">
        <f>AH706/AJ706%</f>
        <v/>
      </c>
      <c r="AN705" s="67">
        <f>AK706-AG706</f>
        <v/>
      </c>
      <c r="AO705" s="68">
        <f>AJ706/L706</f>
        <v/>
      </c>
      <c r="AP705" s="69">
        <f>(AJ706-AB706)/100</f>
        <v/>
      </c>
      <c r="AQ705" s="70">
        <f>(AJ706-AC706)/100</f>
        <v/>
      </c>
      <c r="AR705" s="71">
        <f>AI706/94</f>
        <v/>
      </c>
      <c r="AS705" s="71">
        <f>AJ706/94</f>
        <v/>
      </c>
      <c r="AT705" s="72">
        <f>AI706/24</f>
        <v/>
      </c>
      <c r="AU705" s="72">
        <f>AJ706/24</f>
        <v/>
      </c>
      <c r="AV705" s="73">
        <f>AI706/125</f>
        <v/>
      </c>
      <c r="AW705" s="73">
        <f>AJ706/125</f>
        <v/>
      </c>
    </row>
    <row r="706" ht="15.75" customHeight="1" s="258">
      <c r="A706" s="2" t="n"/>
      <c r="B706" s="2" t="inlineStr">
        <is>
          <t>4 Inches / Blue</t>
        </is>
      </c>
      <c r="C706" s="2" t="inlineStr">
        <is>
          <t>MI-SB-P-B-4</t>
        </is>
      </c>
      <c r="D706" s="118" t="n">
        <v>575</v>
      </c>
      <c r="E706" s="2" t="n">
        <v>55</v>
      </c>
      <c r="F706" s="2" t="n">
        <v>85</v>
      </c>
      <c r="G706" s="118" t="n">
        <v>83061000</v>
      </c>
      <c r="H706" s="255" t="n">
        <v>0.05</v>
      </c>
      <c r="I706" s="2">
        <f>D707*H707</f>
        <v/>
      </c>
      <c r="K706" s="2" t="n">
        <v>40</v>
      </c>
      <c r="L706" s="4">
        <f>K707+J707+I707+F707+E707+D707</f>
        <v/>
      </c>
      <c r="M706" s="2">
        <f>D707*1%</f>
        <v/>
      </c>
      <c r="N706" s="12">
        <f>L707*8%</f>
        <v/>
      </c>
      <c r="O706" s="12">
        <f>L707*10%</f>
        <v/>
      </c>
      <c r="P706" s="12">
        <f>L707*5%</f>
        <v/>
      </c>
      <c r="Q706" s="12">
        <f>L707*2%</f>
        <v/>
      </c>
      <c r="R706" s="12">
        <f>AC707*0.5%</f>
        <v/>
      </c>
      <c r="S706" s="12">
        <f>L707*1%</f>
        <v/>
      </c>
      <c r="T706" s="60">
        <f>S707+Q707+P707+O707+N707+M707</f>
        <v/>
      </c>
      <c r="U706" s="2">
        <f>AC707*1%</f>
        <v/>
      </c>
      <c r="V706" s="44">
        <f>AC707*5%</f>
        <v/>
      </c>
      <c r="W706" s="2">
        <f>AC707*1%</f>
        <v/>
      </c>
      <c r="X706" s="2">
        <f>AC707*8%</f>
        <v/>
      </c>
      <c r="Y706" s="2">
        <f>U707+V707+W707+X707</f>
        <v/>
      </c>
      <c r="Z706" s="60">
        <f>Y707+T707+L707</f>
        <v/>
      </c>
      <c r="AA706" s="11">
        <f>Z707*20%</f>
        <v/>
      </c>
      <c r="AB706" s="12">
        <f>Z707+AA707</f>
        <v/>
      </c>
      <c r="AC706" s="2">
        <f>D707*2.1</f>
        <v/>
      </c>
      <c r="AD706" s="12">
        <f>AB707-AC707</f>
        <v/>
      </c>
      <c r="AE706" s="12">
        <f>AD707/AB707*100</f>
        <v/>
      </c>
      <c r="AF706" s="92" t="n">
        <v>1545</v>
      </c>
      <c r="AG706" s="62">
        <f>((AF707-L707)/L707)*100</f>
        <v/>
      </c>
      <c r="AH706" s="106">
        <f>AJ707-AF707</f>
        <v/>
      </c>
      <c r="AI706" s="65">
        <f>AB707</f>
        <v/>
      </c>
      <c r="AJ706" s="92" t="n">
        <v>1375</v>
      </c>
      <c r="AK706" s="66">
        <f>(AJ707-L707)/L707*100</f>
        <v/>
      </c>
      <c r="AL706" s="66" t="n"/>
      <c r="AM706" s="14">
        <f>AH707/AJ707%</f>
        <v/>
      </c>
      <c r="AN706" s="67">
        <f>AK707-AG707</f>
        <v/>
      </c>
      <c r="AO706" s="68">
        <f>AJ707/L707</f>
        <v/>
      </c>
      <c r="AP706" s="69">
        <f>(AJ707-AB707)/100</f>
        <v/>
      </c>
      <c r="AQ706" s="70">
        <f>(AJ707-AC707)/100</f>
        <v/>
      </c>
      <c r="AR706" s="71">
        <f>AI707/94</f>
        <v/>
      </c>
      <c r="AS706" s="71">
        <f>AJ707/94</f>
        <v/>
      </c>
      <c r="AT706" s="72">
        <f>AI707/24</f>
        <v/>
      </c>
      <c r="AU706" s="72">
        <f>AJ707/24</f>
        <v/>
      </c>
      <c r="AV706" s="73">
        <f>AI707/125</f>
        <v/>
      </c>
      <c r="AW706" s="73">
        <f>AJ707/125</f>
        <v/>
      </c>
    </row>
    <row r="707" ht="15.75" customHeight="1" s="258">
      <c r="A707" s="2" t="n"/>
      <c r="B707" s="2" t="inlineStr">
        <is>
          <t>Black / 4 Inches</t>
        </is>
      </c>
      <c r="C707" s="2" t="inlineStr">
        <is>
          <t>MI-SB-P-BK-4</t>
        </is>
      </c>
      <c r="D707" s="118" t="n">
        <v>575</v>
      </c>
      <c r="E707" s="2" t="n">
        <v>55</v>
      </c>
      <c r="F707" s="2" t="n">
        <v>85</v>
      </c>
      <c r="G707" s="118" t="n">
        <v>83061000</v>
      </c>
      <c r="H707" s="255" t="n">
        <v>0.05</v>
      </c>
      <c r="I707" s="2">
        <f>D708*H708</f>
        <v/>
      </c>
      <c r="K707" s="2" t="n">
        <v>40</v>
      </c>
      <c r="L707" s="4">
        <f>K708+J708+I708+F708+E708+D708</f>
        <v/>
      </c>
      <c r="M707" s="2">
        <f>D708*1%</f>
        <v/>
      </c>
      <c r="N707" s="12">
        <f>L708*8%</f>
        <v/>
      </c>
      <c r="O707" s="12">
        <f>L708*10%</f>
        <v/>
      </c>
      <c r="P707" s="12">
        <f>L708*5%</f>
        <v/>
      </c>
      <c r="Q707" s="12">
        <f>L708*2%</f>
        <v/>
      </c>
      <c r="R707" s="12">
        <f>AC708*0.5%</f>
        <v/>
      </c>
      <c r="S707" s="12">
        <f>L708*1%</f>
        <v/>
      </c>
      <c r="T707" s="60">
        <f>S708+Q708+P708+O708+N708+M708</f>
        <v/>
      </c>
      <c r="U707" s="2">
        <f>AC708*1%</f>
        <v/>
      </c>
      <c r="V707" s="44">
        <f>AC708*5%</f>
        <v/>
      </c>
      <c r="W707" s="2">
        <f>AC708*1%</f>
        <v/>
      </c>
      <c r="X707" s="2">
        <f>AC708*8%</f>
        <v/>
      </c>
      <c r="Y707" s="2">
        <f>U708+V708+W708+X708</f>
        <v/>
      </c>
      <c r="Z707" s="60">
        <f>Y708+T708+L708</f>
        <v/>
      </c>
      <c r="AA707" s="11">
        <f>Z708*20%</f>
        <v/>
      </c>
      <c r="AB707" s="12">
        <f>Z708+AA708</f>
        <v/>
      </c>
      <c r="AC707" s="2">
        <f>D708*2.1</f>
        <v/>
      </c>
      <c r="AD707" s="12">
        <f>AB708-AC708</f>
        <v/>
      </c>
      <c r="AE707" s="12">
        <f>AD708/AB708*100</f>
        <v/>
      </c>
      <c r="AF707" s="92" t="n">
        <v>1545</v>
      </c>
      <c r="AG707" s="62">
        <f>((AF708-L708)/L708)*100</f>
        <v/>
      </c>
      <c r="AH707" s="106">
        <f>AJ708-AF708</f>
        <v/>
      </c>
      <c r="AI707" s="65">
        <f>AB708</f>
        <v/>
      </c>
      <c r="AJ707" s="92" t="n">
        <v>1375</v>
      </c>
      <c r="AK707" s="66">
        <f>(AJ708-L708)/L708*100</f>
        <v/>
      </c>
      <c r="AL707" s="66" t="n"/>
      <c r="AM707" s="14">
        <f>AH708/AJ708%</f>
        <v/>
      </c>
      <c r="AN707" s="67">
        <f>AK708-AG708</f>
        <v/>
      </c>
      <c r="AO707" s="68">
        <f>AJ708/L708</f>
        <v/>
      </c>
      <c r="AP707" s="69">
        <f>(AJ708-AB708)/100</f>
        <v/>
      </c>
      <c r="AQ707" s="70">
        <f>(AJ708-AC708)/100</f>
        <v/>
      </c>
      <c r="AR707" s="71">
        <f>AI708/94</f>
        <v/>
      </c>
      <c r="AS707" s="71">
        <f>AJ708/94</f>
        <v/>
      </c>
      <c r="AT707" s="72">
        <f>AI708/24</f>
        <v/>
      </c>
      <c r="AU707" s="72">
        <f>AJ708/24</f>
        <v/>
      </c>
      <c r="AV707" s="73">
        <f>AI708/125</f>
        <v/>
      </c>
      <c r="AW707" s="73">
        <f>AJ708/125</f>
        <v/>
      </c>
    </row>
    <row r="708" ht="15.75" customHeight="1" s="258">
      <c r="A708" s="2" t="n"/>
      <c r="B708" s="2" t="inlineStr">
        <is>
          <t>4 Inches / Green</t>
        </is>
      </c>
      <c r="C708" s="2" t="inlineStr">
        <is>
          <t>MI-SB-P-G-4</t>
        </is>
      </c>
      <c r="D708" s="118" t="n">
        <v>575</v>
      </c>
      <c r="E708" s="2" t="n">
        <v>55</v>
      </c>
      <c r="F708" s="2" t="n">
        <v>85</v>
      </c>
      <c r="G708" s="118" t="n">
        <v>83061000</v>
      </c>
      <c r="H708" s="255" t="n">
        <v>0.05</v>
      </c>
      <c r="I708" s="2">
        <f>D709*H709</f>
        <v/>
      </c>
      <c r="K708" s="2" t="n">
        <v>40</v>
      </c>
      <c r="L708" s="4">
        <f>K709+J709+I709+F709+E709+D709</f>
        <v/>
      </c>
      <c r="M708" s="2">
        <f>D709*1%</f>
        <v/>
      </c>
      <c r="N708" s="12">
        <f>L709*8%</f>
        <v/>
      </c>
      <c r="O708" s="12">
        <f>L709*10%</f>
        <v/>
      </c>
      <c r="P708" s="12">
        <f>L709*5%</f>
        <v/>
      </c>
      <c r="Q708" s="12">
        <f>L709*2%</f>
        <v/>
      </c>
      <c r="R708" s="12">
        <f>AC709*0.5%</f>
        <v/>
      </c>
      <c r="S708" s="12">
        <f>L709*1%</f>
        <v/>
      </c>
      <c r="T708" s="60">
        <f>S709+Q709+P709+O709+N709+M709</f>
        <v/>
      </c>
      <c r="U708" s="2">
        <f>AC709*1%</f>
        <v/>
      </c>
      <c r="V708" s="44">
        <f>AC709*5%</f>
        <v/>
      </c>
      <c r="W708" s="2">
        <f>AC709*1%</f>
        <v/>
      </c>
      <c r="X708" s="2">
        <f>AC709*8%</f>
        <v/>
      </c>
      <c r="Y708" s="2">
        <f>U709+V709+W709+X709</f>
        <v/>
      </c>
      <c r="Z708" s="60">
        <f>Y709+T709+L709</f>
        <v/>
      </c>
      <c r="AA708" s="11">
        <f>Z709*20%</f>
        <v/>
      </c>
      <c r="AB708" s="12">
        <f>Z709+AA709</f>
        <v/>
      </c>
      <c r="AC708" s="2">
        <f>D709*2.1</f>
        <v/>
      </c>
      <c r="AD708" s="12">
        <f>AB709-AC709</f>
        <v/>
      </c>
      <c r="AE708" s="12">
        <f>AD709/AB709*100</f>
        <v/>
      </c>
      <c r="AF708" s="92" t="n">
        <v>1545</v>
      </c>
      <c r="AG708" s="62">
        <f>((AF709-L709)/L709)*100</f>
        <v/>
      </c>
      <c r="AH708" s="106">
        <f>AJ709-AF709</f>
        <v/>
      </c>
      <c r="AI708" s="65">
        <f>AB709</f>
        <v/>
      </c>
      <c r="AJ708" s="92" t="n">
        <v>1375</v>
      </c>
      <c r="AK708" s="66">
        <f>(AJ709-L709)/L709*100</f>
        <v/>
      </c>
      <c r="AL708" s="66" t="n"/>
      <c r="AM708" s="14">
        <f>AH709/AJ709%</f>
        <v/>
      </c>
      <c r="AN708" s="67">
        <f>AK709-AG709</f>
        <v/>
      </c>
      <c r="AO708" s="68">
        <f>AJ709/L709</f>
        <v/>
      </c>
      <c r="AP708" s="69">
        <f>(AJ709-AB709)/100</f>
        <v/>
      </c>
      <c r="AQ708" s="70">
        <f>(AJ709-AC709)/100</f>
        <v/>
      </c>
      <c r="AR708" s="71">
        <f>AI709/94</f>
        <v/>
      </c>
      <c r="AS708" s="71">
        <f>AJ709/94</f>
        <v/>
      </c>
      <c r="AT708" s="72">
        <f>AI709/24</f>
        <v/>
      </c>
      <c r="AU708" s="72">
        <f>AJ709/24</f>
        <v/>
      </c>
      <c r="AV708" s="73">
        <f>AI709/125</f>
        <v/>
      </c>
      <c r="AW708" s="73">
        <f>AJ709/125</f>
        <v/>
      </c>
    </row>
    <row r="709" ht="15.75" customHeight="1" s="258">
      <c r="A709" s="2" t="n"/>
      <c r="B709" s="2" t="inlineStr">
        <is>
          <t>Red / 4 Inches</t>
        </is>
      </c>
      <c r="C709" s="2" t="inlineStr">
        <is>
          <t>MI-SB-P-R-4</t>
        </is>
      </c>
      <c r="D709" s="118" t="n">
        <v>575</v>
      </c>
      <c r="E709" s="2" t="n">
        <v>55</v>
      </c>
      <c r="F709" s="2" t="n">
        <v>85</v>
      </c>
      <c r="G709" s="118" t="n">
        <v>83061000</v>
      </c>
      <c r="H709" s="255" t="n">
        <v>0.05</v>
      </c>
      <c r="I709" s="2">
        <f>D710*H710</f>
        <v/>
      </c>
      <c r="K709" s="2" t="n">
        <v>40</v>
      </c>
      <c r="L709" s="4">
        <f>K710+J710+I710+F710+E710+D710</f>
        <v/>
      </c>
      <c r="M709" s="2">
        <f>D710*1%</f>
        <v/>
      </c>
      <c r="N709" s="12">
        <f>L710*8%</f>
        <v/>
      </c>
      <c r="O709" s="12">
        <f>L710*10%</f>
        <v/>
      </c>
      <c r="P709" s="12">
        <f>L710*5%</f>
        <v/>
      </c>
      <c r="Q709" s="12">
        <f>L710*2%</f>
        <v/>
      </c>
      <c r="R709" s="12">
        <f>AC710*0.5%</f>
        <v/>
      </c>
      <c r="S709" s="12">
        <f>L710*1%</f>
        <v/>
      </c>
      <c r="T709" s="60">
        <f>S710+Q710+P710+O710+N710+M710</f>
        <v/>
      </c>
      <c r="U709" s="2">
        <f>AC710*1%</f>
        <v/>
      </c>
      <c r="V709" s="44">
        <f>AC710*5%</f>
        <v/>
      </c>
      <c r="W709" s="2">
        <f>AC710*1%</f>
        <v/>
      </c>
      <c r="X709" s="2">
        <f>AC710*8%</f>
        <v/>
      </c>
      <c r="Y709" s="2">
        <f>U710+V710+W710+X710</f>
        <v/>
      </c>
      <c r="Z709" s="60">
        <f>Y710+T710+L710</f>
        <v/>
      </c>
      <c r="AA709" s="11">
        <f>Z710*20%</f>
        <v/>
      </c>
      <c r="AB709" s="12">
        <f>Z710+AA710</f>
        <v/>
      </c>
      <c r="AC709" s="2">
        <f>D710*2.1</f>
        <v/>
      </c>
      <c r="AD709" s="12">
        <f>AB710-AC710</f>
        <v/>
      </c>
      <c r="AE709" s="12">
        <f>AD710/AB710*100</f>
        <v/>
      </c>
      <c r="AF709" s="92" t="n">
        <v>1545</v>
      </c>
      <c r="AG709" s="62">
        <f>((AF710-L710)/L710)*100</f>
        <v/>
      </c>
      <c r="AH709" s="106">
        <f>AJ710-AF710</f>
        <v/>
      </c>
      <c r="AI709" s="65">
        <f>AB710</f>
        <v/>
      </c>
      <c r="AJ709" s="92" t="n">
        <v>1375</v>
      </c>
      <c r="AK709" s="66">
        <f>(AJ710-L710)/L710*100</f>
        <v/>
      </c>
      <c r="AL709" s="66" t="n"/>
      <c r="AM709" s="14">
        <f>AH710/AJ710%</f>
        <v/>
      </c>
      <c r="AN709" s="67">
        <f>AK710-AG710</f>
        <v/>
      </c>
      <c r="AO709" s="68">
        <f>AJ710/L710</f>
        <v/>
      </c>
      <c r="AP709" s="69">
        <f>(AJ710-AB710)/100</f>
        <v/>
      </c>
      <c r="AQ709" s="70">
        <f>(AJ710-AC710)/100</f>
        <v/>
      </c>
      <c r="AR709" s="71">
        <f>AI710/94</f>
        <v/>
      </c>
      <c r="AS709" s="71">
        <f>AJ710/94</f>
        <v/>
      </c>
      <c r="AT709" s="72">
        <f>AI710/24</f>
        <v/>
      </c>
      <c r="AU709" s="72">
        <f>AJ710/24</f>
        <v/>
      </c>
      <c r="AV709" s="73">
        <f>AI710/125</f>
        <v/>
      </c>
      <c r="AW709" s="73">
        <f>AJ710/125</f>
        <v/>
      </c>
    </row>
    <row r="710" ht="15.75" customHeight="1" s="258">
      <c r="A710" s="2" t="n"/>
      <c r="B710" s="2" t="inlineStr">
        <is>
          <t>4 Inches / Gold</t>
        </is>
      </c>
      <c r="C710" s="2" t="inlineStr">
        <is>
          <t>MI-SB-P-W-4</t>
        </is>
      </c>
      <c r="D710" s="118" t="n">
        <v>575</v>
      </c>
      <c r="E710" s="2" t="n">
        <v>55</v>
      </c>
      <c r="F710" s="2" t="n">
        <v>85</v>
      </c>
      <c r="G710" s="118" t="n">
        <v>83061000</v>
      </c>
      <c r="H710" s="255" t="n">
        <v>0.05</v>
      </c>
      <c r="I710" s="2">
        <f>D711*H711</f>
        <v/>
      </c>
      <c r="K710" s="2" t="n">
        <v>40</v>
      </c>
      <c r="L710" s="4">
        <f>K711+J711+I711+F711+E711+D711</f>
        <v/>
      </c>
      <c r="M710" s="2">
        <f>D711*1%</f>
        <v/>
      </c>
      <c r="N710" s="12">
        <f>L711*8%</f>
        <v/>
      </c>
      <c r="O710" s="12">
        <f>L711*10%</f>
        <v/>
      </c>
      <c r="P710" s="12">
        <f>L711*5%</f>
        <v/>
      </c>
      <c r="Q710" s="12">
        <f>L711*2%</f>
        <v/>
      </c>
      <c r="R710" s="12">
        <f>AC711*0.5%</f>
        <v/>
      </c>
      <c r="S710" s="12">
        <f>L711*1%</f>
        <v/>
      </c>
      <c r="T710" s="60">
        <f>S711+Q711+P711+O711+N711+M711</f>
        <v/>
      </c>
      <c r="U710" s="2">
        <f>AC711*1%</f>
        <v/>
      </c>
      <c r="V710" s="44">
        <f>AC711*5%</f>
        <v/>
      </c>
      <c r="W710" s="2">
        <f>AC711*1%</f>
        <v/>
      </c>
      <c r="X710" s="2">
        <f>AC711*8%</f>
        <v/>
      </c>
      <c r="Y710" s="2">
        <f>U711+V711+W711+X711</f>
        <v/>
      </c>
      <c r="Z710" s="60">
        <f>Y711+T711+L711</f>
        <v/>
      </c>
      <c r="AA710" s="11">
        <f>Z711*20%</f>
        <v/>
      </c>
      <c r="AB710" s="12">
        <f>Z711+AA711</f>
        <v/>
      </c>
      <c r="AC710" s="2">
        <f>D711*2.1</f>
        <v/>
      </c>
      <c r="AD710" s="12">
        <f>AB711-AC711</f>
        <v/>
      </c>
      <c r="AE710" s="12">
        <f>AD711/AB711*100</f>
        <v/>
      </c>
      <c r="AF710" s="92" t="n">
        <v>1545</v>
      </c>
      <c r="AG710" s="62">
        <f>((AF711-L711)/L711)*100</f>
        <v/>
      </c>
      <c r="AH710" s="106">
        <f>AJ711-AF711</f>
        <v/>
      </c>
      <c r="AI710" s="65">
        <f>AB711</f>
        <v/>
      </c>
      <c r="AJ710" s="92" t="n">
        <v>1375</v>
      </c>
      <c r="AK710" s="66">
        <f>(AJ711-L711)/L711*100</f>
        <v/>
      </c>
      <c r="AL710" s="66" t="n"/>
      <c r="AM710" s="14">
        <f>AH711/AJ711%</f>
        <v/>
      </c>
      <c r="AN710" s="67">
        <f>AK711-AG711</f>
        <v/>
      </c>
      <c r="AO710" s="68">
        <f>AJ711/L711</f>
        <v/>
      </c>
      <c r="AP710" s="69">
        <f>(AJ711-AB711)/100</f>
        <v/>
      </c>
      <c r="AQ710" s="70">
        <f>(AJ711-AC711)/100</f>
        <v/>
      </c>
      <c r="AR710" s="71">
        <f>AI711/94</f>
        <v/>
      </c>
      <c r="AS710" s="71">
        <f>AJ711/94</f>
        <v/>
      </c>
      <c r="AT710" s="72">
        <f>AI711/24</f>
        <v/>
      </c>
      <c r="AU710" s="72">
        <f>AJ711/24</f>
        <v/>
      </c>
      <c r="AV710" s="73">
        <f>AI711/125</f>
        <v/>
      </c>
      <c r="AW710" s="73">
        <f>AJ711/125</f>
        <v/>
      </c>
    </row>
    <row r="711" ht="15.75" customHeight="1" s="258">
      <c r="B711" s="2" t="inlineStr">
        <is>
          <t>Blue / 5.5 Inches</t>
        </is>
      </c>
      <c r="C711" s="2" t="inlineStr">
        <is>
          <t>MI-SB-P-B-5.5</t>
        </is>
      </c>
      <c r="D711" s="118" t="n">
        <v>1150</v>
      </c>
      <c r="E711" s="2" t="n">
        <v>55</v>
      </c>
      <c r="F711" s="2" t="n">
        <v>85</v>
      </c>
      <c r="G711" s="118" t="n">
        <v>83061000</v>
      </c>
      <c r="H711" s="255" t="n">
        <v>0.05</v>
      </c>
      <c r="I711" s="2">
        <f>D712*H712</f>
        <v/>
      </c>
      <c r="K711" s="2" t="n">
        <v>40</v>
      </c>
      <c r="L711" s="4">
        <f>K712+J712+I712+F712+E712+D712</f>
        <v/>
      </c>
      <c r="M711" s="2">
        <f>D712*1%</f>
        <v/>
      </c>
      <c r="N711" s="12">
        <f>L712*8%</f>
        <v/>
      </c>
      <c r="O711" s="12">
        <f>L712*10%</f>
        <v/>
      </c>
      <c r="P711" s="12">
        <f>L712*5%</f>
        <v/>
      </c>
      <c r="Q711" s="12">
        <f>L712*2%</f>
        <v/>
      </c>
      <c r="R711" s="12">
        <f>AC712*0.5%</f>
        <v/>
      </c>
      <c r="S711" s="12">
        <f>L712*1%</f>
        <v/>
      </c>
      <c r="T711" s="60">
        <f>S712+Q712+P712+O712+N712+M712</f>
        <v/>
      </c>
      <c r="U711" s="2">
        <f>AC712*1%</f>
        <v/>
      </c>
      <c r="V711" s="44">
        <f>AC712*5%</f>
        <v/>
      </c>
      <c r="W711" s="2">
        <f>AC712*1%</f>
        <v/>
      </c>
      <c r="X711" s="2">
        <f>AC712*8%</f>
        <v/>
      </c>
      <c r="Y711" s="2">
        <f>U712+V712+W712+X712</f>
        <v/>
      </c>
      <c r="Z711" s="60">
        <f>Y712+T712+L712</f>
        <v/>
      </c>
      <c r="AA711" s="11">
        <f>Z712*20%</f>
        <v/>
      </c>
      <c r="AB711" s="12">
        <f>Z712+AA712</f>
        <v/>
      </c>
      <c r="AC711" s="2">
        <f>D712*2.1</f>
        <v/>
      </c>
      <c r="AD711" s="12">
        <f>AB712-AC712</f>
        <v/>
      </c>
      <c r="AE711" s="12">
        <f>AD712/AB712*100</f>
        <v/>
      </c>
      <c r="AF711" s="92" t="n">
        <v>1995</v>
      </c>
      <c r="AG711" s="62">
        <f>((AF712-L712)/L712)*100</f>
        <v/>
      </c>
      <c r="AH711" s="106">
        <f>AJ712-AF712</f>
        <v/>
      </c>
      <c r="AI711" s="65" t="n">
        <v>3190</v>
      </c>
      <c r="AJ711" s="92" t="n">
        <v>2345</v>
      </c>
      <c r="AK711" s="66">
        <f>(AJ712-L712)/L712*100</f>
        <v/>
      </c>
      <c r="AL711" s="66" t="n"/>
      <c r="AM711" s="14">
        <f>AH712/AJ712%</f>
        <v/>
      </c>
      <c r="AN711" s="67">
        <f>AK712-AG712</f>
        <v/>
      </c>
      <c r="AO711" s="68">
        <f>AJ712/L712</f>
        <v/>
      </c>
      <c r="AP711" s="69">
        <f>(AJ712-AB712)/100</f>
        <v/>
      </c>
      <c r="AQ711" s="70">
        <f>(AJ712-AC712)/100</f>
        <v/>
      </c>
      <c r="AR711" s="71">
        <f>AI712/94</f>
        <v/>
      </c>
      <c r="AS711" s="71">
        <f>AJ712/94</f>
        <v/>
      </c>
      <c r="AT711" s="72">
        <f>AI712/24</f>
        <v/>
      </c>
      <c r="AU711" s="72">
        <f>AJ712/24</f>
        <v/>
      </c>
      <c r="AV711" s="73">
        <f>AI712/125</f>
        <v/>
      </c>
      <c r="AW711" s="73">
        <f>AJ712/125</f>
        <v/>
      </c>
    </row>
    <row r="712" ht="15" customHeight="1" s="258">
      <c r="A712" s="2" t="n"/>
      <c r="B712" s="2" t="inlineStr">
        <is>
          <t>Black / 5.5 Inches</t>
        </is>
      </c>
      <c r="C712" s="2" t="inlineStr">
        <is>
          <t>MI-SB-P-BK-5.5</t>
        </is>
      </c>
      <c r="D712" s="118" t="n">
        <v>1150</v>
      </c>
      <c r="E712" s="2" t="n">
        <v>55</v>
      </c>
      <c r="F712" s="2" t="n">
        <v>85</v>
      </c>
      <c r="G712" s="118" t="n">
        <v>83061000</v>
      </c>
      <c r="H712" s="255" t="n">
        <v>0.05</v>
      </c>
      <c r="I712" s="2">
        <f>D713*H713</f>
        <v/>
      </c>
      <c r="K712" s="2" t="n">
        <v>40</v>
      </c>
      <c r="L712" s="4">
        <f>K713+J713+I713+F713+E713+D713</f>
        <v/>
      </c>
      <c r="M712" s="2">
        <f>D713*1%</f>
        <v/>
      </c>
      <c r="N712" s="12">
        <f>L713*8%</f>
        <v/>
      </c>
      <c r="O712" s="12">
        <f>L713*10%</f>
        <v/>
      </c>
      <c r="P712" s="12">
        <f>L713*5%</f>
        <v/>
      </c>
      <c r="Q712" s="12">
        <f>L713*2%</f>
        <v/>
      </c>
      <c r="R712" s="12">
        <f>AC713*0.5%</f>
        <v/>
      </c>
      <c r="S712" s="12">
        <f>L713*1%</f>
        <v/>
      </c>
      <c r="T712" s="60">
        <f>S713+Q713+P713+O713+N713+M713</f>
        <v/>
      </c>
      <c r="U712" s="2">
        <f>AC713*1%</f>
        <v/>
      </c>
      <c r="V712" s="44">
        <f>AC713*5%</f>
        <v/>
      </c>
      <c r="W712" s="2">
        <f>AC713*1%</f>
        <v/>
      </c>
      <c r="X712" s="2">
        <f>AC713*8%</f>
        <v/>
      </c>
      <c r="Y712" s="2">
        <f>U713+V713+W713+X713</f>
        <v/>
      </c>
      <c r="Z712" s="60">
        <f>Y713+T713+L713</f>
        <v/>
      </c>
      <c r="AA712" s="11">
        <f>Z713*20%</f>
        <v/>
      </c>
      <c r="AB712" s="12">
        <f>Z713+AA713</f>
        <v/>
      </c>
      <c r="AC712" s="2">
        <f>D713*2.1</f>
        <v/>
      </c>
      <c r="AD712" s="12">
        <f>AB713-AC713</f>
        <v/>
      </c>
      <c r="AE712" s="12">
        <f>AD713/AB713*100</f>
        <v/>
      </c>
      <c r="AF712" s="92" t="n">
        <v>1995</v>
      </c>
      <c r="AG712" s="62">
        <f>((AF713-L713)/L713)*100</f>
        <v/>
      </c>
      <c r="AH712" s="106">
        <f>AJ713-AF713</f>
        <v/>
      </c>
      <c r="AI712" s="65">
        <f>AB713</f>
        <v/>
      </c>
      <c r="AJ712" s="92" t="n">
        <v>2345</v>
      </c>
      <c r="AK712" s="66">
        <f>(AJ713-L713)/L713*100</f>
        <v/>
      </c>
      <c r="AL712" s="66" t="n"/>
      <c r="AM712" s="14">
        <f>AH713/AJ713%</f>
        <v/>
      </c>
      <c r="AN712" s="67">
        <f>AK713-AG713</f>
        <v/>
      </c>
      <c r="AO712" s="68">
        <f>AJ713/L713</f>
        <v/>
      </c>
      <c r="AP712" s="69">
        <f>(AJ713-AB713)/100</f>
        <v/>
      </c>
      <c r="AQ712" s="70">
        <f>(AJ713-AC713)/100</f>
        <v/>
      </c>
      <c r="AR712" s="71">
        <f>AI713/94</f>
        <v/>
      </c>
      <c r="AS712" s="71">
        <f>AJ713/94</f>
        <v/>
      </c>
      <c r="AT712" s="72">
        <f>AI713/24</f>
        <v/>
      </c>
      <c r="AU712" s="72">
        <f>AJ713/24</f>
        <v/>
      </c>
      <c r="AV712" s="73">
        <f>AI713/125</f>
        <v/>
      </c>
      <c r="AW712" s="73">
        <f>AJ713/125</f>
        <v/>
      </c>
    </row>
    <row r="713" ht="15.75" customHeight="1" s="258">
      <c r="A713" s="2" t="n"/>
      <c r="B713" s="2" t="inlineStr">
        <is>
          <t>5.5 Inches / Green</t>
        </is>
      </c>
      <c r="C713" s="2" t="inlineStr">
        <is>
          <t>MI-SB-P-G-5.5</t>
        </is>
      </c>
      <c r="D713" s="118" t="n">
        <v>1150</v>
      </c>
      <c r="E713" s="2" t="n">
        <v>55</v>
      </c>
      <c r="F713" s="2" t="n">
        <v>85</v>
      </c>
      <c r="G713" s="118" t="n">
        <v>83061000</v>
      </c>
      <c r="H713" s="255" t="n">
        <v>0.05</v>
      </c>
      <c r="I713" s="2">
        <f>D714*H714</f>
        <v/>
      </c>
      <c r="K713" s="2" t="n">
        <v>40</v>
      </c>
      <c r="L713" s="4">
        <f>K714+J714+I714+F714+E714+D714</f>
        <v/>
      </c>
      <c r="M713" s="2">
        <f>D714*1%</f>
        <v/>
      </c>
      <c r="N713" s="12">
        <f>L714*8%</f>
        <v/>
      </c>
      <c r="O713" s="12">
        <f>L714*10%</f>
        <v/>
      </c>
      <c r="P713" s="12">
        <f>L714*5%</f>
        <v/>
      </c>
      <c r="Q713" s="12">
        <f>L714*2%</f>
        <v/>
      </c>
      <c r="R713" s="12">
        <f>AC714*0.5%</f>
        <v/>
      </c>
      <c r="S713" s="12">
        <f>L714*1%</f>
        <v/>
      </c>
      <c r="T713" s="60">
        <f>S714+Q714+P714+O714+N714+M714</f>
        <v/>
      </c>
      <c r="U713" s="2">
        <f>AC714*1%</f>
        <v/>
      </c>
      <c r="V713" s="44">
        <f>AC714*5%</f>
        <v/>
      </c>
      <c r="W713" s="2">
        <f>AC714*1%</f>
        <v/>
      </c>
      <c r="X713" s="2">
        <f>AC714*8%</f>
        <v/>
      </c>
      <c r="Y713" s="2">
        <f>U714+V714+W714+X714</f>
        <v/>
      </c>
      <c r="Z713" s="60">
        <f>Y714+T714+L714</f>
        <v/>
      </c>
      <c r="AA713" s="11">
        <f>Z714*20%</f>
        <v/>
      </c>
      <c r="AB713" s="12">
        <f>Z714+AA714</f>
        <v/>
      </c>
      <c r="AC713" s="2">
        <f>D714*2.1</f>
        <v/>
      </c>
      <c r="AD713" s="12">
        <f>AB714-AC714</f>
        <v/>
      </c>
      <c r="AE713" s="12">
        <f>AD714/AB714*100</f>
        <v/>
      </c>
      <c r="AF713" s="92" t="n">
        <v>1995</v>
      </c>
      <c r="AG713" s="62">
        <f>((AF714-L714)/L714)*100</f>
        <v/>
      </c>
      <c r="AH713" s="106">
        <f>AJ714-AF714</f>
        <v/>
      </c>
      <c r="AI713" s="65">
        <f>AB714</f>
        <v/>
      </c>
      <c r="AJ713" s="92" t="n">
        <v>2345</v>
      </c>
      <c r="AK713" s="66">
        <f>(AJ714-L714)/L714*100</f>
        <v/>
      </c>
      <c r="AL713" s="66" t="n"/>
      <c r="AM713" s="14">
        <f>AH714/AJ714%</f>
        <v/>
      </c>
      <c r="AN713" s="67">
        <f>AK714-AG714</f>
        <v/>
      </c>
      <c r="AO713" s="68">
        <f>AJ714/L714</f>
        <v/>
      </c>
      <c r="AP713" s="69">
        <f>(AJ714-AB714)/100</f>
        <v/>
      </c>
      <c r="AQ713" s="70">
        <f>(AJ714-AC714)/100</f>
        <v/>
      </c>
      <c r="AR713" s="71">
        <f>AI714/94</f>
        <v/>
      </c>
      <c r="AS713" s="71">
        <f>AJ714/94</f>
        <v/>
      </c>
      <c r="AT713" s="72">
        <f>AI714/24</f>
        <v/>
      </c>
      <c r="AU713" s="72">
        <f>AJ714/24</f>
        <v/>
      </c>
      <c r="AV713" s="73">
        <f>AI714/125</f>
        <v/>
      </c>
      <c r="AW713" s="73">
        <f>AJ714/125</f>
        <v/>
      </c>
    </row>
    <row r="714" ht="15.75" customHeight="1" s="258">
      <c r="A714" s="2" t="n"/>
      <c r="B714" s="2" t="inlineStr">
        <is>
          <t>Red / 5.5 Inches</t>
        </is>
      </c>
      <c r="C714" s="2" t="inlineStr">
        <is>
          <t>MI-SB-P-R-5.5</t>
        </is>
      </c>
      <c r="D714" s="118" t="n">
        <v>1150</v>
      </c>
      <c r="E714" s="2" t="n">
        <v>55</v>
      </c>
      <c r="F714" s="2" t="n">
        <v>85</v>
      </c>
      <c r="G714" s="118" t="n">
        <v>83061000</v>
      </c>
      <c r="H714" s="255" t="n">
        <v>0.05</v>
      </c>
      <c r="I714" s="2">
        <f>D715*H715</f>
        <v/>
      </c>
      <c r="K714" s="2" t="n">
        <v>40</v>
      </c>
      <c r="L714" s="4">
        <f>K715+J715+I715+F715+E715+D715</f>
        <v/>
      </c>
      <c r="M714" s="2">
        <f>D715*1%</f>
        <v/>
      </c>
      <c r="N714" s="12">
        <f>L715*8%</f>
        <v/>
      </c>
      <c r="O714" s="12">
        <f>L715*10%</f>
        <v/>
      </c>
      <c r="P714" s="12">
        <f>L715*5%</f>
        <v/>
      </c>
      <c r="Q714" s="12">
        <f>L715*2%</f>
        <v/>
      </c>
      <c r="R714" s="12">
        <f>AC715*0.5%</f>
        <v/>
      </c>
      <c r="S714" s="12">
        <f>L715*1%</f>
        <v/>
      </c>
      <c r="T714" s="60">
        <f>S715+Q715+P715+O715+N715+M715</f>
        <v/>
      </c>
      <c r="U714" s="2">
        <f>AC715*1%</f>
        <v/>
      </c>
      <c r="V714" s="44">
        <f>AC715*5%</f>
        <v/>
      </c>
      <c r="W714" s="2">
        <f>AC715*1%</f>
        <v/>
      </c>
      <c r="X714" s="2">
        <f>AC715*8%</f>
        <v/>
      </c>
      <c r="Y714" s="2">
        <f>U715+V715+W715+X715</f>
        <v/>
      </c>
      <c r="Z714" s="60">
        <f>Y715+T715+L715</f>
        <v/>
      </c>
      <c r="AA714" s="11">
        <f>Z715*20%</f>
        <v/>
      </c>
      <c r="AB714" s="12">
        <f>Z715+AA715</f>
        <v/>
      </c>
      <c r="AC714" s="2">
        <f>D715*2.1</f>
        <v/>
      </c>
      <c r="AD714" s="12">
        <f>AB715-AC715</f>
        <v/>
      </c>
      <c r="AE714" s="12">
        <f>AD715/AB715*100</f>
        <v/>
      </c>
      <c r="AF714" s="92" t="n">
        <v>1995</v>
      </c>
      <c r="AG714" s="62">
        <f>((AF715-L715)/L715)*100</f>
        <v/>
      </c>
      <c r="AH714" s="106">
        <f>AJ715-AF715</f>
        <v/>
      </c>
      <c r="AI714" s="65">
        <f>AB715</f>
        <v/>
      </c>
      <c r="AJ714" s="92" t="n">
        <v>2345</v>
      </c>
      <c r="AK714" s="66">
        <f>(AJ715-L715)/L715*100</f>
        <v/>
      </c>
      <c r="AL714" s="66" t="n"/>
      <c r="AM714" s="14">
        <f>AH715/AJ715%</f>
        <v/>
      </c>
      <c r="AN714" s="67">
        <f>AK715-AG715</f>
        <v/>
      </c>
      <c r="AO714" s="68">
        <f>AJ715/L715</f>
        <v/>
      </c>
      <c r="AP714" s="69">
        <f>(AJ715-AB715)/100</f>
        <v/>
      </c>
      <c r="AQ714" s="70">
        <f>(AJ715-AC715)/100</f>
        <v/>
      </c>
      <c r="AR714" s="71">
        <f>AI715/94</f>
        <v/>
      </c>
      <c r="AS714" s="71">
        <f>AJ715/94</f>
        <v/>
      </c>
      <c r="AT714" s="72">
        <f>AI715/24</f>
        <v/>
      </c>
      <c r="AU714" s="72">
        <f>AJ715/24</f>
        <v/>
      </c>
      <c r="AV714" s="73">
        <f>AI715/125</f>
        <v/>
      </c>
      <c r="AW714" s="73">
        <f>AJ715/125</f>
        <v/>
      </c>
    </row>
    <row r="715" ht="15.75" customHeight="1" s="258">
      <c r="A715" s="2" t="n"/>
      <c r="B715" s="2" t="inlineStr">
        <is>
          <t>Gold / 5.5 Inches</t>
        </is>
      </c>
      <c r="C715" s="2" t="inlineStr">
        <is>
          <t>MI-SB-P-W-5.5</t>
        </is>
      </c>
      <c r="D715" s="118" t="n">
        <v>1150</v>
      </c>
      <c r="E715" s="2" t="n">
        <v>55</v>
      </c>
      <c r="F715" s="2" t="n">
        <v>85</v>
      </c>
      <c r="G715" s="118" t="n">
        <v>83061000</v>
      </c>
      <c r="H715" s="255" t="n">
        <v>0.05</v>
      </c>
      <c r="I715" s="2">
        <f>D716*H716</f>
        <v/>
      </c>
      <c r="K715" s="2" t="n">
        <v>40</v>
      </c>
      <c r="L715" s="4">
        <f>K716+J716+I716+F716+E716+D716</f>
        <v/>
      </c>
      <c r="M715" s="2">
        <f>D716*1%</f>
        <v/>
      </c>
      <c r="N715" s="12">
        <f>L716*8%</f>
        <v/>
      </c>
      <c r="O715" s="12">
        <f>L716*10%</f>
        <v/>
      </c>
      <c r="P715" s="12">
        <f>L716*5%</f>
        <v/>
      </c>
      <c r="Q715" s="12">
        <f>L716*2%</f>
        <v/>
      </c>
      <c r="R715" s="12">
        <f>AC716*0.5%</f>
        <v/>
      </c>
      <c r="S715" s="12">
        <f>L716*1%</f>
        <v/>
      </c>
      <c r="T715" s="60">
        <f>S716+Q716+P716+O716+N716+M716</f>
        <v/>
      </c>
      <c r="U715" s="2">
        <f>AC716*1%</f>
        <v/>
      </c>
      <c r="V715" s="44">
        <f>AC716*5%</f>
        <v/>
      </c>
      <c r="W715" s="2">
        <f>AC716*1%</f>
        <v/>
      </c>
      <c r="X715" s="2">
        <f>AC716*8%</f>
        <v/>
      </c>
      <c r="Y715" s="2">
        <f>U716+V716+W716+X716</f>
        <v/>
      </c>
      <c r="Z715" s="60">
        <f>Y716+T716+L716</f>
        <v/>
      </c>
      <c r="AA715" s="11">
        <f>Z716*20%</f>
        <v/>
      </c>
      <c r="AB715" s="12">
        <f>Z716+AA716</f>
        <v/>
      </c>
      <c r="AC715" s="2">
        <f>D716*2.1</f>
        <v/>
      </c>
      <c r="AD715" s="12">
        <f>AB716-AC716</f>
        <v/>
      </c>
      <c r="AE715" s="12">
        <f>AD716/AB716*100</f>
        <v/>
      </c>
      <c r="AF715" s="92" t="n">
        <v>1995</v>
      </c>
      <c r="AG715" s="62">
        <f>((AF716-L716)/L716)*100</f>
        <v/>
      </c>
      <c r="AH715" s="106">
        <f>AJ716-AF716</f>
        <v/>
      </c>
      <c r="AI715" s="65">
        <f>AB716</f>
        <v/>
      </c>
      <c r="AJ715" s="92" t="n">
        <v>2345</v>
      </c>
      <c r="AK715" s="66">
        <f>(AJ716-L716)/L716*100</f>
        <v/>
      </c>
      <c r="AL715" s="66" t="n"/>
      <c r="AM715" s="14">
        <f>AH716/AJ716%</f>
        <v/>
      </c>
      <c r="AN715" s="67">
        <f>AK716-AG716</f>
        <v/>
      </c>
      <c r="AO715" s="68">
        <f>AJ716/L716</f>
        <v/>
      </c>
      <c r="AP715" s="69">
        <f>(AJ716-AB716)/100</f>
        <v/>
      </c>
      <c r="AQ715" s="70">
        <f>(AJ716-AC716)/100</f>
        <v/>
      </c>
      <c r="AR715" s="71">
        <f>AI716/94</f>
        <v/>
      </c>
      <c r="AS715" s="71">
        <f>AJ716/94</f>
        <v/>
      </c>
      <c r="AT715" s="72">
        <f>AI716/24</f>
        <v/>
      </c>
      <c r="AU715" s="72">
        <f>AJ716/24</f>
        <v/>
      </c>
      <c r="AV715" s="73">
        <f>AI716/125</f>
        <v/>
      </c>
      <c r="AW715" s="73">
        <f>AJ716/125</f>
        <v/>
      </c>
    </row>
    <row r="716" ht="15.75" customHeight="1" s="258">
      <c r="A716" s="2" t="inlineStr">
        <is>
          <t>Spin/Twist Drum or Den Den Daiko</t>
        </is>
      </c>
      <c r="B716" s="2" t="inlineStr">
        <is>
          <t>Large 3.5 in</t>
        </is>
      </c>
      <c r="C716" s="2" t="inlineStr">
        <is>
          <t>MI-TD-YY</t>
        </is>
      </c>
      <c r="D716" s="121" t="n">
        <v>200</v>
      </c>
      <c r="F716" s="2" t="n">
        <v>50</v>
      </c>
      <c r="G716" s="118" t="n">
        <v>940490099</v>
      </c>
      <c r="H716" s="255" t="n">
        <v>0.05</v>
      </c>
      <c r="I716" s="2">
        <f>D717*H717</f>
        <v/>
      </c>
      <c r="J716" s="2">
        <f>D717*5%</f>
        <v/>
      </c>
      <c r="K716" s="2" t="n">
        <v>300</v>
      </c>
      <c r="L716" s="4">
        <f>K717+J717+I717+F717+E717+D717</f>
        <v/>
      </c>
      <c r="M716" s="2">
        <f>D717*1%</f>
        <v/>
      </c>
      <c r="N716" s="12">
        <f>L717*8%</f>
        <v/>
      </c>
      <c r="O716" s="12">
        <f>L717*10%</f>
        <v/>
      </c>
      <c r="P716" s="12">
        <f>L717*5%</f>
        <v/>
      </c>
      <c r="Q716" s="12">
        <f>L717*2%</f>
        <v/>
      </c>
      <c r="R716" s="12">
        <f>AC717*0.5%</f>
        <v/>
      </c>
      <c r="S716" s="12">
        <f>L717*1%</f>
        <v/>
      </c>
      <c r="T716" s="60">
        <f>S717+Q717+P717+O717+N717+M717</f>
        <v/>
      </c>
      <c r="U716" s="2">
        <f>AC717*1%</f>
        <v/>
      </c>
      <c r="V716" s="44">
        <f>AC717*5%</f>
        <v/>
      </c>
      <c r="W716" s="2">
        <f>AC717*1%</f>
        <v/>
      </c>
      <c r="X716" s="2">
        <f>AC717*8%</f>
        <v/>
      </c>
      <c r="Y716" s="2">
        <f>U717+V717+W717+X717</f>
        <v/>
      </c>
      <c r="Z716" s="60">
        <f>Y717+T717+L717</f>
        <v/>
      </c>
      <c r="AA716" s="11">
        <f>Z717*20%</f>
        <v/>
      </c>
      <c r="AB716" s="12">
        <f>Z717+AA717</f>
        <v/>
      </c>
      <c r="AC716" s="2">
        <f>D717*2.1</f>
        <v/>
      </c>
      <c r="AD716" s="12">
        <f>AB717-AC717</f>
        <v/>
      </c>
      <c r="AE716" s="12">
        <f>AD717/AB717*100</f>
        <v/>
      </c>
      <c r="AF716" s="92" t="n">
        <v>895</v>
      </c>
      <c r="AG716" s="62">
        <f>((AF717-L717)/L717)*100</f>
        <v/>
      </c>
      <c r="AH716" s="106">
        <f>AJ717-AF717</f>
        <v/>
      </c>
      <c r="AI716" s="65" t="n">
        <v>949</v>
      </c>
      <c r="AJ716" s="65" t="n">
        <v>925</v>
      </c>
      <c r="AK716" s="66">
        <f>(AJ717-L717)/L717*100</f>
        <v/>
      </c>
      <c r="AL716" s="66" t="n"/>
      <c r="AM716" s="14">
        <f>AH717/AJ717%</f>
        <v/>
      </c>
      <c r="AN716" s="67">
        <f>AK717-AG717</f>
        <v/>
      </c>
      <c r="AO716" s="68">
        <f>AJ717/L717</f>
        <v/>
      </c>
      <c r="AP716" s="69">
        <f>(AJ717-AB717)/100</f>
        <v/>
      </c>
      <c r="AQ716" s="70">
        <f>(AJ717-AC717)/100</f>
        <v/>
      </c>
      <c r="AR716" s="71">
        <f>AI717/94</f>
        <v/>
      </c>
      <c r="AS716" s="71">
        <f>AJ717/94</f>
        <v/>
      </c>
      <c r="AT716" s="72">
        <f>AI717/24</f>
        <v/>
      </c>
      <c r="AU716" s="72">
        <f>AJ717/24</f>
        <v/>
      </c>
      <c r="AV716" s="73">
        <f>AI717/125</f>
        <v/>
      </c>
      <c r="AW716" s="73">
        <f>AJ717/125</f>
        <v/>
      </c>
    </row>
    <row r="717" ht="15" customHeight="1" s="258">
      <c r="A717" s="2" t="n"/>
      <c r="B717" s="2" t="inlineStr">
        <is>
          <t>Small 3 in</t>
        </is>
      </c>
      <c r="C717" s="2" t="inlineStr">
        <is>
          <t>MI-TD-RB</t>
        </is>
      </c>
      <c r="D717" s="121" t="n">
        <v>150</v>
      </c>
      <c r="F717" s="2" t="n">
        <v>50</v>
      </c>
      <c r="G717" s="118" t="n">
        <v>4202</v>
      </c>
      <c r="H717" s="255" t="n">
        <v>0.18</v>
      </c>
      <c r="I717" s="2">
        <f>D718*H718</f>
        <v/>
      </c>
      <c r="J717" s="2">
        <f>D718*5%</f>
        <v/>
      </c>
      <c r="K717" s="2" t="n">
        <v>300</v>
      </c>
      <c r="L717" s="4">
        <f>K718+J718+I718+F718+E718+D718</f>
        <v/>
      </c>
      <c r="M717" s="2">
        <f>D718*1%</f>
        <v/>
      </c>
      <c r="N717" s="12">
        <f>L718*8%</f>
        <v/>
      </c>
      <c r="O717" s="12">
        <f>L718*10%</f>
        <v/>
      </c>
      <c r="P717" s="12">
        <f>L718*5%</f>
        <v/>
      </c>
      <c r="Q717" s="12">
        <f>L718*2%</f>
        <v/>
      </c>
      <c r="R717" s="12">
        <f>AC718*0.5%</f>
        <v/>
      </c>
      <c r="S717" s="12">
        <f>L718*1%</f>
        <v/>
      </c>
      <c r="T717" s="60">
        <f>S718+Q718+P718+O718+N718+M718</f>
        <v/>
      </c>
      <c r="U717" s="2">
        <f>AC718*1%</f>
        <v/>
      </c>
      <c r="V717" s="44">
        <f>AC718*5%</f>
        <v/>
      </c>
      <c r="W717" s="2">
        <f>AC718*1%</f>
        <v/>
      </c>
      <c r="X717" s="2">
        <f>AC718*8%</f>
        <v/>
      </c>
      <c r="Y717" s="2">
        <f>U718+V718+W718+X718</f>
        <v/>
      </c>
      <c r="Z717" s="60">
        <f>Y718+T718+L718</f>
        <v/>
      </c>
      <c r="AA717" s="11">
        <f>Z718*20%</f>
        <v/>
      </c>
      <c r="AB717" s="12">
        <f>Z718+AA718</f>
        <v/>
      </c>
      <c r="AC717" s="2">
        <f>D718*2.1</f>
        <v/>
      </c>
      <c r="AD717" s="12">
        <f>AB718-AC718</f>
        <v/>
      </c>
      <c r="AE717" s="12">
        <f>AD718/AB718*100</f>
        <v/>
      </c>
      <c r="AF717" s="92" t="n">
        <v>795</v>
      </c>
      <c r="AG717" s="62">
        <f>((AF718-L718)/L718)*100</f>
        <v/>
      </c>
      <c r="AH717" s="106">
        <f>AJ718-AF718</f>
        <v/>
      </c>
      <c r="AI717" s="65" t="n">
        <v>890</v>
      </c>
      <c r="AJ717" s="65" t="n">
        <v>855</v>
      </c>
      <c r="AK717" s="66">
        <f>(AJ718-L718)/L718*100</f>
        <v/>
      </c>
      <c r="AL717" s="66" t="n"/>
      <c r="AM717" s="14">
        <f>AH718/AJ718%</f>
        <v/>
      </c>
      <c r="AN717" s="67">
        <f>AK718-AG718</f>
        <v/>
      </c>
      <c r="AO717" s="68">
        <f>AJ718/L718</f>
        <v/>
      </c>
      <c r="AP717" s="69">
        <f>(AJ718-AB718)/100</f>
        <v/>
      </c>
      <c r="AQ717" s="70">
        <f>(AJ718-AC718)/100</f>
        <v/>
      </c>
      <c r="AR717" s="71">
        <f>AI718/94</f>
        <v/>
      </c>
      <c r="AS717" s="71">
        <f>AJ718/94</f>
        <v/>
      </c>
      <c r="AT717" s="72">
        <f>AI718/24</f>
        <v/>
      </c>
      <c r="AU717" s="72">
        <f>AJ718/24</f>
        <v/>
      </c>
      <c r="AV717" s="73">
        <f>AI718/125</f>
        <v/>
      </c>
      <c r="AW717" s="73">
        <f>AJ718/125</f>
        <v/>
      </c>
    </row>
    <row r="718" ht="15.75" customHeight="1" s="258">
      <c r="A718" s="2" t="inlineStr">
        <is>
          <t>Spiral/Snake Didgeridoo</t>
        </is>
      </c>
      <c r="B718" s="2" t="inlineStr">
        <is>
          <t>Green</t>
        </is>
      </c>
      <c r="C718" s="2" t="inlineStr">
        <is>
          <t>MI-DG-SP-G</t>
        </is>
      </c>
      <c r="D718" s="121" t="n">
        <v>2000</v>
      </c>
      <c r="E718" s="2" t="n">
        <v>150</v>
      </c>
      <c r="F718" s="2" t="n">
        <v>145</v>
      </c>
      <c r="G718" s="118" t="n">
        <v>44201900</v>
      </c>
      <c r="H718" s="255" t="n">
        <v>0.05</v>
      </c>
      <c r="I718" s="2">
        <f>D719*H719</f>
        <v/>
      </c>
      <c r="K718" s="2" t="n">
        <v>800</v>
      </c>
      <c r="L718" s="4">
        <f>K719+J719+I719+F719+E719+D719</f>
        <v/>
      </c>
      <c r="M718" s="2">
        <f>D719*1%</f>
        <v/>
      </c>
      <c r="N718" s="12">
        <f>L719*8%</f>
        <v/>
      </c>
      <c r="O718" s="12">
        <f>L719*10%</f>
        <v/>
      </c>
      <c r="P718" s="12">
        <f>L719*5%</f>
        <v/>
      </c>
      <c r="Q718" s="12">
        <f>L719*2%</f>
        <v/>
      </c>
      <c r="R718" s="12">
        <f>AC719*0.5%</f>
        <v/>
      </c>
      <c r="S718" s="12">
        <f>L719*1%</f>
        <v/>
      </c>
      <c r="T718" s="60">
        <f>S719+Q719+P719+O719+N719+M719</f>
        <v/>
      </c>
      <c r="U718" s="2">
        <f>AC719*1%</f>
        <v/>
      </c>
      <c r="V718" s="44">
        <f>AC719*5%</f>
        <v/>
      </c>
      <c r="W718" s="2">
        <f>AC719*1%</f>
        <v/>
      </c>
      <c r="X718" s="2">
        <f>AC719*8%</f>
        <v/>
      </c>
      <c r="Y718" s="2">
        <f>U719+V719+W719+X719</f>
        <v/>
      </c>
      <c r="Z718" s="60">
        <f>Y719+T719+L719</f>
        <v/>
      </c>
      <c r="AA718" s="11">
        <f>Z719*20%</f>
        <v/>
      </c>
      <c r="AB718" s="12">
        <f>Z719+AA719</f>
        <v/>
      </c>
      <c r="AC718" s="2">
        <f>D719*2.1</f>
        <v/>
      </c>
      <c r="AD718" s="12">
        <f>AB719-AC719</f>
        <v/>
      </c>
      <c r="AE718" s="12">
        <f>AD719/AB719*100</f>
        <v/>
      </c>
      <c r="AF718" s="92" t="n">
        <v>6650</v>
      </c>
      <c r="AG718" s="62">
        <f>((AF719-L719)/L719)*100</f>
        <v/>
      </c>
      <c r="AH718" s="106">
        <f>AJ719-AF719</f>
        <v/>
      </c>
      <c r="AI718" s="65" t="n">
        <v>7990</v>
      </c>
      <c r="AJ718" s="65" t="n">
        <v>6650</v>
      </c>
      <c r="AK718" s="66">
        <f>(AJ719-L719)/L719*100</f>
        <v/>
      </c>
      <c r="AL718" s="66" t="n"/>
      <c r="AM718" s="14">
        <f>AH719/AJ719%</f>
        <v/>
      </c>
      <c r="AN718" s="67">
        <f>AK719-AG719</f>
        <v/>
      </c>
      <c r="AO718" s="68">
        <f>AJ719/L719</f>
        <v/>
      </c>
      <c r="AP718" s="69">
        <f>(AJ719-AB719)/100</f>
        <v/>
      </c>
      <c r="AQ718" s="70">
        <f>(AJ719-AC719)/100</f>
        <v/>
      </c>
      <c r="AR718" s="71">
        <f>AI719/94</f>
        <v/>
      </c>
      <c r="AS718" s="71">
        <f>AJ719/94</f>
        <v/>
      </c>
      <c r="AT718" s="72">
        <f>AI719/24</f>
        <v/>
      </c>
      <c r="AU718" s="72">
        <f>AJ719/24</f>
        <v/>
      </c>
      <c r="AV718" s="73">
        <f>AI719/125</f>
        <v/>
      </c>
      <c r="AW718" s="73">
        <f>AJ719/125</f>
        <v/>
      </c>
    </row>
    <row r="719" ht="15" customHeight="1" s="258">
      <c r="A719" s="2" t="n"/>
      <c r="B719" s="2" t="inlineStr">
        <is>
          <t>Red</t>
        </is>
      </c>
      <c r="C719" s="2" t="inlineStr">
        <is>
          <t>MI-DG-SP-R</t>
        </is>
      </c>
      <c r="D719" s="121" t="n">
        <v>2000</v>
      </c>
      <c r="E719" s="2" t="n">
        <v>150</v>
      </c>
      <c r="F719" s="2" t="n">
        <v>145</v>
      </c>
      <c r="G719" s="118" t="n">
        <v>44201900</v>
      </c>
      <c r="H719" s="255" t="n">
        <v>0.05</v>
      </c>
      <c r="I719" s="2">
        <f>D720*H720</f>
        <v/>
      </c>
      <c r="K719" s="2" t="n">
        <v>800</v>
      </c>
      <c r="L719" s="4">
        <f>K720+J720+I720+F720+E720+D720</f>
        <v/>
      </c>
      <c r="M719" s="2">
        <f>D720*1%</f>
        <v/>
      </c>
      <c r="N719" s="12">
        <f>L720*8%</f>
        <v/>
      </c>
      <c r="O719" s="12">
        <f>L720*10%</f>
        <v/>
      </c>
      <c r="P719" s="12">
        <f>L720*5%</f>
        <v/>
      </c>
      <c r="Q719" s="12">
        <f>L720*2%</f>
        <v/>
      </c>
      <c r="R719" s="12">
        <f>AC720*0.5%</f>
        <v/>
      </c>
      <c r="S719" s="12">
        <f>L720*1%</f>
        <v/>
      </c>
      <c r="T719" s="60">
        <f>S720+Q720+P720+O720+N720+M720</f>
        <v/>
      </c>
      <c r="U719" s="2">
        <f>AC720*1%</f>
        <v/>
      </c>
      <c r="V719" s="44">
        <f>AC720*5%</f>
        <v/>
      </c>
      <c r="W719" s="2">
        <f>AC720*1%</f>
        <v/>
      </c>
      <c r="X719" s="2">
        <f>AC720*8%</f>
        <v/>
      </c>
      <c r="Y719" s="2">
        <f>U720+V720+W720+X720</f>
        <v/>
      </c>
      <c r="Z719" s="60">
        <f>Y720+T720+L720</f>
        <v/>
      </c>
      <c r="AA719" s="11">
        <f>Z720*20%</f>
        <v/>
      </c>
      <c r="AB719" s="12">
        <f>Z720+AA720</f>
        <v/>
      </c>
      <c r="AC719" s="2">
        <f>D720*2.1</f>
        <v/>
      </c>
      <c r="AD719" s="12">
        <f>AB720-AC720</f>
        <v/>
      </c>
      <c r="AE719" s="12">
        <f>AD720/AB720*100</f>
        <v/>
      </c>
      <c r="AF719" s="92" t="n">
        <v>6650</v>
      </c>
      <c r="AG719" s="62">
        <f>((AF720-L720)/L720)*100</f>
        <v/>
      </c>
      <c r="AH719" s="106">
        <f>AJ720-AF720</f>
        <v/>
      </c>
      <c r="AI719" s="65" t="n">
        <v>7990</v>
      </c>
      <c r="AJ719" s="65" t="n">
        <v>6650</v>
      </c>
      <c r="AK719" s="66">
        <f>(AJ720-L720)/L720*100</f>
        <v/>
      </c>
      <c r="AL719" s="66" t="n"/>
      <c r="AM719" s="14">
        <f>AH720/AJ720%</f>
        <v/>
      </c>
      <c r="AN719" s="67">
        <f>AK720-AG720</f>
        <v/>
      </c>
      <c r="AO719" s="68">
        <f>AJ720/L720</f>
        <v/>
      </c>
      <c r="AP719" s="69">
        <f>(AJ720-AB720)/100</f>
        <v/>
      </c>
      <c r="AQ719" s="70">
        <f>(AJ720-AC720)/100</f>
        <v/>
      </c>
      <c r="AR719" s="71">
        <f>AI720/94</f>
        <v/>
      </c>
      <c r="AS719" s="71">
        <f>AJ720/94</f>
        <v/>
      </c>
      <c r="AT719" s="72">
        <f>AI720/24</f>
        <v/>
      </c>
      <c r="AU719" s="72">
        <f>AJ720/24</f>
        <v/>
      </c>
      <c r="AV719" s="73">
        <f>AI720/125</f>
        <v/>
      </c>
      <c r="AW719" s="73">
        <f>AJ720/125</f>
        <v/>
      </c>
    </row>
    <row r="720" ht="15.75" customHeight="1" s="258">
      <c r="A720" s="96" t="inlineStr">
        <is>
          <t>Stainless Steel Straws</t>
        </is>
      </c>
      <c r="B720" s="96" t="inlineStr">
        <is>
          <t>pack-of-2</t>
        </is>
      </c>
      <c r="C720" s="96" t="inlineStr">
        <is>
          <t>SSS-2</t>
        </is>
      </c>
      <c r="D720" s="94" t="n">
        <v>60</v>
      </c>
      <c r="E720" s="96" t="n">
        <v>40</v>
      </c>
      <c r="F720" s="96" t="n">
        <v>40</v>
      </c>
      <c r="G720" s="94" t="n">
        <v>73269099</v>
      </c>
      <c r="H720" s="97" t="n">
        <v>0.18</v>
      </c>
      <c r="I720" s="96">
        <f>D721*H721</f>
        <v/>
      </c>
      <c r="J720" s="107" t="n"/>
      <c r="K720" s="96" t="n">
        <v>2</v>
      </c>
      <c r="L720" s="98">
        <f>K721+J721+I721+F721+E721+D721</f>
        <v/>
      </c>
      <c r="M720" s="96">
        <f>D721*1%</f>
        <v/>
      </c>
      <c r="N720" s="99">
        <f>L721*8%</f>
        <v/>
      </c>
      <c r="O720" s="99">
        <f>L721*10%</f>
        <v/>
      </c>
      <c r="P720" s="99">
        <f>L721*5%</f>
        <v/>
      </c>
      <c r="Q720" s="99">
        <f>L721*2%</f>
        <v/>
      </c>
      <c r="R720" s="99">
        <f>AC721*0.5%</f>
        <v/>
      </c>
      <c r="S720" s="99">
        <f>L721*1%</f>
        <v/>
      </c>
      <c r="T720" s="100">
        <f>S721+Q721+P721+O721+N721+M721</f>
        <v/>
      </c>
      <c r="U720" s="96">
        <f>AC721*1%</f>
        <v/>
      </c>
      <c r="V720" s="44">
        <f>AC721*5%</f>
        <v/>
      </c>
      <c r="W720" s="96">
        <f>AC721*1%</f>
        <v/>
      </c>
      <c r="X720" s="96">
        <f>AC721*8%</f>
        <v/>
      </c>
      <c r="Y720" s="96">
        <f>U721+V721+W721+X721</f>
        <v/>
      </c>
      <c r="Z720" s="100">
        <f>Y721+T721+L721</f>
        <v/>
      </c>
      <c r="AA720" s="101">
        <f>Z721*20%</f>
        <v/>
      </c>
      <c r="AB720" s="99">
        <f>Z721+AA721</f>
        <v/>
      </c>
      <c r="AC720" s="96">
        <f>D721*2.1</f>
        <v/>
      </c>
      <c r="AD720" s="99">
        <f>AB721-AC721</f>
        <v/>
      </c>
      <c r="AE720" s="99">
        <f>AD721/AB721*100</f>
        <v/>
      </c>
      <c r="AF720" s="107" t="n">
        <v>175</v>
      </c>
      <c r="AG720" s="102">
        <f>((AF721-L721)/L721)*100</f>
        <v/>
      </c>
      <c r="AH720" s="106">
        <f>AJ721-AF721</f>
        <v/>
      </c>
      <c r="AI720" s="106">
        <f>AB721</f>
        <v/>
      </c>
      <c r="AJ720" s="106" t="n">
        <v>199</v>
      </c>
      <c r="AK720" s="14">
        <f>(AJ721-L721)/L721*100</f>
        <v/>
      </c>
      <c r="AL720" s="14" t="n"/>
      <c r="AM720" s="14">
        <f>AH721/AJ721%</f>
        <v/>
      </c>
      <c r="AN720" s="14">
        <f>AK721-AG721</f>
        <v/>
      </c>
      <c r="AO720" s="103">
        <f>AJ721/L721</f>
        <v/>
      </c>
      <c r="AP720" s="14">
        <f>(AJ721-AB721)/100</f>
        <v/>
      </c>
      <c r="AQ720" s="14">
        <f>(AJ721-AC721)/100</f>
        <v/>
      </c>
      <c r="AR720" s="104">
        <f>AI721/94</f>
        <v/>
      </c>
      <c r="AS720" s="104">
        <f>AJ721/94</f>
        <v/>
      </c>
      <c r="AT720" s="105">
        <f>AI721/24</f>
        <v/>
      </c>
      <c r="AU720" s="105">
        <f>AJ721/24</f>
        <v/>
      </c>
      <c r="AV720" s="105">
        <f>AI721/125</f>
        <v/>
      </c>
      <c r="AW720" s="105">
        <f>AJ721/125</f>
        <v/>
      </c>
      <c r="AX720" s="107" t="n"/>
      <c r="AY720" s="107" t="n"/>
    </row>
    <row r="721" ht="15" customHeight="1" s="258">
      <c r="A721" s="96" t="n"/>
      <c r="B721" s="96" t="inlineStr">
        <is>
          <t>pack-of-4</t>
        </is>
      </c>
      <c r="C721" s="96" t="inlineStr">
        <is>
          <t>SSS-4</t>
        </is>
      </c>
      <c r="D721" s="94" t="n">
        <v>120</v>
      </c>
      <c r="E721" s="96" t="n">
        <v>40</v>
      </c>
      <c r="F721" s="96" t="n">
        <v>40</v>
      </c>
      <c r="G721" s="94" t="n">
        <v>73269099</v>
      </c>
      <c r="H721" s="97" t="n">
        <v>0.18</v>
      </c>
      <c r="I721" s="96">
        <f>D722*H722</f>
        <v/>
      </c>
      <c r="J721" s="107" t="n"/>
      <c r="K721" s="96" t="n">
        <v>2</v>
      </c>
      <c r="L721" s="98">
        <f>K722+J722+I722+F722+E722+D722</f>
        <v/>
      </c>
      <c r="M721" s="96">
        <f>D722*1%</f>
        <v/>
      </c>
      <c r="N721" s="99">
        <f>L722*8%</f>
        <v/>
      </c>
      <c r="O721" s="99">
        <f>L722*10%</f>
        <v/>
      </c>
      <c r="P721" s="99">
        <f>L722*5%</f>
        <v/>
      </c>
      <c r="Q721" s="99">
        <f>L722*2%</f>
        <v/>
      </c>
      <c r="R721" s="99">
        <f>AC722*0.5%</f>
        <v/>
      </c>
      <c r="S721" s="99">
        <f>L722*1%</f>
        <v/>
      </c>
      <c r="T721" s="100">
        <f>S722+Q722+P722+O722+N722+M722</f>
        <v/>
      </c>
      <c r="U721" s="96">
        <f>AC722*1%</f>
        <v/>
      </c>
      <c r="V721" s="44">
        <f>AC722*5%</f>
        <v/>
      </c>
      <c r="W721" s="96">
        <f>AC722*1%</f>
        <v/>
      </c>
      <c r="X721" s="96">
        <f>AC722*8%</f>
        <v/>
      </c>
      <c r="Y721" s="96">
        <f>U722+V722+W722+X722</f>
        <v/>
      </c>
      <c r="Z721" s="100">
        <f>Y722+T722+L722</f>
        <v/>
      </c>
      <c r="AA721" s="101">
        <f>Z722*20%</f>
        <v/>
      </c>
      <c r="AB721" s="99">
        <f>Z722+AA722</f>
        <v/>
      </c>
      <c r="AC721" s="96">
        <f>D722*2.1</f>
        <v/>
      </c>
      <c r="AD721" s="99">
        <f>AB722-AC722</f>
        <v/>
      </c>
      <c r="AE721" s="99">
        <f>AD722/AB722*100</f>
        <v/>
      </c>
      <c r="AF721" s="107" t="n">
        <v>245</v>
      </c>
      <c r="AG721" s="102">
        <f>((AF722-L722)/L722)*100</f>
        <v/>
      </c>
      <c r="AH721" s="106">
        <f>AJ722-AF722</f>
        <v/>
      </c>
      <c r="AI721" s="106">
        <f>AB722</f>
        <v/>
      </c>
      <c r="AJ721" s="106" t="n">
        <v>299</v>
      </c>
      <c r="AK721" s="14">
        <f>(AJ722-L722)/L722*100</f>
        <v/>
      </c>
      <c r="AL721" s="14" t="n"/>
      <c r="AM721" s="14">
        <f>AH722/AJ722%</f>
        <v/>
      </c>
      <c r="AN721" s="14">
        <f>AK722-AG722</f>
        <v/>
      </c>
      <c r="AO721" s="103">
        <f>AJ722/L722</f>
        <v/>
      </c>
      <c r="AP721" s="14">
        <f>(AJ722-AB722)/100</f>
        <v/>
      </c>
      <c r="AQ721" s="14">
        <f>(AJ722-AC722)/100</f>
        <v/>
      </c>
      <c r="AR721" s="104">
        <f>AI722/94</f>
        <v/>
      </c>
      <c r="AS721" s="104">
        <f>AJ722/94</f>
        <v/>
      </c>
      <c r="AT721" s="105">
        <f>AI722/24</f>
        <v/>
      </c>
      <c r="AU721" s="105">
        <f>AJ722/24</f>
        <v/>
      </c>
      <c r="AV721" s="105">
        <f>AI722/125</f>
        <v/>
      </c>
      <c r="AW721" s="105">
        <f>AJ722/125</f>
        <v/>
      </c>
      <c r="AX721" s="107" t="n"/>
      <c r="AY721" s="107" t="n"/>
    </row>
    <row r="722" ht="15.75" customHeight="1" s="258">
      <c r="A722" s="2" t="inlineStr">
        <is>
          <t>Swinging Chimes</t>
        </is>
      </c>
      <c r="B722" s="2" t="inlineStr">
        <is>
          <t>6 Bars</t>
        </is>
      </c>
      <c r="C722" s="2" t="inlineStr">
        <is>
          <t>MI-SC-6</t>
        </is>
      </c>
      <c r="D722" s="118" t="n">
        <v>1700</v>
      </c>
      <c r="E722" s="2" t="n">
        <v>150</v>
      </c>
      <c r="F722" s="2" t="n">
        <v>75</v>
      </c>
      <c r="G722" s="118" t="n">
        <v>83061000</v>
      </c>
      <c r="H722" s="255" t="n">
        <v>0.05</v>
      </c>
      <c r="I722" s="2">
        <f>D723*H723</f>
        <v/>
      </c>
      <c r="K722" s="2" t="n">
        <v>100</v>
      </c>
      <c r="L722" s="4">
        <f>K723+J723+I723+F723+E723+D723</f>
        <v/>
      </c>
      <c r="M722" s="2">
        <f>D723*1%</f>
        <v/>
      </c>
      <c r="N722" s="12">
        <f>L723*8%</f>
        <v/>
      </c>
      <c r="O722" s="12">
        <f>L723*10%</f>
        <v/>
      </c>
      <c r="P722" s="12">
        <f>L723*5%</f>
        <v/>
      </c>
      <c r="Q722" s="12">
        <f>L723*2%</f>
        <v/>
      </c>
      <c r="R722" s="12">
        <f>AC723*0.5%</f>
        <v/>
      </c>
      <c r="S722" s="12">
        <f>L723*1%</f>
        <v/>
      </c>
      <c r="T722" s="60">
        <f>S723+Q723+P723+O723+N723+M723</f>
        <v/>
      </c>
      <c r="U722" s="2">
        <f>AC723*1%</f>
        <v/>
      </c>
      <c r="V722" s="44">
        <f>AC723*5%</f>
        <v/>
      </c>
      <c r="W722" s="2">
        <f>AC723*1%</f>
        <v/>
      </c>
      <c r="X722" s="2">
        <f>AC723*8%</f>
        <v/>
      </c>
      <c r="Y722" s="2">
        <f>U723+V723+W723+X723</f>
        <v/>
      </c>
      <c r="Z722" s="60">
        <f>Y723+T723+L723</f>
        <v/>
      </c>
      <c r="AA722" s="11">
        <f>Z723*20%</f>
        <v/>
      </c>
      <c r="AB722" s="12">
        <f>Z723+AA723</f>
        <v/>
      </c>
      <c r="AC722" s="2">
        <f>D723*2.1</f>
        <v/>
      </c>
      <c r="AD722" s="12">
        <f>AB723-AC723</f>
        <v/>
      </c>
      <c r="AE722" s="12">
        <f>AD723/AB723*100</f>
        <v/>
      </c>
      <c r="AF722" s="92" t="n">
        <v>6895</v>
      </c>
      <c r="AG722" s="62">
        <f>((AF723-L723)/L723)*100</f>
        <v/>
      </c>
      <c r="AH722" s="106">
        <f>AJ723-AF723</f>
        <v/>
      </c>
      <c r="AI722" s="65">
        <f>AB723</f>
        <v/>
      </c>
      <c r="AJ722" s="65" t="n">
        <v>5850</v>
      </c>
      <c r="AK722" s="66">
        <f>(AJ723-L723)/L723*100</f>
        <v/>
      </c>
      <c r="AL722" s="66" t="n"/>
      <c r="AM722" s="14">
        <f>AH723/AJ723%</f>
        <v/>
      </c>
      <c r="AN722" s="67">
        <f>AK723-AG723</f>
        <v/>
      </c>
      <c r="AO722" s="68">
        <f>AJ723/L723</f>
        <v/>
      </c>
      <c r="AP722" s="69">
        <f>(AJ723-AB723)/100</f>
        <v/>
      </c>
      <c r="AQ722" s="70">
        <f>(AJ723-AC723)/100</f>
        <v/>
      </c>
      <c r="AR722" s="71">
        <f>AI723/94</f>
        <v/>
      </c>
      <c r="AS722" s="71">
        <f>AJ723/94</f>
        <v/>
      </c>
      <c r="AT722" s="72">
        <f>AI723/24</f>
        <v/>
      </c>
      <c r="AU722" s="72">
        <f>AJ723/24</f>
        <v/>
      </c>
      <c r="AV722" s="73">
        <f>AI723/125</f>
        <v/>
      </c>
      <c r="AW722" s="73">
        <f>AJ723/125</f>
        <v/>
      </c>
    </row>
    <row r="723" ht="15" customHeight="1" s="258">
      <c r="A723" s="2" t="n"/>
      <c r="B723" s="2" t="inlineStr">
        <is>
          <t>9 Bars</t>
        </is>
      </c>
      <c r="C723" s="2" t="inlineStr">
        <is>
          <t>MI-SC-9</t>
        </is>
      </c>
      <c r="D723" s="118" t="n">
        <v>1950</v>
      </c>
      <c r="E723" s="2" t="n">
        <v>150</v>
      </c>
      <c r="F723" s="2" t="n">
        <v>75</v>
      </c>
      <c r="G723" s="118" t="n">
        <v>83061000</v>
      </c>
      <c r="H723" s="255" t="n">
        <v>0.05</v>
      </c>
      <c r="I723" s="2">
        <f>D724*H724</f>
        <v/>
      </c>
      <c r="K723" s="2" t="n">
        <v>130</v>
      </c>
      <c r="L723" s="4">
        <f>K724+J724+I724+F724+E724+D724</f>
        <v/>
      </c>
      <c r="M723" s="2">
        <f>D724*1%</f>
        <v/>
      </c>
      <c r="N723" s="12">
        <f>L724*8%</f>
        <v/>
      </c>
      <c r="O723" s="12">
        <f>L724*10%</f>
        <v/>
      </c>
      <c r="P723" s="12">
        <f>L724*5%</f>
        <v/>
      </c>
      <c r="Q723" s="12">
        <f>L724*2%</f>
        <v/>
      </c>
      <c r="R723" s="12">
        <f>AC724*0.5%</f>
        <v/>
      </c>
      <c r="S723" s="12">
        <f>L724*1%</f>
        <v/>
      </c>
      <c r="T723" s="60">
        <f>S724+Q724+P724+O724+N724+M724</f>
        <v/>
      </c>
      <c r="U723" s="2">
        <f>AC724*1%</f>
        <v/>
      </c>
      <c r="V723" s="44">
        <f>AC724*5%</f>
        <v/>
      </c>
      <c r="W723" s="2">
        <f>AC724*1%</f>
        <v/>
      </c>
      <c r="X723" s="2">
        <f>AC724*8%</f>
        <v/>
      </c>
      <c r="Y723" s="2">
        <f>U724+V724+W724+X724</f>
        <v/>
      </c>
      <c r="Z723" s="60">
        <f>Y724+T724+L724</f>
        <v/>
      </c>
      <c r="AA723" s="11">
        <f>Z724*20%</f>
        <v/>
      </c>
      <c r="AB723" s="12">
        <f>Z724+AA724</f>
        <v/>
      </c>
      <c r="AC723" s="2">
        <f>D724*2.1</f>
        <v/>
      </c>
      <c r="AD723" s="12">
        <f>AB724-AC724</f>
        <v/>
      </c>
      <c r="AE723" s="12">
        <f>AD724/AB724*100</f>
        <v/>
      </c>
      <c r="AF723" s="92" t="n">
        <v>8250</v>
      </c>
      <c r="AG723" s="62">
        <f>((AF724-L724)/L724)*100</f>
        <v/>
      </c>
      <c r="AH723" s="106">
        <f>AJ724-AF724</f>
        <v/>
      </c>
      <c r="AI723" s="65">
        <f>AB724</f>
        <v/>
      </c>
      <c r="AJ723" s="65" t="n">
        <v>6450</v>
      </c>
      <c r="AK723" s="66">
        <f>(AJ724-L724)/L724*100</f>
        <v/>
      </c>
      <c r="AL723" s="66" t="n"/>
      <c r="AM723" s="14">
        <f>AH724/AJ724%</f>
        <v/>
      </c>
      <c r="AN723" s="67">
        <f>AK724-AG724</f>
        <v/>
      </c>
      <c r="AO723" s="68">
        <f>AJ724/L724</f>
        <v/>
      </c>
      <c r="AP723" s="69">
        <f>(AJ724-AB724)/100</f>
        <v/>
      </c>
      <c r="AQ723" s="70">
        <f>(AJ724-AC724)/100</f>
        <v/>
      </c>
      <c r="AR723" s="71">
        <f>AI724/94</f>
        <v/>
      </c>
      <c r="AS723" s="71">
        <f>AJ724/94</f>
        <v/>
      </c>
      <c r="AT723" s="72">
        <f>AI724/24</f>
        <v/>
      </c>
      <c r="AU723" s="72">
        <f>AJ724/24</f>
        <v/>
      </c>
      <c r="AV723" s="73">
        <f>AI724/125</f>
        <v/>
      </c>
      <c r="AW723" s="73">
        <f>AJ724/125</f>
        <v/>
      </c>
    </row>
    <row r="724" ht="15.75" customHeight="1" s="258">
      <c r="A724" s="44" t="inlineStr">
        <is>
          <t>Teak Wood - Stainless Steel Xylophone</t>
        </is>
      </c>
      <c r="B724" s="44" t="inlineStr">
        <is>
          <t>8 Keys</t>
        </is>
      </c>
      <c r="C724" s="111" t="inlineStr">
        <is>
          <t>MI-TW-SS-XP-8</t>
        </is>
      </c>
      <c r="D724" s="45" t="n">
        <v>750</v>
      </c>
      <c r="E724" s="113" t="n"/>
      <c r="F724" s="44" t="n">
        <v>10</v>
      </c>
      <c r="G724" s="45" t="n">
        <v>94042990</v>
      </c>
      <c r="H724" s="115" t="n">
        <v>0.05</v>
      </c>
      <c r="I724" s="44">
        <f>D725*H725</f>
        <v/>
      </c>
      <c r="J724" s="113" t="n"/>
      <c r="K724" s="44" t="n">
        <v>300</v>
      </c>
      <c r="L724" s="48">
        <f>K725+J725+I725+F725+E725+D725</f>
        <v/>
      </c>
      <c r="M724" s="44">
        <f>D725*1%</f>
        <v/>
      </c>
      <c r="N724" s="49">
        <f>L725*8%</f>
        <v/>
      </c>
      <c r="O724" s="49">
        <f>L725*10%</f>
        <v/>
      </c>
      <c r="P724" s="49">
        <f>L725*5%</f>
        <v/>
      </c>
      <c r="Q724" s="49">
        <f>L725*2%</f>
        <v/>
      </c>
      <c r="R724" s="49">
        <f>AC725*0.5%</f>
        <v/>
      </c>
      <c r="S724" s="49">
        <f>L725*1%</f>
        <v/>
      </c>
      <c r="T724" s="50">
        <f>S725+Q725+P725+O725+N725+M725</f>
        <v/>
      </c>
      <c r="U724" s="44">
        <f>AC725*1%</f>
        <v/>
      </c>
      <c r="V724" s="44">
        <f>AC725*5%</f>
        <v/>
      </c>
      <c r="W724" s="44">
        <f>AC725*1%</f>
        <v/>
      </c>
      <c r="X724" s="44">
        <f>AC725*8%</f>
        <v/>
      </c>
      <c r="Y724" s="44">
        <f>U725+V725+W725+X725</f>
        <v/>
      </c>
      <c r="Z724" s="50">
        <f>Y725+T725+L725</f>
        <v/>
      </c>
      <c r="AA724" s="51">
        <f>Z725*20%</f>
        <v/>
      </c>
      <c r="AB724" s="49">
        <f>Z725+AA725</f>
        <v/>
      </c>
      <c r="AC724" s="44">
        <f>D725*2.1</f>
        <v/>
      </c>
      <c r="AD724" s="49">
        <f>AB725-AC725</f>
        <v/>
      </c>
      <c r="AE724" s="49">
        <f>AD725/AB725*100</f>
        <v/>
      </c>
      <c r="AF724" s="113" t="n"/>
      <c r="AG724" s="116">
        <f>((AF725-L725)/L725)*100</f>
        <v/>
      </c>
      <c r="AH724" s="54">
        <f>AJ725-AF725</f>
        <v/>
      </c>
      <c r="AI724" s="54">
        <f>AB725</f>
        <v/>
      </c>
      <c r="AJ724" s="54" t="n">
        <v>1890</v>
      </c>
      <c r="AK724" s="55">
        <f>(AJ725-L725)/L725*100</f>
        <v/>
      </c>
      <c r="AL724" s="55" t="n"/>
      <c r="AM724" s="55">
        <f>AH725/AJ725%</f>
        <v/>
      </c>
      <c r="AN724" s="55">
        <f>AK725-AG725</f>
        <v/>
      </c>
      <c r="AO724" s="56">
        <f>AJ725/L725</f>
        <v/>
      </c>
      <c r="AP724" s="55">
        <f>(AJ725-AB725)/100</f>
        <v/>
      </c>
      <c r="AQ724" s="55">
        <f>(AJ725-AC725)/100</f>
        <v/>
      </c>
      <c r="AR724" s="57">
        <f>AI725/94</f>
        <v/>
      </c>
      <c r="AS724" s="57">
        <f>AJ725/94</f>
        <v/>
      </c>
      <c r="AT724" s="58">
        <f>AI725/24</f>
        <v/>
      </c>
      <c r="AU724" s="58">
        <f>AJ725/24</f>
        <v/>
      </c>
      <c r="AV724" s="58">
        <f>AI725/125</f>
        <v/>
      </c>
      <c r="AW724" s="58">
        <f>AJ725/125</f>
        <v/>
      </c>
      <c r="AX724" s="113" t="n"/>
      <c r="AY724" s="113" t="n"/>
    </row>
    <row r="725" ht="15" customHeight="1" s="258">
      <c r="A725" s="44" t="n"/>
      <c r="B725" s="44" t="inlineStr">
        <is>
          <t>15 Keys</t>
        </is>
      </c>
      <c r="C725" s="44" t="inlineStr">
        <is>
          <t>MI-TW-SS-XP-15</t>
        </is>
      </c>
      <c r="D725" s="45" t="n">
        <v>1100</v>
      </c>
      <c r="E725" s="113" t="n"/>
      <c r="F725" s="44" t="n">
        <v>10</v>
      </c>
      <c r="G725" s="45" t="n">
        <v>94042990</v>
      </c>
      <c r="H725" s="115" t="n">
        <v>0.05</v>
      </c>
      <c r="I725" s="44">
        <f>D726*H726</f>
        <v/>
      </c>
      <c r="J725" s="44">
        <f>D726*5%</f>
        <v/>
      </c>
      <c r="K725" s="44" t="n">
        <v>600</v>
      </c>
      <c r="L725" s="48">
        <f>K726+J726+I726+F726+E726+D726</f>
        <v/>
      </c>
      <c r="M725" s="44">
        <f>D726*1%</f>
        <v/>
      </c>
      <c r="N725" s="49">
        <f>L726*8%</f>
        <v/>
      </c>
      <c r="O725" s="49">
        <f>L726*10%</f>
        <v/>
      </c>
      <c r="P725" s="49">
        <f>L726*5%</f>
        <v/>
      </c>
      <c r="Q725" s="49">
        <f>L726*2%</f>
        <v/>
      </c>
      <c r="R725" s="49">
        <f>AC726*0.5%</f>
        <v/>
      </c>
      <c r="S725" s="49">
        <f>L726*1%</f>
        <v/>
      </c>
      <c r="T725" s="50">
        <f>S726+Q726+P726+O726+N726+M726</f>
        <v/>
      </c>
      <c r="U725" s="44">
        <f>AC726*1%</f>
        <v/>
      </c>
      <c r="V725" s="44">
        <f>AC726*5%</f>
        <v/>
      </c>
      <c r="W725" s="44">
        <f>AC726*1%</f>
        <v/>
      </c>
      <c r="X725" s="44">
        <f>AC726*8%</f>
        <v/>
      </c>
      <c r="Y725" s="44">
        <f>U726+V726+W726+X726</f>
        <v/>
      </c>
      <c r="Z725" s="50">
        <f>Y726+T726+L726</f>
        <v/>
      </c>
      <c r="AA725" s="51">
        <f>Z726*20%</f>
        <v/>
      </c>
      <c r="AB725" s="49">
        <f>Z726+AA726</f>
        <v/>
      </c>
      <c r="AC725" s="44">
        <f>D726*2.1</f>
        <v/>
      </c>
      <c r="AD725" s="49">
        <f>AB726-AC726</f>
        <v/>
      </c>
      <c r="AE725" s="49">
        <f>AD726/AB726*100</f>
        <v/>
      </c>
      <c r="AF725" s="113" t="n"/>
      <c r="AG725" s="116">
        <f>((AF726-L726)/L726)*100</f>
        <v/>
      </c>
      <c r="AH725" s="54">
        <f>AJ726-AF726</f>
        <v/>
      </c>
      <c r="AI725" s="54">
        <f>AB726</f>
        <v/>
      </c>
      <c r="AJ725" s="54" t="n">
        <v>2990</v>
      </c>
      <c r="AK725" s="55">
        <f>(AJ726-L726)/L726*100</f>
        <v/>
      </c>
      <c r="AL725" s="55" t="n"/>
      <c r="AM725" s="55">
        <f>AH726/AJ726%</f>
        <v/>
      </c>
      <c r="AN725" s="55">
        <f>AK726-AG726</f>
        <v/>
      </c>
      <c r="AO725" s="56">
        <f>AJ726/L726</f>
        <v/>
      </c>
      <c r="AP725" s="55">
        <f>(AJ726-AB726)/100</f>
        <v/>
      </c>
      <c r="AQ725" s="55">
        <f>(AJ726-AC726)/100</f>
        <v/>
      </c>
      <c r="AR725" s="57">
        <f>AI726/94</f>
        <v/>
      </c>
      <c r="AS725" s="57">
        <f>AJ726/94</f>
        <v/>
      </c>
      <c r="AT725" s="58">
        <f>AI726/24</f>
        <v/>
      </c>
      <c r="AU725" s="58">
        <f>AJ726/24</f>
        <v/>
      </c>
      <c r="AV725" s="58">
        <f>AI726/125</f>
        <v/>
      </c>
      <c r="AW725" s="58">
        <f>AJ726/125</f>
        <v/>
      </c>
      <c r="AX725" s="113" t="n"/>
      <c r="AY725" s="113" t="n"/>
    </row>
    <row r="726" ht="15.75" customHeight="1" s="258">
      <c r="A726" s="44" t="inlineStr">
        <is>
          <t>The Four Bowl Set - Root, Heart, Third Eye and Universal</t>
        </is>
      </c>
      <c r="B726" s="44" t="inlineStr">
        <is>
          <t>Standard</t>
        </is>
      </c>
      <c r="C726" s="111" t="inlineStr">
        <is>
          <t>MI-FBRH-S</t>
        </is>
      </c>
      <c r="D726" s="114" t="n">
        <v>24000</v>
      </c>
      <c r="E726" s="44" t="n">
        <v>500</v>
      </c>
      <c r="F726" s="44" t="n">
        <v>145</v>
      </c>
      <c r="G726" s="45" t="n">
        <v>83061000</v>
      </c>
      <c r="H726" s="115" t="n">
        <v>0.05</v>
      </c>
      <c r="I726" s="44">
        <f>D727*H727</f>
        <v/>
      </c>
      <c r="J726" s="113" t="n"/>
      <c r="K726" s="44" t="n">
        <v>800</v>
      </c>
      <c r="L726" s="48">
        <f>K727+J727+I727+F727+E727+D727</f>
        <v/>
      </c>
      <c r="M726" s="44">
        <f>D727*1%</f>
        <v/>
      </c>
      <c r="N726" s="49">
        <f>L727*8%</f>
        <v/>
      </c>
      <c r="O726" s="49">
        <f>L727*10%</f>
        <v/>
      </c>
      <c r="P726" s="49">
        <f>L727*5%</f>
        <v/>
      </c>
      <c r="Q726" s="49">
        <f>L727*2%</f>
        <v/>
      </c>
      <c r="R726" s="49">
        <f>AC727*0.5%</f>
        <v/>
      </c>
      <c r="S726" s="49">
        <f>L727*1%</f>
        <v/>
      </c>
      <c r="T726" s="50">
        <f>S727+Q727+P727+O727+N727+M727</f>
        <v/>
      </c>
      <c r="U726" s="44">
        <f>AC727*1%</f>
        <v/>
      </c>
      <c r="V726" s="44">
        <f>AC727*5%</f>
        <v/>
      </c>
      <c r="W726" s="44">
        <f>AC727*1%</f>
        <v/>
      </c>
      <c r="X726" s="44">
        <f>AC727*8%</f>
        <v/>
      </c>
      <c r="Y726" s="44">
        <f>U727+V727+W727+X727</f>
        <v/>
      </c>
      <c r="Z726" s="50">
        <f>Y727+T727+L727</f>
        <v/>
      </c>
      <c r="AA726" s="51">
        <f>Z727*20%</f>
        <v/>
      </c>
      <c r="AB726" s="49">
        <f>Z727+AA727</f>
        <v/>
      </c>
      <c r="AC726" s="44">
        <f>D727*2.1</f>
        <v/>
      </c>
      <c r="AD726" s="49">
        <f>AB727-AC727</f>
        <v/>
      </c>
      <c r="AE726" s="49">
        <f>AD727/AB727*100</f>
        <v/>
      </c>
      <c r="AF726" s="113" t="n">
        <v>36900</v>
      </c>
      <c r="AG726" s="116">
        <f>((AF727-L727)/L727)*100</f>
        <v/>
      </c>
      <c r="AH726" s="54">
        <f>AJ727-AF727</f>
        <v/>
      </c>
      <c r="AI726" s="54">
        <f>AB727</f>
        <v/>
      </c>
      <c r="AJ726" s="54" t="n">
        <v>39990</v>
      </c>
      <c r="AK726" s="55">
        <f>(AJ727-L727)/L727*100</f>
        <v/>
      </c>
      <c r="AL726" s="55" t="n"/>
      <c r="AM726" s="55">
        <f>AH727/AJ727%</f>
        <v/>
      </c>
      <c r="AN726" s="55">
        <f>AK727-AG727</f>
        <v/>
      </c>
      <c r="AO726" s="56">
        <f>AJ727/L727</f>
        <v/>
      </c>
      <c r="AP726" s="55">
        <f>(AJ727-AB727)/100</f>
        <v/>
      </c>
      <c r="AQ726" s="55">
        <f>(AJ727-AC727)/100</f>
        <v/>
      </c>
      <c r="AR726" s="57">
        <f>AI727/94</f>
        <v/>
      </c>
      <c r="AS726" s="57">
        <f>AJ727/94</f>
        <v/>
      </c>
      <c r="AT726" s="58">
        <f>AI727/24</f>
        <v/>
      </c>
      <c r="AU726" s="58">
        <f>AJ727/24</f>
        <v/>
      </c>
      <c r="AV726" s="58">
        <f>AI727/125</f>
        <v/>
      </c>
      <c r="AW726" s="58">
        <f>AJ727/125</f>
        <v/>
      </c>
      <c r="AX726" s="113" t="n"/>
      <c r="AY726" s="113" t="n"/>
    </row>
    <row r="727" ht="15.75" customHeight="1" s="258">
      <c r="A727" s="44" t="inlineStr">
        <is>
          <t>The Head Bowl</t>
        </is>
      </c>
      <c r="B727" s="44" t="inlineStr">
        <is>
          <t>Standard</t>
        </is>
      </c>
      <c r="C727" s="111" t="inlineStr">
        <is>
          <t>MI-HB-S</t>
        </is>
      </c>
      <c r="D727" s="114" t="n">
        <v>6600</v>
      </c>
      <c r="E727" s="44" t="n">
        <v>200</v>
      </c>
      <c r="F727" s="44" t="n">
        <v>125</v>
      </c>
      <c r="G727" s="45" t="n">
        <v>83061000</v>
      </c>
      <c r="H727" s="115" t="n">
        <v>0.05</v>
      </c>
      <c r="I727" s="44">
        <f>D728*H728</f>
        <v/>
      </c>
      <c r="J727" s="113" t="n"/>
      <c r="K727" s="44" t="n">
        <v>200</v>
      </c>
      <c r="L727" s="48">
        <f>K728+J728+I728+F728+E728+D728</f>
        <v/>
      </c>
      <c r="M727" s="44">
        <f>D728*1%</f>
        <v/>
      </c>
      <c r="N727" s="49">
        <f>L728*8%</f>
        <v/>
      </c>
      <c r="O727" s="49">
        <f>L728*10%</f>
        <v/>
      </c>
      <c r="P727" s="49">
        <f>L728*5%</f>
        <v/>
      </c>
      <c r="Q727" s="49">
        <f>L728*2%</f>
        <v/>
      </c>
      <c r="R727" s="49">
        <f>AC728*0.5%</f>
        <v/>
      </c>
      <c r="S727" s="49">
        <f>L728*1%</f>
        <v/>
      </c>
      <c r="T727" s="50">
        <f>S728+Q728+P728+O728+N728+M728</f>
        <v/>
      </c>
      <c r="U727" s="44">
        <f>AC728*1%</f>
        <v/>
      </c>
      <c r="V727" s="44">
        <f>AC728*5%</f>
        <v/>
      </c>
      <c r="W727" s="44">
        <f>AC728*1%</f>
        <v/>
      </c>
      <c r="X727" s="44">
        <f>AC728*8%</f>
        <v/>
      </c>
      <c r="Y727" s="44">
        <f>U728+V728+W728+X728</f>
        <v/>
      </c>
      <c r="Z727" s="50">
        <f>Y728+T728+L728</f>
        <v/>
      </c>
      <c r="AA727" s="51">
        <f>Z728*20%</f>
        <v/>
      </c>
      <c r="AB727" s="49">
        <f>Z728+AA728</f>
        <v/>
      </c>
      <c r="AC727" s="44">
        <f>D728*2.1</f>
        <v/>
      </c>
      <c r="AD727" s="49">
        <f>AB728-AC728</f>
        <v/>
      </c>
      <c r="AE727" s="49">
        <f>AD728/AB728*100</f>
        <v/>
      </c>
      <c r="AF727" s="113" t="n">
        <v>9990</v>
      </c>
      <c r="AG727" s="116">
        <f>((AF728-L728)/L728)*100</f>
        <v/>
      </c>
      <c r="AH727" s="54">
        <f>AJ728-AF728</f>
        <v/>
      </c>
      <c r="AI727" s="54">
        <f>AB728</f>
        <v/>
      </c>
      <c r="AJ727" s="54" t="n">
        <v>11990</v>
      </c>
      <c r="AK727" s="55">
        <f>(AJ728-L728)/L728*100</f>
        <v/>
      </c>
      <c r="AL727" s="55" t="n"/>
      <c r="AM727" s="55">
        <f>AH728/AJ728%</f>
        <v/>
      </c>
      <c r="AN727" s="55">
        <f>AK728-AG728</f>
        <v/>
      </c>
      <c r="AO727" s="56">
        <f>AJ728/L728</f>
        <v/>
      </c>
      <c r="AP727" s="55">
        <f>(AJ728-AB728)/100</f>
        <v/>
      </c>
      <c r="AQ727" s="55">
        <f>(AJ728-AC728)/100</f>
        <v/>
      </c>
      <c r="AR727" s="57">
        <f>AI728/94</f>
        <v/>
      </c>
      <c r="AS727" s="57">
        <f>AJ728/94</f>
        <v/>
      </c>
      <c r="AT727" s="58">
        <f>AI728/24</f>
        <v/>
      </c>
      <c r="AU727" s="58">
        <f>AJ728/24</f>
        <v/>
      </c>
      <c r="AV727" s="58">
        <f>AI728/125</f>
        <v/>
      </c>
      <c r="AW727" s="58">
        <f>AJ728/125</f>
        <v/>
      </c>
      <c r="AX727" s="113" t="n"/>
      <c r="AY727" s="113" t="n"/>
    </row>
    <row r="728" ht="15.75" customHeight="1" s="258">
      <c r="A728" s="44" t="inlineStr">
        <is>
          <t>The Three Bowl Set - Root, Heart and Third Eye</t>
        </is>
      </c>
      <c r="B728" s="44" t="inlineStr">
        <is>
          <t>Standard</t>
        </is>
      </c>
      <c r="C728" s="111" t="inlineStr">
        <is>
          <t>MI-TBS-RHT-S</t>
        </is>
      </c>
      <c r="D728" s="114" t="n">
        <v>20000</v>
      </c>
      <c r="E728" s="44" t="n">
        <v>500</v>
      </c>
      <c r="F728" s="44" t="n">
        <v>145</v>
      </c>
      <c r="G728" s="45" t="n">
        <v>83061000</v>
      </c>
      <c r="H728" s="115" t="n">
        <v>0.05</v>
      </c>
      <c r="I728" s="44">
        <f>D729*H729</f>
        <v/>
      </c>
      <c r="J728" s="113" t="n"/>
      <c r="K728" s="44" t="n">
        <v>600</v>
      </c>
      <c r="L728" s="48">
        <f>K729+J729+I729+F729+E729+D729</f>
        <v/>
      </c>
      <c r="M728" s="44">
        <f>D729*1%</f>
        <v/>
      </c>
      <c r="N728" s="49">
        <f>L729*8%</f>
        <v/>
      </c>
      <c r="O728" s="49">
        <f>L729*10%</f>
        <v/>
      </c>
      <c r="P728" s="49">
        <f>L729*5%</f>
        <v/>
      </c>
      <c r="Q728" s="49">
        <f>L729*2%</f>
        <v/>
      </c>
      <c r="R728" s="49">
        <f>AC729*0.5%</f>
        <v/>
      </c>
      <c r="S728" s="49">
        <f>L729*1%</f>
        <v/>
      </c>
      <c r="T728" s="50">
        <f>S729+Q729+P729+O729+N729+M729</f>
        <v/>
      </c>
      <c r="U728" s="44">
        <f>AC729*1%</f>
        <v/>
      </c>
      <c r="V728" s="44">
        <f>AC729*5%</f>
        <v/>
      </c>
      <c r="W728" s="44">
        <f>AC729*1%</f>
        <v/>
      </c>
      <c r="X728" s="44">
        <f>AC729*8%</f>
        <v/>
      </c>
      <c r="Y728" s="44">
        <f>U729+V729+W729+X729</f>
        <v/>
      </c>
      <c r="Z728" s="50">
        <f>Y729+T729+L729</f>
        <v/>
      </c>
      <c r="AA728" s="51">
        <f>Z729*20%</f>
        <v/>
      </c>
      <c r="AB728" s="49">
        <f>Z729+AA729</f>
        <v/>
      </c>
      <c r="AC728" s="44">
        <f>D729*2.1</f>
        <v/>
      </c>
      <c r="AD728" s="49">
        <f>AB729-AC729</f>
        <v/>
      </c>
      <c r="AE728" s="49">
        <f>AD729/AB729*100</f>
        <v/>
      </c>
      <c r="AF728" s="113" t="n">
        <v>29900</v>
      </c>
      <c r="AG728" s="116">
        <f>((AF729-L729)/L729)*100</f>
        <v/>
      </c>
      <c r="AH728" s="54">
        <f>AJ729-AF729</f>
        <v/>
      </c>
      <c r="AI728" s="54">
        <f>AB729</f>
        <v/>
      </c>
      <c r="AJ728" s="54" t="n">
        <v>34990</v>
      </c>
      <c r="AK728" s="55">
        <f>(AJ729-L729)/L729*100</f>
        <v/>
      </c>
      <c r="AL728" s="55" t="n"/>
      <c r="AM728" s="55">
        <f>AH729/AJ729%</f>
        <v/>
      </c>
      <c r="AN728" s="55">
        <f>AK729-AG729</f>
        <v/>
      </c>
      <c r="AO728" s="56">
        <f>AJ729/L729</f>
        <v/>
      </c>
      <c r="AP728" s="55">
        <f>(AJ729-AB729)/100</f>
        <v/>
      </c>
      <c r="AQ728" s="55">
        <f>(AJ729-AC729)/100</f>
        <v/>
      </c>
      <c r="AR728" s="57">
        <f>AI729/94</f>
        <v/>
      </c>
      <c r="AS728" s="57">
        <f>AJ729/94</f>
        <v/>
      </c>
      <c r="AT728" s="58">
        <f>AI729/24</f>
        <v/>
      </c>
      <c r="AU728" s="58">
        <f>AJ729/24</f>
        <v/>
      </c>
      <c r="AV728" s="58">
        <f>AI729/125</f>
        <v/>
      </c>
      <c r="AW728" s="58">
        <f>AJ729/125</f>
        <v/>
      </c>
      <c r="AX728" s="113" t="n"/>
      <c r="AY728" s="113" t="n"/>
    </row>
    <row r="729" ht="15.75" customHeight="1" s="258">
      <c r="A729" s="44" t="inlineStr">
        <is>
          <t>Third Eye Chakra Singing Bowl</t>
        </is>
      </c>
      <c r="B729" s="44" t="inlineStr">
        <is>
          <t>Standard</t>
        </is>
      </c>
      <c r="C729" s="111" t="inlineStr">
        <is>
          <t>MI-TECS-S</t>
        </is>
      </c>
      <c r="D729" s="114" t="n">
        <v>4000</v>
      </c>
      <c r="E729" s="44" t="n">
        <v>200</v>
      </c>
      <c r="F729" s="44" t="n">
        <v>125</v>
      </c>
      <c r="G729" s="45" t="n">
        <v>83061000</v>
      </c>
      <c r="H729" s="115" t="n">
        <v>0.05</v>
      </c>
      <c r="I729" s="44">
        <f>D730*H730</f>
        <v/>
      </c>
      <c r="J729" s="113" t="n"/>
      <c r="K729" s="44" t="n">
        <v>200</v>
      </c>
      <c r="L729" s="48">
        <f>K730+J730+I730+F730+E730+D730</f>
        <v/>
      </c>
      <c r="M729" s="44">
        <f>D730*1%</f>
        <v/>
      </c>
      <c r="N729" s="49">
        <f>L730*8%</f>
        <v/>
      </c>
      <c r="O729" s="49">
        <f>L730*10%</f>
        <v/>
      </c>
      <c r="P729" s="49">
        <f>L730*5%</f>
        <v/>
      </c>
      <c r="Q729" s="49">
        <f>L730*2%</f>
        <v/>
      </c>
      <c r="R729" s="49">
        <f>AC730*0.5%</f>
        <v/>
      </c>
      <c r="S729" s="49">
        <f>L730*1%</f>
        <v/>
      </c>
      <c r="T729" s="50">
        <f>S730+Q730+P730+O730+N730+M730</f>
        <v/>
      </c>
      <c r="U729" s="44">
        <f>AC730*1%</f>
        <v/>
      </c>
      <c r="V729" s="44">
        <f>AC730*5%</f>
        <v/>
      </c>
      <c r="W729" s="44">
        <f>AC730*1%</f>
        <v/>
      </c>
      <c r="X729" s="44">
        <f>AC730*8%</f>
        <v/>
      </c>
      <c r="Y729" s="44">
        <f>U730+V730+W730+X730</f>
        <v/>
      </c>
      <c r="Z729" s="50">
        <f>Y730+T730+L730</f>
        <v/>
      </c>
      <c r="AA729" s="51">
        <f>Z730*20%</f>
        <v/>
      </c>
      <c r="AB729" s="49">
        <f>Z730+AA730</f>
        <v/>
      </c>
      <c r="AC729" s="44">
        <f>D730*2.1</f>
        <v/>
      </c>
      <c r="AD729" s="49">
        <f>AB730-AC730</f>
        <v/>
      </c>
      <c r="AE729" s="49">
        <f>AD730/AB730*100</f>
        <v/>
      </c>
      <c r="AF729" s="113" t="n"/>
      <c r="AG729" s="116">
        <f>((AF730-L730)/L730)*100</f>
        <v/>
      </c>
      <c r="AH729" s="54">
        <f>AJ730-AF730</f>
        <v/>
      </c>
      <c r="AI729" s="54">
        <f>AB730</f>
        <v/>
      </c>
      <c r="AJ729" s="54" t="n">
        <v>7990</v>
      </c>
      <c r="AK729" s="55">
        <f>(AJ730-L730)/L730*100</f>
        <v/>
      </c>
      <c r="AL729" s="55" t="n"/>
      <c r="AM729" s="55">
        <f>AH730/AJ730%</f>
        <v/>
      </c>
      <c r="AN729" s="55">
        <f>AK730-AG730</f>
        <v/>
      </c>
      <c r="AO729" s="56">
        <f>AJ730/L730</f>
        <v/>
      </c>
      <c r="AP729" s="55">
        <f>(AJ730-AB730)/100</f>
        <v/>
      </c>
      <c r="AQ729" s="55">
        <f>(AJ730-AC730)/100</f>
        <v/>
      </c>
      <c r="AR729" s="57">
        <f>AI730/94</f>
        <v/>
      </c>
      <c r="AS729" s="57">
        <f>AJ730/94</f>
        <v/>
      </c>
      <c r="AT729" s="58">
        <f>AI730/24</f>
        <v/>
      </c>
      <c r="AU729" s="58">
        <f>AJ730/24</f>
        <v/>
      </c>
      <c r="AV729" s="58">
        <f>AI730/125</f>
        <v/>
      </c>
      <c r="AW729" s="58">
        <f>AJ730/125</f>
        <v/>
      </c>
      <c r="AX729" s="113" t="n"/>
      <c r="AY729" s="113" t="n"/>
    </row>
    <row r="730" ht="15.75" customHeight="1" s="258">
      <c r="A730" s="44" t="inlineStr">
        <is>
          <t>Thunder Tube - Basic Edition</t>
        </is>
      </c>
      <c r="B730" s="44" t="inlineStr">
        <is>
          <t>20cms</t>
        </is>
      </c>
      <c r="C730" s="111" t="inlineStr">
        <is>
          <t>MI-TTBE-20</t>
        </is>
      </c>
      <c r="D730" s="113" t="n">
        <v>400</v>
      </c>
      <c r="E730" s="44" t="n"/>
      <c r="F730" s="44" t="n">
        <v>65</v>
      </c>
      <c r="G730" s="45" t="n">
        <v>92060000</v>
      </c>
      <c r="H730" s="115" t="n">
        <v>0.05</v>
      </c>
      <c r="I730" s="44">
        <f>D731*H731</f>
        <v/>
      </c>
      <c r="J730" s="113" t="n"/>
      <c r="K730" s="44" t="n">
        <v>300</v>
      </c>
      <c r="L730" s="48">
        <f>K731+J731+I731+F731+E731+D731</f>
        <v/>
      </c>
      <c r="M730" s="44">
        <f>D731*1%</f>
        <v/>
      </c>
      <c r="N730" s="49">
        <f>L731*8%</f>
        <v/>
      </c>
      <c r="O730" s="49">
        <f>L731*10%</f>
        <v/>
      </c>
      <c r="P730" s="49">
        <f>L731*5%</f>
        <v/>
      </c>
      <c r="Q730" s="49">
        <f>L731*2%</f>
        <v/>
      </c>
      <c r="R730" s="49">
        <f>AC731*0.5%</f>
        <v/>
      </c>
      <c r="S730" s="49">
        <f>L731*1%</f>
        <v/>
      </c>
      <c r="T730" s="50">
        <f>S731+Q731+P731+O731+N731+M731</f>
        <v/>
      </c>
      <c r="U730" s="44">
        <f>AC731*1%</f>
        <v/>
      </c>
      <c r="V730" s="44">
        <f>AC731*5%</f>
        <v/>
      </c>
      <c r="W730" s="44">
        <f>AC731*1%</f>
        <v/>
      </c>
      <c r="X730" s="44">
        <f>AC731*8%</f>
        <v/>
      </c>
      <c r="Y730" s="44">
        <f>U731+V731+W731+X731</f>
        <v/>
      </c>
      <c r="Z730" s="50">
        <f>Y731+T731+L731</f>
        <v/>
      </c>
      <c r="AA730" s="51">
        <f>Z731*20%</f>
        <v/>
      </c>
      <c r="AB730" s="49">
        <f>Z731+AA731</f>
        <v/>
      </c>
      <c r="AC730" s="44">
        <f>D731*2.1</f>
        <v/>
      </c>
      <c r="AD730" s="49">
        <f>AB731-AC731</f>
        <v/>
      </c>
      <c r="AE730" s="49">
        <f>AD731/AB731*100</f>
        <v/>
      </c>
      <c r="AF730" s="113" t="n"/>
      <c r="AG730" s="116">
        <f>((AF731-L731)/L731)*100</f>
        <v/>
      </c>
      <c r="AH730" s="54">
        <f>AJ731-AF731</f>
        <v/>
      </c>
      <c r="AI730" s="54">
        <f>AB731</f>
        <v/>
      </c>
      <c r="AJ730" s="54" t="n">
        <v>1490</v>
      </c>
      <c r="AK730" s="55">
        <f>(AJ731-L731)/L731*100</f>
        <v/>
      </c>
      <c r="AL730" s="55" t="n"/>
      <c r="AM730" s="55">
        <f>AH731/AJ731%</f>
        <v/>
      </c>
      <c r="AN730" s="55">
        <f>AK731-AG731</f>
        <v/>
      </c>
      <c r="AO730" s="56">
        <f>AJ731/L731</f>
        <v/>
      </c>
      <c r="AP730" s="55">
        <f>(AJ731-AB731)/100</f>
        <v/>
      </c>
      <c r="AQ730" s="55">
        <f>(AJ731-AC731)/100</f>
        <v/>
      </c>
      <c r="AR730" s="57">
        <f>AI731/94</f>
        <v/>
      </c>
      <c r="AS730" s="57">
        <f>AJ731/94</f>
        <v/>
      </c>
      <c r="AT730" s="58">
        <f>AI731/24</f>
        <v/>
      </c>
      <c r="AU730" s="58">
        <f>AJ731/24</f>
        <v/>
      </c>
      <c r="AV730" s="58">
        <f>AI731/125</f>
        <v/>
      </c>
      <c r="AW730" s="58">
        <f>AJ731/125</f>
        <v/>
      </c>
      <c r="AX730" s="113" t="n"/>
      <c r="AY730" s="113" t="n"/>
    </row>
    <row r="731" ht="15" customHeight="1" s="258">
      <c r="A731" s="44" t="n"/>
      <c r="B731" s="44" t="inlineStr">
        <is>
          <t>25cms</t>
        </is>
      </c>
      <c r="C731" s="111" t="inlineStr">
        <is>
          <t>MI-TTBE-25</t>
        </is>
      </c>
      <c r="D731" s="45" t="n">
        <v>450</v>
      </c>
      <c r="E731" s="113" t="n"/>
      <c r="F731" s="44" t="n">
        <v>65</v>
      </c>
      <c r="G731" s="45" t="n">
        <v>92060000</v>
      </c>
      <c r="H731" s="115" t="n">
        <v>0.05</v>
      </c>
      <c r="I731" s="44">
        <f>D732*H732</f>
        <v/>
      </c>
      <c r="J731" s="113" t="n"/>
      <c r="K731" s="44" t="n">
        <v>300</v>
      </c>
      <c r="L731" s="48">
        <f>K732+J732+I732+F732+E732+D732</f>
        <v/>
      </c>
      <c r="M731" s="44">
        <f>D732*1%</f>
        <v/>
      </c>
      <c r="N731" s="49">
        <f>L732*8%</f>
        <v/>
      </c>
      <c r="O731" s="49">
        <f>L732*10%</f>
        <v/>
      </c>
      <c r="P731" s="49">
        <f>L732*5%</f>
        <v/>
      </c>
      <c r="Q731" s="49">
        <f>L732*2%</f>
        <v/>
      </c>
      <c r="R731" s="49">
        <f>AC732*0.5%</f>
        <v/>
      </c>
      <c r="S731" s="49">
        <f>L732*1%</f>
        <v/>
      </c>
      <c r="T731" s="50">
        <f>S732+Q732+P732+O732+N732+M732</f>
        <v/>
      </c>
      <c r="U731" s="44">
        <f>AC732*1%</f>
        <v/>
      </c>
      <c r="V731" s="44">
        <f>AC732*5%</f>
        <v/>
      </c>
      <c r="W731" s="44">
        <f>AC732*1%</f>
        <v/>
      </c>
      <c r="X731" s="44">
        <f>AC732*8%</f>
        <v/>
      </c>
      <c r="Y731" s="44">
        <f>U732+V732+W732+X732</f>
        <v/>
      </c>
      <c r="Z731" s="50">
        <f>Y732+T732+L732</f>
        <v/>
      </c>
      <c r="AA731" s="51">
        <f>Z732*20%</f>
        <v/>
      </c>
      <c r="AB731" s="49">
        <f>Z732+AA732</f>
        <v/>
      </c>
      <c r="AC731" s="44">
        <f>D732*2.1</f>
        <v/>
      </c>
      <c r="AD731" s="49">
        <f>AB732-AC732</f>
        <v/>
      </c>
      <c r="AE731" s="49">
        <f>AD732/AB732*100</f>
        <v/>
      </c>
      <c r="AF731" s="113" t="n"/>
      <c r="AG731" s="116">
        <f>((AF732-L732)/L732)*100</f>
        <v/>
      </c>
      <c r="AH731" s="54">
        <f>AJ732-AF732</f>
        <v/>
      </c>
      <c r="AI731" s="54">
        <f>AB732</f>
        <v/>
      </c>
      <c r="AJ731" s="54" t="n">
        <v>1690</v>
      </c>
      <c r="AK731" s="55">
        <f>(AJ732-L732)/L732*100</f>
        <v/>
      </c>
      <c r="AL731" s="55" t="n"/>
      <c r="AM731" s="55">
        <f>AH732/AJ732%</f>
        <v/>
      </c>
      <c r="AN731" s="55">
        <f>AK732-AG732</f>
        <v/>
      </c>
      <c r="AO731" s="56">
        <f>AJ732/L732</f>
        <v/>
      </c>
      <c r="AP731" s="55">
        <f>(AJ732-AB732)/100</f>
        <v/>
      </c>
      <c r="AQ731" s="55">
        <f>(AJ732-AC732)/100</f>
        <v/>
      </c>
      <c r="AR731" s="57">
        <f>AI732/94</f>
        <v/>
      </c>
      <c r="AS731" s="57">
        <f>AJ732/94</f>
        <v/>
      </c>
      <c r="AT731" s="58">
        <f>AI732/24</f>
        <v/>
      </c>
      <c r="AU731" s="58">
        <f>AJ732/24</f>
        <v/>
      </c>
      <c r="AV731" s="58">
        <f>AI732/125</f>
        <v/>
      </c>
      <c r="AW731" s="58">
        <f>AJ732/125</f>
        <v/>
      </c>
      <c r="AX731" s="113" t="n"/>
      <c r="AY731" s="113" t="n"/>
    </row>
    <row r="732" ht="15.75" customHeight="1" s="258">
      <c r="A732" s="44" t="n"/>
      <c r="B732" s="44" t="inlineStr">
        <is>
          <t>30cms</t>
        </is>
      </c>
      <c r="C732" s="111" t="inlineStr">
        <is>
          <t>MI-TTBE-30</t>
        </is>
      </c>
      <c r="D732" s="45" t="n">
        <v>500</v>
      </c>
      <c r="E732" s="113" t="n"/>
      <c r="F732" s="44" t="n">
        <v>65</v>
      </c>
      <c r="G732" s="45" t="n">
        <v>92060000</v>
      </c>
      <c r="H732" s="115" t="n">
        <v>0.05</v>
      </c>
      <c r="I732" s="44">
        <f>D733*H733</f>
        <v/>
      </c>
      <c r="J732" s="113" t="n"/>
      <c r="K732" s="44" t="n">
        <v>300</v>
      </c>
      <c r="L732" s="48">
        <f>K733+J733+I733+F733+E733+D733</f>
        <v/>
      </c>
      <c r="M732" s="44">
        <f>D733*1%</f>
        <v/>
      </c>
      <c r="N732" s="49">
        <f>L733*8%</f>
        <v/>
      </c>
      <c r="O732" s="49">
        <f>L733*10%</f>
        <v/>
      </c>
      <c r="P732" s="49">
        <f>L733*5%</f>
        <v/>
      </c>
      <c r="Q732" s="49">
        <f>L733*2%</f>
        <v/>
      </c>
      <c r="R732" s="49">
        <f>AC733*0.5%</f>
        <v/>
      </c>
      <c r="S732" s="49">
        <f>L733*1%</f>
        <v/>
      </c>
      <c r="T732" s="50">
        <f>S733+Q733+P733+O733+N733+M733</f>
        <v/>
      </c>
      <c r="U732" s="44">
        <f>AC733*1%</f>
        <v/>
      </c>
      <c r="V732" s="44">
        <f>AC733*5%</f>
        <v/>
      </c>
      <c r="W732" s="44">
        <f>AC733*1%</f>
        <v/>
      </c>
      <c r="X732" s="44">
        <f>AC733*8%</f>
        <v/>
      </c>
      <c r="Y732" s="44">
        <f>U733+V733+W733+X733</f>
        <v/>
      </c>
      <c r="Z732" s="50">
        <f>Y733+T733+L733</f>
        <v/>
      </c>
      <c r="AA732" s="51">
        <f>Z733*20%</f>
        <v/>
      </c>
      <c r="AB732" s="49">
        <f>Z733+AA733</f>
        <v/>
      </c>
      <c r="AC732" s="44">
        <f>D733*2.1</f>
        <v/>
      </c>
      <c r="AD732" s="49">
        <f>AB733-AC733</f>
        <v/>
      </c>
      <c r="AE732" s="49">
        <f>AD733/AB733*100</f>
        <v/>
      </c>
      <c r="AF732" s="113" t="n"/>
      <c r="AG732" s="116">
        <f>((AF733-L733)/L733)*100</f>
        <v/>
      </c>
      <c r="AH732" s="54">
        <f>AJ733-AF733</f>
        <v/>
      </c>
      <c r="AI732" s="54">
        <f>AB733</f>
        <v/>
      </c>
      <c r="AJ732" s="54" t="n">
        <v>1890</v>
      </c>
      <c r="AK732" s="55">
        <f>(AJ733-L733)/L733*100</f>
        <v/>
      </c>
      <c r="AL732" s="55" t="n"/>
      <c r="AM732" s="55">
        <f>AH733/AJ733%</f>
        <v/>
      </c>
      <c r="AN732" s="55">
        <f>AK733-AG733</f>
        <v/>
      </c>
      <c r="AO732" s="56">
        <f>AJ733/L733</f>
        <v/>
      </c>
      <c r="AP732" s="55">
        <f>(AJ733-AB733)/100</f>
        <v/>
      </c>
      <c r="AQ732" s="55">
        <f>(AJ733-AC733)/100</f>
        <v/>
      </c>
      <c r="AR732" s="57">
        <f>AI733/94</f>
        <v/>
      </c>
      <c r="AS732" s="57">
        <f>AJ733/94</f>
        <v/>
      </c>
      <c r="AT732" s="58">
        <f>AI733/24</f>
        <v/>
      </c>
      <c r="AU732" s="58">
        <f>AJ733/24</f>
        <v/>
      </c>
      <c r="AV732" s="58">
        <f>AI733/125</f>
        <v/>
      </c>
      <c r="AW732" s="58">
        <f>AJ733/125</f>
        <v/>
      </c>
      <c r="AX732" s="113" t="n"/>
      <c r="AY732" s="113" t="n"/>
    </row>
    <row r="733" ht="15.75" customHeight="1" s="258">
      <c r="A733" s="236" t="inlineStr">
        <is>
          <t>Tibetan Buddhist Bell</t>
        </is>
      </c>
      <c r="B733" s="236" t="inlineStr">
        <is>
          <t>Small</t>
        </is>
      </c>
      <c r="C733" s="236" t="inlineStr">
        <is>
          <t>MI-BB-2</t>
        </is>
      </c>
      <c r="D733" s="234" t="n">
        <v>690</v>
      </c>
      <c r="E733" s="243" t="n">
        <v>50</v>
      </c>
      <c r="F733" s="236" t="n">
        <v>55</v>
      </c>
      <c r="G733" s="252" t="n">
        <v>8306</v>
      </c>
      <c r="H733" s="238" t="n">
        <v>0.05</v>
      </c>
      <c r="I733" s="236">
        <f>D734*H734</f>
        <v/>
      </c>
      <c r="J733" s="236">
        <f>D734*5%</f>
        <v/>
      </c>
      <c r="K733" s="236" t="n">
        <v>50</v>
      </c>
      <c r="L733" s="239">
        <f>K734+J734+I734+F734+E734+D734</f>
        <v/>
      </c>
      <c r="M733" s="236">
        <f>D734*1%</f>
        <v/>
      </c>
      <c r="N733" s="240">
        <f>L734*8%</f>
        <v/>
      </c>
      <c r="O733" s="240">
        <f>L734*10%</f>
        <v/>
      </c>
      <c r="P733" s="240">
        <f>L734*5%</f>
        <v/>
      </c>
      <c r="Q733" s="240">
        <f>L734*2%</f>
        <v/>
      </c>
      <c r="R733" s="240">
        <f>AC734*0.5%</f>
        <v/>
      </c>
      <c r="S733" s="240">
        <f>L734*1%</f>
        <v/>
      </c>
      <c r="T733" s="241">
        <f>S734+Q734+P734+O734+N734+M734</f>
        <v/>
      </c>
      <c r="U733" s="236">
        <f>AC734*1%</f>
        <v/>
      </c>
      <c r="V733" s="44">
        <f>AC734*5%</f>
        <v/>
      </c>
      <c r="W733" s="236">
        <f>AC734*1%</f>
        <v/>
      </c>
      <c r="X733" s="236">
        <f>AC734*8%</f>
        <v/>
      </c>
      <c r="Y733" s="236">
        <f>U734+V734+W734+X734</f>
        <v/>
      </c>
      <c r="Z733" s="241">
        <f>Y734+T734+L734</f>
        <v/>
      </c>
      <c r="AA733" s="242">
        <f>Z734*20%</f>
        <v/>
      </c>
      <c r="AB733" s="240">
        <f>Z734+AA734</f>
        <v/>
      </c>
      <c r="AC733" s="236">
        <f>D734*2.1</f>
        <v/>
      </c>
      <c r="AD733" s="240">
        <f>AB734-AC734</f>
        <v/>
      </c>
      <c r="AE733" s="240">
        <f>AD734/AB734*100</f>
        <v/>
      </c>
      <c r="AF733" s="243" t="n">
        <v>1350</v>
      </c>
      <c r="AG733" s="244">
        <f>((AF734-L734)/L734)*100</f>
        <v/>
      </c>
      <c r="AH733" s="246">
        <f>AJ734-AF734</f>
        <v/>
      </c>
      <c r="AI733" s="246">
        <f>AB734</f>
        <v/>
      </c>
      <c r="AJ733" s="246" t="n">
        <v>1490</v>
      </c>
      <c r="AK733" s="247">
        <f>(AJ734-L734)/L734*100</f>
        <v/>
      </c>
      <c r="AL733" s="247" t="n"/>
      <c r="AM733" s="247">
        <f>AH734/AJ734%</f>
        <v/>
      </c>
      <c r="AN733" s="247">
        <f>AK734-AG734</f>
        <v/>
      </c>
      <c r="AO733" s="248">
        <f>AJ734/L734</f>
        <v/>
      </c>
      <c r="AP733" s="247">
        <f>(AJ734-AB734)/100</f>
        <v/>
      </c>
      <c r="AQ733" s="247">
        <f>(AJ734-AC734)/100</f>
        <v/>
      </c>
      <c r="AR733" s="249">
        <f>AI734/94</f>
        <v/>
      </c>
      <c r="AS733" s="249">
        <f>AJ734/94</f>
        <v/>
      </c>
      <c r="AT733" s="250">
        <f>AI734/24</f>
        <v/>
      </c>
      <c r="AU733" s="250">
        <f>AJ734/24</f>
        <v/>
      </c>
      <c r="AV733" s="250">
        <f>AI734/125</f>
        <v/>
      </c>
      <c r="AW733" s="250">
        <f>AJ734/125</f>
        <v/>
      </c>
      <c r="AX733" s="243" t="n"/>
      <c r="AY733" s="243" t="n"/>
    </row>
    <row r="734" ht="15" customHeight="1" s="258">
      <c r="A734" s="236" t="n"/>
      <c r="B734" s="236" t="inlineStr">
        <is>
          <t>Standard</t>
        </is>
      </c>
      <c r="C734" s="236" t="inlineStr">
        <is>
          <t>MI-BB-3</t>
        </is>
      </c>
      <c r="D734" s="234" t="n">
        <v>790</v>
      </c>
      <c r="E734" s="243" t="n">
        <v>50</v>
      </c>
      <c r="F734" s="236" t="n">
        <v>55</v>
      </c>
      <c r="G734" s="252" t="n">
        <v>8306</v>
      </c>
      <c r="H734" s="238" t="n">
        <v>0.05</v>
      </c>
      <c r="I734" s="236">
        <f>D735*H735</f>
        <v/>
      </c>
      <c r="J734" s="236">
        <f>D735*5%</f>
        <v/>
      </c>
      <c r="K734" s="236" t="n">
        <v>50</v>
      </c>
      <c r="L734" s="239">
        <f>K735+J735+I735+F735+E735+D735</f>
        <v/>
      </c>
      <c r="M734" s="236">
        <f>D735*1%</f>
        <v/>
      </c>
      <c r="N734" s="240">
        <f>L735*8%</f>
        <v/>
      </c>
      <c r="O734" s="240">
        <f>L735*10%</f>
        <v/>
      </c>
      <c r="P734" s="240">
        <f>L735*5%</f>
        <v/>
      </c>
      <c r="Q734" s="240">
        <f>L735*2%</f>
        <v/>
      </c>
      <c r="R734" s="240">
        <f>AC735*0.5%</f>
        <v/>
      </c>
      <c r="S734" s="240">
        <f>L735*1%</f>
        <v/>
      </c>
      <c r="T734" s="241">
        <f>S735+Q735+P735+O735+N735+M735</f>
        <v/>
      </c>
      <c r="U734" s="236">
        <f>AC735*1%</f>
        <v/>
      </c>
      <c r="V734" s="44">
        <f>AC735*5%</f>
        <v/>
      </c>
      <c r="W734" s="236">
        <f>AC735*1%</f>
        <v/>
      </c>
      <c r="X734" s="236">
        <f>AC735*8%</f>
        <v/>
      </c>
      <c r="Y734" s="236">
        <f>U735+V735+W735+X735</f>
        <v/>
      </c>
      <c r="Z734" s="241">
        <f>Y735+T735+L735</f>
        <v/>
      </c>
      <c r="AA734" s="242">
        <f>Z735*20%</f>
        <v/>
      </c>
      <c r="AB734" s="240">
        <f>Z735+AA735</f>
        <v/>
      </c>
      <c r="AC734" s="236">
        <f>D735*2.1</f>
        <v/>
      </c>
      <c r="AD734" s="240">
        <f>AB735-AC735</f>
        <v/>
      </c>
      <c r="AE734" s="240">
        <f>AD735/AB735*100</f>
        <v/>
      </c>
      <c r="AF734" s="243" t="n">
        <v>1650</v>
      </c>
      <c r="AG734" s="244">
        <f>((AF735-L735)/L735)*100</f>
        <v/>
      </c>
      <c r="AH734" s="246">
        <f>AJ735-AF735</f>
        <v/>
      </c>
      <c r="AI734" s="246">
        <f>AB735</f>
        <v/>
      </c>
      <c r="AJ734" s="246" t="n">
        <v>1690</v>
      </c>
      <c r="AK734" s="247">
        <f>(AJ735-L735)/L735*100</f>
        <v/>
      </c>
      <c r="AL734" s="247" t="n"/>
      <c r="AM734" s="247">
        <f>AH735/AJ735%</f>
        <v/>
      </c>
      <c r="AN734" s="247">
        <f>AK735-AG735</f>
        <v/>
      </c>
      <c r="AO734" s="248">
        <f>AJ735/L735</f>
        <v/>
      </c>
      <c r="AP734" s="247">
        <f>(AJ735-AB735)/100</f>
        <v/>
      </c>
      <c r="AQ734" s="247">
        <f>(AJ735-AC735)/100</f>
        <v/>
      </c>
      <c r="AR734" s="249">
        <f>AI735/94</f>
        <v/>
      </c>
      <c r="AS734" s="249">
        <f>AJ735/94</f>
        <v/>
      </c>
      <c r="AT734" s="250">
        <f>AI735/24</f>
        <v/>
      </c>
      <c r="AU734" s="250">
        <f>AJ735/24</f>
        <v/>
      </c>
      <c r="AV734" s="250">
        <f>AI735/125</f>
        <v/>
      </c>
      <c r="AW734" s="250">
        <f>AJ735/125</f>
        <v/>
      </c>
      <c r="AX734" s="243" t="n"/>
      <c r="AY734" s="243" t="n"/>
    </row>
    <row r="735" ht="15.75" customHeight="1" s="258">
      <c r="A735" s="236" t="n"/>
      <c r="B735" s="236" t="inlineStr">
        <is>
          <t>Large</t>
        </is>
      </c>
      <c r="C735" s="236" t="inlineStr">
        <is>
          <t>MI-BB-3.5</t>
        </is>
      </c>
      <c r="D735" s="234" t="n">
        <v>890</v>
      </c>
      <c r="E735" s="243" t="n">
        <v>80</v>
      </c>
      <c r="F735" s="236" t="n">
        <v>75</v>
      </c>
      <c r="G735" s="252" t="n">
        <v>8306</v>
      </c>
      <c r="H735" s="238" t="n">
        <v>0.05</v>
      </c>
      <c r="I735" s="236">
        <f>D736*H736</f>
        <v/>
      </c>
      <c r="J735" s="236">
        <f>D736*5%</f>
        <v/>
      </c>
      <c r="K735" s="236" t="n">
        <v>100</v>
      </c>
      <c r="L735" s="239">
        <f>K736+J736+I736+F736+E736+D736</f>
        <v/>
      </c>
      <c r="M735" s="236">
        <f>D736*1%</f>
        <v/>
      </c>
      <c r="N735" s="240">
        <f>L736*8%</f>
        <v/>
      </c>
      <c r="O735" s="240">
        <f>L736*10%</f>
        <v/>
      </c>
      <c r="P735" s="240">
        <f>L736*5%</f>
        <v/>
      </c>
      <c r="Q735" s="240">
        <f>L736*2%</f>
        <v/>
      </c>
      <c r="R735" s="240">
        <f>AC736*0.5%</f>
        <v/>
      </c>
      <c r="S735" s="240">
        <f>L736*1%</f>
        <v/>
      </c>
      <c r="T735" s="241">
        <f>S736+Q736+P736+O736+N736+M736</f>
        <v/>
      </c>
      <c r="U735" s="236">
        <f>AC736*1%</f>
        <v/>
      </c>
      <c r="V735" s="44">
        <f>AC736*5%</f>
        <v/>
      </c>
      <c r="W735" s="236">
        <f>AC736*1%</f>
        <v/>
      </c>
      <c r="X735" s="236">
        <f>AC736*8%</f>
        <v/>
      </c>
      <c r="Y735" s="236">
        <f>U736+V736+W736+X736</f>
        <v/>
      </c>
      <c r="Z735" s="241">
        <f>Y736+T736+L736</f>
        <v/>
      </c>
      <c r="AA735" s="242">
        <f>Z736*20%</f>
        <v/>
      </c>
      <c r="AB735" s="240">
        <f>Z736+AA736</f>
        <v/>
      </c>
      <c r="AC735" s="236">
        <f>D736*2.1</f>
        <v/>
      </c>
      <c r="AD735" s="240">
        <f>AB736-AC736</f>
        <v/>
      </c>
      <c r="AE735" s="240">
        <f>AD736/AB736*100</f>
        <v/>
      </c>
      <c r="AF735" s="243" t="n">
        <v>1850</v>
      </c>
      <c r="AG735" s="244">
        <f>((AF736-L736)/L736)*100</f>
        <v/>
      </c>
      <c r="AH735" s="246">
        <f>AJ736-AF736</f>
        <v/>
      </c>
      <c r="AI735" s="246">
        <f>AB736</f>
        <v/>
      </c>
      <c r="AJ735" s="246" t="n">
        <v>1890</v>
      </c>
      <c r="AK735" s="247">
        <f>(AJ736-L736)/L736*100</f>
        <v/>
      </c>
      <c r="AL735" s="247" t="n"/>
      <c r="AM735" s="247">
        <f>AH736/AJ736%</f>
        <v/>
      </c>
      <c r="AN735" s="247">
        <f>AK736-AG736</f>
        <v/>
      </c>
      <c r="AO735" s="248">
        <f>AJ736/L736</f>
        <v/>
      </c>
      <c r="AP735" s="247">
        <f>(AJ736-AB736)/100</f>
        <v/>
      </c>
      <c r="AQ735" s="247">
        <f>(AJ736-AC736)/100</f>
        <v/>
      </c>
      <c r="AR735" s="249">
        <f>AI736/94</f>
        <v/>
      </c>
      <c r="AS735" s="249">
        <f>AJ736/94</f>
        <v/>
      </c>
      <c r="AT735" s="250">
        <f>AI736/24</f>
        <v/>
      </c>
      <c r="AU735" s="250">
        <f>AJ736/24</f>
        <v/>
      </c>
      <c r="AV735" s="250">
        <f>AI736/125</f>
        <v/>
      </c>
      <c r="AW735" s="250">
        <f>AJ736/125</f>
        <v/>
      </c>
      <c r="AX735" s="243" t="n"/>
      <c r="AY735" s="243" t="n"/>
    </row>
    <row r="736" ht="15.75" customHeight="1" s="258">
      <c r="A736" s="236" t="n"/>
      <c r="B736" s="236" t="inlineStr">
        <is>
          <t>Extra Large</t>
        </is>
      </c>
      <c r="C736" s="251" t="inlineStr">
        <is>
          <t>MI-TBB-E</t>
        </is>
      </c>
      <c r="D736" s="234" t="n">
        <v>990</v>
      </c>
      <c r="E736" s="243" t="n">
        <v>100</v>
      </c>
      <c r="F736" s="236" t="n">
        <v>100</v>
      </c>
      <c r="G736" s="252" t="n">
        <v>8306</v>
      </c>
      <c r="H736" s="238" t="n">
        <v>0.05</v>
      </c>
      <c r="I736" s="236">
        <f>D737*H737</f>
        <v/>
      </c>
      <c r="J736" s="243" t="n"/>
      <c r="K736" s="236" t="n">
        <v>200</v>
      </c>
      <c r="L736" s="239">
        <f>K737+J737+I737+F737+E737+D737</f>
        <v/>
      </c>
      <c r="M736" s="236">
        <f>D737*1%</f>
        <v/>
      </c>
      <c r="N736" s="240">
        <f>L737*8%</f>
        <v/>
      </c>
      <c r="O736" s="240">
        <f>L737*10%</f>
        <v/>
      </c>
      <c r="P736" s="240">
        <f>L737*5%</f>
        <v/>
      </c>
      <c r="Q736" s="240">
        <f>L737*2%</f>
        <v/>
      </c>
      <c r="R736" s="240">
        <f>AC737*0.5%</f>
        <v/>
      </c>
      <c r="S736" s="240">
        <f>L737*1%</f>
        <v/>
      </c>
      <c r="T736" s="241">
        <f>S737+Q737+P737+O737+N737+M737</f>
        <v/>
      </c>
      <c r="U736" s="236">
        <f>AC737*1%</f>
        <v/>
      </c>
      <c r="V736" s="44">
        <f>AC737*5%</f>
        <v/>
      </c>
      <c r="W736" s="236">
        <f>AC737*1%</f>
        <v/>
      </c>
      <c r="X736" s="236">
        <f>AC737*8%</f>
        <v/>
      </c>
      <c r="Y736" s="236">
        <f>U737+V737+W737+X737</f>
        <v/>
      </c>
      <c r="Z736" s="241">
        <f>Y737+T737+L737</f>
        <v/>
      </c>
      <c r="AA736" s="242">
        <f>Z737*20%</f>
        <v/>
      </c>
      <c r="AB736" s="240">
        <f>Z737+AA737</f>
        <v/>
      </c>
      <c r="AC736" s="236">
        <f>D737*2.1</f>
        <v/>
      </c>
      <c r="AD736" s="240">
        <f>AB737-AC737</f>
        <v/>
      </c>
      <c r="AE736" s="240">
        <f>AD737/AB737*100</f>
        <v/>
      </c>
      <c r="AF736" s="243" t="n"/>
      <c r="AG736" s="244">
        <f>((AF737-L737)/L737)*100</f>
        <v/>
      </c>
      <c r="AH736" s="246">
        <f>AJ737-AF737</f>
        <v/>
      </c>
      <c r="AI736" s="246">
        <f>AB737</f>
        <v/>
      </c>
      <c r="AJ736" s="246" t="n">
        <v>2090</v>
      </c>
      <c r="AK736" s="247">
        <f>(AJ737-L737)/L737*100</f>
        <v/>
      </c>
      <c r="AL736" s="247" t="n"/>
      <c r="AM736" s="247">
        <f>AH737/AJ737%</f>
        <v/>
      </c>
      <c r="AN736" s="247">
        <f>AK737-AG737</f>
        <v/>
      </c>
      <c r="AO736" s="248">
        <f>AJ737/L737</f>
        <v/>
      </c>
      <c r="AP736" s="247">
        <f>(AJ737-AB737)/100</f>
        <v/>
      </c>
      <c r="AQ736" s="247">
        <f>(AJ737-AC737)/100</f>
        <v/>
      </c>
      <c r="AR736" s="249">
        <f>AI737/94</f>
        <v/>
      </c>
      <c r="AS736" s="249">
        <f>AJ737/94</f>
        <v/>
      </c>
      <c r="AT736" s="250">
        <f>AI737/24</f>
        <v/>
      </c>
      <c r="AU736" s="250">
        <f>AJ737/24</f>
        <v/>
      </c>
      <c r="AV736" s="250">
        <f>AI737/125</f>
        <v/>
      </c>
      <c r="AW736" s="250">
        <f>AJ737/125</f>
        <v/>
      </c>
      <c r="AX736" s="243" t="n"/>
      <c r="AY736" s="243" t="n"/>
    </row>
    <row r="737" ht="15.75" customHeight="1" s="258">
      <c r="A737" s="236" t="inlineStr">
        <is>
          <t>Tingsha Bell</t>
        </is>
      </c>
      <c r="B737" s="236" t="inlineStr">
        <is>
          <t>Plain / Small</t>
        </is>
      </c>
      <c r="C737" s="251" t="inlineStr">
        <is>
          <t>MI-TB-P-SM</t>
        </is>
      </c>
      <c r="D737" s="252" t="n">
        <v>600</v>
      </c>
      <c r="E737" s="236" t="n">
        <v>80</v>
      </c>
      <c r="F737" s="236" t="n">
        <v>50</v>
      </c>
      <c r="G737" s="252" t="n">
        <v>8306</v>
      </c>
      <c r="H737" s="238" t="n">
        <v>0.05</v>
      </c>
      <c r="I737" s="236">
        <f>D738*H738</f>
        <v/>
      </c>
      <c r="J737" s="243" t="n"/>
      <c r="K737" s="236" t="n">
        <v>40</v>
      </c>
      <c r="L737" s="239">
        <f>K738+J738+I738+F738+E738+D738</f>
        <v/>
      </c>
      <c r="M737" s="236">
        <f>D738*1%</f>
        <v/>
      </c>
      <c r="N737" s="240">
        <f>L738*8%</f>
        <v/>
      </c>
      <c r="O737" s="240">
        <f>L738*10%</f>
        <v/>
      </c>
      <c r="P737" s="240">
        <f>L738*5%</f>
        <v/>
      </c>
      <c r="Q737" s="240">
        <f>L738*2%</f>
        <v/>
      </c>
      <c r="R737" s="240">
        <f>AC738*0.5%</f>
        <v/>
      </c>
      <c r="S737" s="240">
        <f>L738*1%</f>
        <v/>
      </c>
      <c r="T737" s="241">
        <f>S738+Q738+P738+O738+N738+M738</f>
        <v/>
      </c>
      <c r="U737" s="236">
        <f>AC738*1%</f>
        <v/>
      </c>
      <c r="V737" s="44">
        <f>AC738*5%</f>
        <v/>
      </c>
      <c r="W737" s="236">
        <f>AC738*1%</f>
        <v/>
      </c>
      <c r="X737" s="236">
        <f>AC738*8%</f>
        <v/>
      </c>
      <c r="Y737" s="236">
        <f>U738+V738+W738+X738</f>
        <v/>
      </c>
      <c r="Z737" s="241">
        <f>Y738+T738+L738</f>
        <v/>
      </c>
      <c r="AA737" s="242">
        <f>Z738*20%</f>
        <v/>
      </c>
      <c r="AB737" s="240">
        <f>Z738+AA738</f>
        <v/>
      </c>
      <c r="AC737" s="236">
        <f>D738*2.1</f>
        <v/>
      </c>
      <c r="AD737" s="240">
        <f>AB738-AC738</f>
        <v/>
      </c>
      <c r="AE737" s="240">
        <f>AD738/AB738*100</f>
        <v/>
      </c>
      <c r="AF737" s="243" t="n"/>
      <c r="AG737" s="244">
        <f>((AF738-L738)/L738)*100</f>
        <v/>
      </c>
      <c r="AH737" s="246">
        <f>AJ738-AF738</f>
        <v/>
      </c>
      <c r="AI737" s="246">
        <f>AB738</f>
        <v/>
      </c>
      <c r="AJ737" s="246" t="n">
        <v>1290</v>
      </c>
      <c r="AK737" s="247">
        <f>(AJ738-L738)/L738*100</f>
        <v/>
      </c>
      <c r="AL737" s="247" t="n"/>
      <c r="AM737" s="247">
        <f>AH738/AJ738%</f>
        <v/>
      </c>
      <c r="AN737" s="247">
        <f>AK738-AG738</f>
        <v/>
      </c>
      <c r="AO737" s="248">
        <f>AJ738/L738</f>
        <v/>
      </c>
      <c r="AP737" s="247">
        <f>(AJ738-AB738)/100</f>
        <v/>
      </c>
      <c r="AQ737" s="247">
        <f>(AJ738-AC738)/100</f>
        <v/>
      </c>
      <c r="AR737" s="249">
        <f>AI738/94</f>
        <v/>
      </c>
      <c r="AS737" s="249">
        <f>AJ738/94</f>
        <v/>
      </c>
      <c r="AT737" s="250">
        <f>AI738/24</f>
        <v/>
      </c>
      <c r="AU737" s="250">
        <f>AJ738/24</f>
        <v/>
      </c>
      <c r="AV737" s="250">
        <f>AI738/125</f>
        <v/>
      </c>
      <c r="AW737" s="250">
        <f>AJ738/125</f>
        <v/>
      </c>
      <c r="AX737" s="243" t="n"/>
      <c r="AY737" s="243" t="n"/>
    </row>
    <row r="738" ht="15" customHeight="1" s="258">
      <c r="A738" s="236" t="n"/>
      <c r="B738" s="236" t="inlineStr">
        <is>
          <t>Plain /Standard</t>
        </is>
      </c>
      <c r="C738" s="251" t="inlineStr">
        <is>
          <t>MI-TB-P-ST</t>
        </is>
      </c>
      <c r="D738" s="252" t="n">
        <v>770</v>
      </c>
      <c r="E738" s="236" t="n">
        <v>80</v>
      </c>
      <c r="F738" s="236" t="n">
        <v>50</v>
      </c>
      <c r="G738" s="252" t="n">
        <v>8306</v>
      </c>
      <c r="H738" s="238" t="n">
        <v>0.05</v>
      </c>
      <c r="I738" s="236">
        <f>D739*H739</f>
        <v/>
      </c>
      <c r="J738" s="243" t="n"/>
      <c r="K738" s="236" t="n">
        <v>40</v>
      </c>
      <c r="L738" s="239">
        <f>K739+J739+I739+F739+E739+D739</f>
        <v/>
      </c>
      <c r="M738" s="236">
        <f>D739*1%</f>
        <v/>
      </c>
      <c r="N738" s="240">
        <f>L739*8%</f>
        <v/>
      </c>
      <c r="O738" s="240">
        <f>L739*10%</f>
        <v/>
      </c>
      <c r="P738" s="240">
        <f>L739*5%</f>
        <v/>
      </c>
      <c r="Q738" s="240">
        <f>L739*2%</f>
        <v/>
      </c>
      <c r="R738" s="240">
        <f>AC739*0.5%</f>
        <v/>
      </c>
      <c r="S738" s="240">
        <f>L739*1%</f>
        <v/>
      </c>
      <c r="T738" s="241">
        <f>S739+Q739+P739+O739+N739+M739</f>
        <v/>
      </c>
      <c r="U738" s="236">
        <f>AC739*1%</f>
        <v/>
      </c>
      <c r="V738" s="44">
        <f>AC739*5%</f>
        <v/>
      </c>
      <c r="W738" s="236">
        <f>AC739*1%</f>
        <v/>
      </c>
      <c r="X738" s="236">
        <f>AC739*8%</f>
        <v/>
      </c>
      <c r="Y738" s="236">
        <f>U739+V739+W739+X739</f>
        <v/>
      </c>
      <c r="Z738" s="241">
        <f>Y739+T739+L739</f>
        <v/>
      </c>
      <c r="AA738" s="242">
        <f>Z739*20%</f>
        <v/>
      </c>
      <c r="AB738" s="240">
        <f>Z739+AA739</f>
        <v/>
      </c>
      <c r="AC738" s="236">
        <f>D739*2.1</f>
        <v/>
      </c>
      <c r="AD738" s="240">
        <f>AB739-AC739</f>
        <v/>
      </c>
      <c r="AE738" s="240">
        <f>AD739/AB739*100</f>
        <v/>
      </c>
      <c r="AF738" s="243" t="n"/>
      <c r="AG738" s="244">
        <f>((AF739-L739)/L739)*100</f>
        <v/>
      </c>
      <c r="AH738" s="246">
        <f>AJ739-AF739</f>
        <v/>
      </c>
      <c r="AI738" s="246">
        <f>AB739</f>
        <v/>
      </c>
      <c r="AJ738" s="246" t="n">
        <v>1390</v>
      </c>
      <c r="AK738" s="247">
        <f>(AJ739-L739)/L739*100</f>
        <v/>
      </c>
      <c r="AL738" s="247" t="n"/>
      <c r="AM738" s="247">
        <f>AH739/AJ739%</f>
        <v/>
      </c>
      <c r="AN738" s="247">
        <f>AK739-AG739</f>
        <v/>
      </c>
      <c r="AO738" s="248">
        <f>AJ739/L739</f>
        <v/>
      </c>
      <c r="AP738" s="247">
        <f>(AJ739-AB739)/100</f>
        <v/>
      </c>
      <c r="AQ738" s="247">
        <f>(AJ739-AC739)/100</f>
        <v/>
      </c>
      <c r="AR738" s="249">
        <f>AI739/94</f>
        <v/>
      </c>
      <c r="AS738" s="249">
        <f>AJ739/94</f>
        <v/>
      </c>
      <c r="AT738" s="250">
        <f>AI739/24</f>
        <v/>
      </c>
      <c r="AU738" s="250">
        <f>AJ739/24</f>
        <v/>
      </c>
      <c r="AV738" s="250">
        <f>AI739/125</f>
        <v/>
      </c>
      <c r="AW738" s="250">
        <f>AJ739/125</f>
        <v/>
      </c>
      <c r="AX738" s="243" t="n"/>
      <c r="AY738" s="243" t="n"/>
    </row>
    <row r="739" ht="15.75" customHeight="1" s="258">
      <c r="A739" s="236" t="n"/>
      <c r="B739" s="236" t="inlineStr">
        <is>
          <t>Dark / Small</t>
        </is>
      </c>
      <c r="C739" s="251" t="inlineStr">
        <is>
          <t>MI-TB-D-SM</t>
        </is>
      </c>
      <c r="D739" s="252" t="n">
        <v>620</v>
      </c>
      <c r="E739" s="236" t="n">
        <v>80</v>
      </c>
      <c r="F739" s="236" t="n">
        <v>50</v>
      </c>
      <c r="G739" s="252" t="n">
        <v>8306</v>
      </c>
      <c r="H739" s="238" t="n">
        <v>0.05</v>
      </c>
      <c r="I739" s="236">
        <f>D740*H740</f>
        <v/>
      </c>
      <c r="J739" s="243" t="n"/>
      <c r="K739" s="236" t="n">
        <v>40</v>
      </c>
      <c r="L739" s="239">
        <f>K740+J740+I740+F740+E740+D740</f>
        <v/>
      </c>
      <c r="M739" s="236">
        <f>D740*1%</f>
        <v/>
      </c>
      <c r="N739" s="240">
        <f>L740*8%</f>
        <v/>
      </c>
      <c r="O739" s="240">
        <f>L740*10%</f>
        <v/>
      </c>
      <c r="P739" s="240">
        <f>L740*5%</f>
        <v/>
      </c>
      <c r="Q739" s="240">
        <f>L740*2%</f>
        <v/>
      </c>
      <c r="R739" s="240">
        <f>AC740*0.5%</f>
        <v/>
      </c>
      <c r="S739" s="240">
        <f>L740*1%</f>
        <v/>
      </c>
      <c r="T739" s="241">
        <f>S740+Q740+P740+O740+N740+M740</f>
        <v/>
      </c>
      <c r="U739" s="236">
        <f>AC740*1%</f>
        <v/>
      </c>
      <c r="V739" s="44">
        <f>AC740*5%</f>
        <v/>
      </c>
      <c r="W739" s="236">
        <f>AC740*1%</f>
        <v/>
      </c>
      <c r="X739" s="236">
        <f>AC740*8%</f>
        <v/>
      </c>
      <c r="Y739" s="236">
        <f>U740+V740+W740+X740</f>
        <v/>
      </c>
      <c r="Z739" s="241">
        <f>Y740+T740+L740</f>
        <v/>
      </c>
      <c r="AA739" s="242">
        <f>Z740*20%</f>
        <v/>
      </c>
      <c r="AB739" s="240">
        <f>Z740+AA740</f>
        <v/>
      </c>
      <c r="AC739" s="236">
        <f>D740*2.1</f>
        <v/>
      </c>
      <c r="AD739" s="240">
        <f>AB740-AC740</f>
        <v/>
      </c>
      <c r="AE739" s="240">
        <f>AD740/AB740*100</f>
        <v/>
      </c>
      <c r="AF739" s="243" t="n"/>
      <c r="AG739" s="244">
        <f>((AF740-L740)/L740)*100</f>
        <v/>
      </c>
      <c r="AH739" s="246">
        <f>AJ740-AF740</f>
        <v/>
      </c>
      <c r="AI739" s="246">
        <f>AB740</f>
        <v/>
      </c>
      <c r="AJ739" s="246" t="n">
        <v>1290</v>
      </c>
      <c r="AK739" s="247">
        <f>(AJ740-L740)/L740*100</f>
        <v/>
      </c>
      <c r="AL739" s="247" t="n"/>
      <c r="AM739" s="247">
        <f>AH740/AJ740%</f>
        <v/>
      </c>
      <c r="AN739" s="247">
        <f>AK740-AG740</f>
        <v/>
      </c>
      <c r="AO739" s="248">
        <f>AJ740/L740</f>
        <v/>
      </c>
      <c r="AP739" s="247">
        <f>(AJ740-AB740)/100</f>
        <v/>
      </c>
      <c r="AQ739" s="247">
        <f>(AJ740-AC740)/100</f>
        <v/>
      </c>
      <c r="AR739" s="249">
        <f>AI740/94</f>
        <v/>
      </c>
      <c r="AS739" s="249">
        <f>AJ740/94</f>
        <v/>
      </c>
      <c r="AT739" s="250">
        <f>AI740/24</f>
        <v/>
      </c>
      <c r="AU739" s="250">
        <f>AJ740/24</f>
        <v/>
      </c>
      <c r="AV739" s="250">
        <f>AI740/125</f>
        <v/>
      </c>
      <c r="AW739" s="250">
        <f>AJ740/125</f>
        <v/>
      </c>
      <c r="AX739" s="243" t="n"/>
      <c r="AY739" s="243" t="n"/>
    </row>
    <row r="740" ht="15.75" customHeight="1" s="258">
      <c r="A740" s="236" t="n"/>
      <c r="B740" s="236" t="inlineStr">
        <is>
          <t>Dark / Standard</t>
        </is>
      </c>
      <c r="C740" s="251" t="inlineStr">
        <is>
          <t>MI-TB-D-ST</t>
        </is>
      </c>
      <c r="D740" s="252" t="n">
        <v>790</v>
      </c>
      <c r="E740" s="236" t="n">
        <v>80</v>
      </c>
      <c r="F740" s="236" t="n">
        <v>50</v>
      </c>
      <c r="G740" s="252" t="n">
        <v>8306</v>
      </c>
      <c r="H740" s="238" t="n">
        <v>0.05</v>
      </c>
      <c r="I740" s="236">
        <f>D741*H741</f>
        <v/>
      </c>
      <c r="J740" s="243" t="n"/>
      <c r="K740" s="236" t="n">
        <v>40</v>
      </c>
      <c r="L740" s="239">
        <f>K741+J741+I741+F741+E741+D741</f>
        <v/>
      </c>
      <c r="M740" s="236">
        <f>D741*1%</f>
        <v/>
      </c>
      <c r="N740" s="240">
        <f>L741*8%</f>
        <v/>
      </c>
      <c r="O740" s="240">
        <f>L741*10%</f>
        <v/>
      </c>
      <c r="P740" s="240">
        <f>L741*5%</f>
        <v/>
      </c>
      <c r="Q740" s="240">
        <f>L741*2%</f>
        <v/>
      </c>
      <c r="R740" s="240">
        <f>AC741*0.5%</f>
        <v/>
      </c>
      <c r="S740" s="240">
        <f>L741*1%</f>
        <v/>
      </c>
      <c r="T740" s="241">
        <f>S741+Q741+P741+O741+N741+M741</f>
        <v/>
      </c>
      <c r="U740" s="236">
        <f>AC741*1%</f>
        <v/>
      </c>
      <c r="V740" s="44">
        <f>AC741*5%</f>
        <v/>
      </c>
      <c r="W740" s="236">
        <f>AC741*1%</f>
        <v/>
      </c>
      <c r="X740" s="236">
        <f>AC741*8%</f>
        <v/>
      </c>
      <c r="Y740" s="236">
        <f>U741+V741+W741+X741</f>
        <v/>
      </c>
      <c r="Z740" s="241">
        <f>Y741+T741+L741</f>
        <v/>
      </c>
      <c r="AA740" s="242">
        <f>Z741*20%</f>
        <v/>
      </c>
      <c r="AB740" s="240">
        <f>Z741+AA741</f>
        <v/>
      </c>
      <c r="AC740" s="236">
        <f>D741*2.1</f>
        <v/>
      </c>
      <c r="AD740" s="240">
        <f>AB741-AC741</f>
        <v/>
      </c>
      <c r="AE740" s="240">
        <f>AD741/AB741*100</f>
        <v/>
      </c>
      <c r="AF740" s="243" t="n"/>
      <c r="AG740" s="244">
        <f>((AF741-L741)/L741)*100</f>
        <v/>
      </c>
      <c r="AH740" s="246">
        <f>AJ741-AF741</f>
        <v/>
      </c>
      <c r="AI740" s="246">
        <f>AB741</f>
        <v/>
      </c>
      <c r="AJ740" s="246" t="n">
        <v>1390</v>
      </c>
      <c r="AK740" s="247">
        <f>(AJ741-L741)/L741*100</f>
        <v/>
      </c>
      <c r="AL740" s="247" t="n"/>
      <c r="AM740" s="247">
        <f>AH741/AJ741%</f>
        <v/>
      </c>
      <c r="AN740" s="247">
        <f>AK741-AG741</f>
        <v/>
      </c>
      <c r="AO740" s="248">
        <f>AJ741/L741</f>
        <v/>
      </c>
      <c r="AP740" s="247">
        <f>(AJ741-AB741)/100</f>
        <v/>
      </c>
      <c r="AQ740" s="247">
        <f>(AJ741-AC741)/100</f>
        <v/>
      </c>
      <c r="AR740" s="249">
        <f>AI741/94</f>
        <v/>
      </c>
      <c r="AS740" s="249">
        <f>AJ741/94</f>
        <v/>
      </c>
      <c r="AT740" s="250">
        <f>AI741/24</f>
        <v/>
      </c>
      <c r="AU740" s="250">
        <f>AJ741/24</f>
        <v/>
      </c>
      <c r="AV740" s="250">
        <f>AI741/125</f>
        <v/>
      </c>
      <c r="AW740" s="250">
        <f>AJ741/125</f>
        <v/>
      </c>
      <c r="AX740" s="243" t="n"/>
      <c r="AY740" s="243" t="n"/>
    </row>
    <row r="741" ht="15.75" customHeight="1" s="258">
      <c r="A741" s="236" t="n"/>
      <c r="B741" s="236" t="inlineStr">
        <is>
          <t>Etched /Small</t>
        </is>
      </c>
      <c r="C741" s="251" t="inlineStr">
        <is>
          <t>MI-TB-E-SM</t>
        </is>
      </c>
      <c r="D741" s="252" t="n">
        <v>690</v>
      </c>
      <c r="E741" s="236" t="n">
        <v>80</v>
      </c>
      <c r="F741" s="236" t="n">
        <v>50</v>
      </c>
      <c r="G741" s="252" t="n">
        <v>8306</v>
      </c>
      <c r="H741" s="238" t="n">
        <v>0.05</v>
      </c>
      <c r="I741" s="236">
        <f>D742*H742</f>
        <v/>
      </c>
      <c r="J741" s="243" t="n"/>
      <c r="K741" s="236" t="n">
        <v>40</v>
      </c>
      <c r="L741" s="239">
        <f>K742+J742+I742+F742+E742+D742</f>
        <v/>
      </c>
      <c r="M741" s="236">
        <f>D742*1%</f>
        <v/>
      </c>
      <c r="N741" s="240">
        <f>L742*8%</f>
        <v/>
      </c>
      <c r="O741" s="240">
        <f>L742*10%</f>
        <v/>
      </c>
      <c r="P741" s="240">
        <f>L742*5%</f>
        <v/>
      </c>
      <c r="Q741" s="240">
        <f>L742*2%</f>
        <v/>
      </c>
      <c r="R741" s="240">
        <f>AC742*0.5%</f>
        <v/>
      </c>
      <c r="S741" s="240">
        <f>L742*1%</f>
        <v/>
      </c>
      <c r="T741" s="241">
        <f>S742+Q742+P742+O742+N742+M742</f>
        <v/>
      </c>
      <c r="U741" s="236">
        <f>AC742*1%</f>
        <v/>
      </c>
      <c r="V741" s="44">
        <f>AC742*5%</f>
        <v/>
      </c>
      <c r="W741" s="236">
        <f>AC742*1%</f>
        <v/>
      </c>
      <c r="X741" s="236">
        <f>AC742*8%</f>
        <v/>
      </c>
      <c r="Y741" s="236">
        <f>U742+V742+W742+X742</f>
        <v/>
      </c>
      <c r="Z741" s="241">
        <f>Y742+T742+L742</f>
        <v/>
      </c>
      <c r="AA741" s="242">
        <f>Z742*20%</f>
        <v/>
      </c>
      <c r="AB741" s="240">
        <f>Z742+AA742</f>
        <v/>
      </c>
      <c r="AC741" s="236">
        <f>D742*2.1</f>
        <v/>
      </c>
      <c r="AD741" s="240">
        <f>AB742-AC742</f>
        <v/>
      </c>
      <c r="AE741" s="240">
        <f>AD742/AB742*100</f>
        <v/>
      </c>
      <c r="AF741" s="243" t="n"/>
      <c r="AG741" s="244">
        <f>((AF742-L742)/L742)*100</f>
        <v/>
      </c>
      <c r="AH741" s="246">
        <f>AJ742-AF742</f>
        <v/>
      </c>
      <c r="AI741" s="246">
        <f>AB742</f>
        <v/>
      </c>
      <c r="AJ741" s="246" t="n">
        <v>1340</v>
      </c>
      <c r="AK741" s="247">
        <f>(AJ742-L742)/L742*100</f>
        <v/>
      </c>
      <c r="AL741" s="247" t="n"/>
      <c r="AM741" s="247">
        <f>AH742/AJ742%</f>
        <v/>
      </c>
      <c r="AN741" s="247">
        <f>AK742-AG742</f>
        <v/>
      </c>
      <c r="AO741" s="248">
        <f>AJ742/L742</f>
        <v/>
      </c>
      <c r="AP741" s="247">
        <f>(AJ742-AB742)/100</f>
        <v/>
      </c>
      <c r="AQ741" s="247">
        <f>(AJ742-AC742)/100</f>
        <v/>
      </c>
      <c r="AR741" s="249">
        <f>AI742/94</f>
        <v/>
      </c>
      <c r="AS741" s="249">
        <f>AJ742/94</f>
        <v/>
      </c>
      <c r="AT741" s="250">
        <f>AI742/24</f>
        <v/>
      </c>
      <c r="AU741" s="250">
        <f>AJ742/24</f>
        <v/>
      </c>
      <c r="AV741" s="250">
        <f>AI742/125</f>
        <v/>
      </c>
      <c r="AW741" s="250">
        <f>AJ742/125</f>
        <v/>
      </c>
      <c r="AX741" s="243" t="n"/>
      <c r="AY741" s="243" t="n"/>
    </row>
    <row r="742" ht="15.75" customHeight="1" s="258">
      <c r="A742" s="236" t="n"/>
      <c r="B742" s="236" t="inlineStr">
        <is>
          <t>Etched / Standard</t>
        </is>
      </c>
      <c r="C742" s="251" t="inlineStr">
        <is>
          <t>MI-TB-E-ST</t>
        </is>
      </c>
      <c r="D742" s="252" t="n">
        <v>850</v>
      </c>
      <c r="E742" s="236" t="n">
        <v>80</v>
      </c>
      <c r="F742" s="236" t="n">
        <v>50</v>
      </c>
      <c r="G742" s="252" t="n">
        <v>8306</v>
      </c>
      <c r="H742" s="238" t="n">
        <v>0.05</v>
      </c>
      <c r="I742" s="236">
        <f>D743*H743</f>
        <v/>
      </c>
      <c r="J742" s="243" t="n"/>
      <c r="K742" s="236" t="n">
        <v>40</v>
      </c>
      <c r="L742" s="239">
        <f>K743+J743+I743+F743+E743+D743</f>
        <v/>
      </c>
      <c r="M742" s="236">
        <f>D743*1%</f>
        <v/>
      </c>
      <c r="N742" s="240">
        <f>L743*8%</f>
        <v/>
      </c>
      <c r="O742" s="240">
        <f>L743*10%</f>
        <v/>
      </c>
      <c r="P742" s="240">
        <f>L743*5%</f>
        <v/>
      </c>
      <c r="Q742" s="240">
        <f>L743*2%</f>
        <v/>
      </c>
      <c r="R742" s="240">
        <f>AC743*0.5%</f>
        <v/>
      </c>
      <c r="S742" s="240">
        <f>L743*1%</f>
        <v/>
      </c>
      <c r="T742" s="241">
        <f>S743+Q743+P743+O743+N743+M743</f>
        <v/>
      </c>
      <c r="U742" s="236">
        <f>AC743*1%</f>
        <v/>
      </c>
      <c r="V742" s="44">
        <f>AC743*5%</f>
        <v/>
      </c>
      <c r="W742" s="236">
        <f>AC743*1%</f>
        <v/>
      </c>
      <c r="X742" s="236">
        <f>AC743*8%</f>
        <v/>
      </c>
      <c r="Y742" s="236">
        <f>U743+V743+W743+X743</f>
        <v/>
      </c>
      <c r="Z742" s="241">
        <f>Y743+T743+L743</f>
        <v/>
      </c>
      <c r="AA742" s="242">
        <f>Z743*20%</f>
        <v/>
      </c>
      <c r="AB742" s="240">
        <f>Z743+AA743</f>
        <v/>
      </c>
      <c r="AC742" s="236">
        <f>D743*2.1</f>
        <v/>
      </c>
      <c r="AD742" s="240">
        <f>AB743-AC743</f>
        <v/>
      </c>
      <c r="AE742" s="240">
        <f>AD743/AB743*100</f>
        <v/>
      </c>
      <c r="AF742" s="243" t="n"/>
      <c r="AG742" s="244">
        <f>((AF743-L743)/L743)*100</f>
        <v/>
      </c>
      <c r="AH742" s="246">
        <f>AJ743-AF743</f>
        <v/>
      </c>
      <c r="AI742" s="246">
        <f>AB743</f>
        <v/>
      </c>
      <c r="AJ742" s="246" t="n">
        <v>1440</v>
      </c>
      <c r="AK742" s="247">
        <f>(AJ743-L743)/L743*100</f>
        <v/>
      </c>
      <c r="AL742" s="247" t="n"/>
      <c r="AM742" s="247">
        <f>AH743/AJ743%</f>
        <v/>
      </c>
      <c r="AN742" s="247">
        <f>AK743-AG743</f>
        <v/>
      </c>
      <c r="AO742" s="248">
        <f>AJ743/L743</f>
        <v/>
      </c>
      <c r="AP742" s="247">
        <f>(AJ743-AB743)/100</f>
        <v/>
      </c>
      <c r="AQ742" s="247">
        <f>(AJ743-AC743)/100</f>
        <v/>
      </c>
      <c r="AR742" s="249">
        <f>AI743/94</f>
        <v/>
      </c>
      <c r="AS742" s="249">
        <f>AJ743/94</f>
        <v/>
      </c>
      <c r="AT742" s="250">
        <f>AI743/24</f>
        <v/>
      </c>
      <c r="AU742" s="250">
        <f>AJ743/24</f>
        <v/>
      </c>
      <c r="AV742" s="250">
        <f>AI743/125</f>
        <v/>
      </c>
      <c r="AW742" s="250">
        <f>AJ743/125</f>
        <v/>
      </c>
      <c r="AX742" s="243" t="n"/>
      <c r="AY742" s="243" t="n"/>
    </row>
    <row r="743" ht="15.75" customHeight="1" s="258">
      <c r="A743" s="44" t="inlineStr">
        <is>
          <t>Tuning Fork - Single Weighted &amp; Unweighted</t>
        </is>
      </c>
      <c r="B743" s="44" t="inlineStr">
        <is>
          <t>Weighted / 128 Hz</t>
        </is>
      </c>
      <c r="C743" s="44" t="inlineStr">
        <is>
          <t>MI-TF-W-128</t>
        </is>
      </c>
      <c r="D743" s="45" t="n">
        <v>600</v>
      </c>
      <c r="E743" s="113" t="n"/>
      <c r="F743" s="44" t="n">
        <v>50</v>
      </c>
      <c r="G743" s="45" t="n">
        <v>9023</v>
      </c>
      <c r="H743" s="115" t="n">
        <v>0.18</v>
      </c>
      <c r="I743" s="44">
        <f>D744*H744</f>
        <v/>
      </c>
      <c r="J743" s="113" t="n"/>
      <c r="K743" s="44" t="n">
        <v>50</v>
      </c>
      <c r="L743" s="48">
        <f>K744+J744+I744+F744+E744+D744</f>
        <v/>
      </c>
      <c r="M743" s="44">
        <f>D744*1%</f>
        <v/>
      </c>
      <c r="N743" s="49">
        <f>L744*8%</f>
        <v/>
      </c>
      <c r="O743" s="49">
        <f>L744*10%</f>
        <v/>
      </c>
      <c r="P743" s="49">
        <f>L744*5%</f>
        <v/>
      </c>
      <c r="Q743" s="49">
        <f>L744*2%</f>
        <v/>
      </c>
      <c r="R743" s="49">
        <f>AC744*0.5%</f>
        <v/>
      </c>
      <c r="S743" s="49">
        <f>L744*1%</f>
        <v/>
      </c>
      <c r="T743" s="50">
        <f>S744+Q744+P744+O744+N744+M744</f>
        <v/>
      </c>
      <c r="U743" s="44">
        <f>AC744*1%</f>
        <v/>
      </c>
      <c r="V743" s="44">
        <f>AC744*5%</f>
        <v/>
      </c>
      <c r="W743" s="44">
        <f>AC744*1%</f>
        <v/>
      </c>
      <c r="X743" s="44">
        <f>AC744*8%</f>
        <v/>
      </c>
      <c r="Y743" s="44">
        <f>U744+V744+W744+X744</f>
        <v/>
      </c>
      <c r="Z743" s="50">
        <f>Y744+T744+L744</f>
        <v/>
      </c>
      <c r="AA743" s="51">
        <f>Z744*20%</f>
        <v/>
      </c>
      <c r="AB743" s="49">
        <f>Z744+AA744</f>
        <v/>
      </c>
      <c r="AC743" s="44">
        <f>D744*2.1</f>
        <v/>
      </c>
      <c r="AD743" s="49">
        <f>AB744-AC744</f>
        <v/>
      </c>
      <c r="AE743" s="49">
        <f>AD744/AB744*100</f>
        <v/>
      </c>
      <c r="AF743" s="113" t="n">
        <v>2290</v>
      </c>
      <c r="AG743" s="116">
        <f>((AF744-L744)/L744)*100</f>
        <v/>
      </c>
      <c r="AH743" s="54">
        <f>AJ744-AF744</f>
        <v/>
      </c>
      <c r="AI743" s="54">
        <f>AB744</f>
        <v/>
      </c>
      <c r="AJ743" s="54" t="n">
        <v>1790</v>
      </c>
      <c r="AK743" s="55">
        <f>(AJ744-L744)/L744*100</f>
        <v/>
      </c>
      <c r="AL743" s="55" t="n"/>
      <c r="AM743" s="55">
        <f>AH744/AJ744%</f>
        <v/>
      </c>
      <c r="AN743" s="55">
        <f>AK744-AG744</f>
        <v/>
      </c>
      <c r="AO743" s="56">
        <f>AJ744/L744</f>
        <v/>
      </c>
      <c r="AP743" s="55">
        <f>(AJ744-AB744)/100</f>
        <v/>
      </c>
      <c r="AQ743" s="55">
        <f>(AJ744-AC744)/100</f>
        <v/>
      </c>
      <c r="AR743" s="57">
        <f>AI744/94</f>
        <v/>
      </c>
      <c r="AS743" s="57">
        <f>AJ744/94</f>
        <v/>
      </c>
      <c r="AT743" s="58">
        <f>AI744/24</f>
        <v/>
      </c>
      <c r="AU743" s="58">
        <f>AJ744/24</f>
        <v/>
      </c>
      <c r="AV743" s="58">
        <f>AI744/125</f>
        <v/>
      </c>
      <c r="AW743" s="58">
        <f>AJ744/125</f>
        <v/>
      </c>
      <c r="AX743" s="113" t="n"/>
      <c r="AY743" s="113" t="n"/>
    </row>
    <row r="744" ht="15" customHeight="1" s="258">
      <c r="A744" s="44" t="n"/>
      <c r="B744" s="44" t="inlineStr">
        <is>
          <t>Weighted / 256 Hz</t>
        </is>
      </c>
      <c r="C744" s="44" t="inlineStr">
        <is>
          <t>MI-TF-W-256</t>
        </is>
      </c>
      <c r="D744" s="45" t="n">
        <v>600</v>
      </c>
      <c r="E744" s="113" t="n"/>
      <c r="F744" s="44" t="n">
        <v>50</v>
      </c>
      <c r="G744" s="45" t="n">
        <v>9023</v>
      </c>
      <c r="H744" s="115" t="n">
        <v>0.18</v>
      </c>
      <c r="I744" s="44">
        <f>D745*H745</f>
        <v/>
      </c>
      <c r="J744" s="113" t="n"/>
      <c r="K744" s="44" t="n">
        <v>50</v>
      </c>
      <c r="L744" s="48">
        <f>K745+J745+I745+F745+E745+D745</f>
        <v/>
      </c>
      <c r="M744" s="44">
        <f>D745*1%</f>
        <v/>
      </c>
      <c r="N744" s="49">
        <f>L745*8%</f>
        <v/>
      </c>
      <c r="O744" s="49">
        <f>L745*10%</f>
        <v/>
      </c>
      <c r="P744" s="49">
        <f>L745*5%</f>
        <v/>
      </c>
      <c r="Q744" s="49">
        <f>L745*2%</f>
        <v/>
      </c>
      <c r="R744" s="49">
        <f>AC745*0.5%</f>
        <v/>
      </c>
      <c r="S744" s="49">
        <f>L745*1%</f>
        <v/>
      </c>
      <c r="T744" s="50">
        <f>S745+Q745+P745+O745+N745+M745</f>
        <v/>
      </c>
      <c r="U744" s="44">
        <f>AC745*1%</f>
        <v/>
      </c>
      <c r="V744" s="44">
        <f>AC745*5%</f>
        <v/>
      </c>
      <c r="W744" s="44">
        <f>AC745*1%</f>
        <v/>
      </c>
      <c r="X744" s="44">
        <f>AC745*8%</f>
        <v/>
      </c>
      <c r="Y744" s="44">
        <f>U745+V745+W745+X745</f>
        <v/>
      </c>
      <c r="Z744" s="50">
        <f>Y745+T745+L745</f>
        <v/>
      </c>
      <c r="AA744" s="51">
        <f>Z745*20%</f>
        <v/>
      </c>
      <c r="AB744" s="49">
        <f>Z745+AA745</f>
        <v/>
      </c>
      <c r="AC744" s="44">
        <f>D745*2.1</f>
        <v/>
      </c>
      <c r="AD744" s="49">
        <f>AB745-AC745</f>
        <v/>
      </c>
      <c r="AE744" s="49">
        <f>AD745/AB745*100</f>
        <v/>
      </c>
      <c r="AF744" s="113" t="n">
        <v>1990</v>
      </c>
      <c r="AG744" s="116">
        <f>((AF745-L745)/L745)*100</f>
        <v/>
      </c>
      <c r="AH744" s="54">
        <f>AJ745-AF745</f>
        <v/>
      </c>
      <c r="AI744" s="54">
        <f>AB745</f>
        <v/>
      </c>
      <c r="AJ744" s="54" t="n">
        <v>1790</v>
      </c>
      <c r="AK744" s="55">
        <f>(AJ745-L745)/L745*100</f>
        <v/>
      </c>
      <c r="AL744" s="55" t="n"/>
      <c r="AM744" s="55">
        <f>AH745/AJ745%</f>
        <v/>
      </c>
      <c r="AN744" s="55">
        <f>AK745-AG745</f>
        <v/>
      </c>
      <c r="AO744" s="56">
        <f>AJ745/L745</f>
        <v/>
      </c>
      <c r="AP744" s="55">
        <f>(AJ745-AB745)/100</f>
        <v/>
      </c>
      <c r="AQ744" s="55">
        <f>(AJ745-AC745)/100</f>
        <v/>
      </c>
      <c r="AR744" s="57">
        <f>AI745/94</f>
        <v/>
      </c>
      <c r="AS744" s="57">
        <f>AJ745/94</f>
        <v/>
      </c>
      <c r="AT744" s="58">
        <f>AI745/24</f>
        <v/>
      </c>
      <c r="AU744" s="58">
        <f>AJ745/24</f>
        <v/>
      </c>
      <c r="AV744" s="58">
        <f>AI745/125</f>
        <v/>
      </c>
      <c r="AW744" s="58">
        <f>AJ745/125</f>
        <v/>
      </c>
      <c r="AX744" s="113" t="n"/>
      <c r="AY744" s="113" t="n"/>
    </row>
    <row r="745" ht="15.75" customHeight="1" s="258">
      <c r="A745" s="44" t="n"/>
      <c r="B745" s="44" t="inlineStr">
        <is>
          <t>Weighted / 432 Hz</t>
        </is>
      </c>
      <c r="C745" s="44" t="inlineStr">
        <is>
          <t>MI-TF-W-432</t>
        </is>
      </c>
      <c r="D745" s="45" t="n">
        <v>600</v>
      </c>
      <c r="E745" s="113" t="n"/>
      <c r="F745" s="44" t="n">
        <v>50</v>
      </c>
      <c r="G745" s="45" t="n">
        <v>9023</v>
      </c>
      <c r="H745" s="115" t="n">
        <v>0.18</v>
      </c>
      <c r="I745" s="44">
        <f>D746*H746</f>
        <v/>
      </c>
      <c r="J745" s="113" t="n"/>
      <c r="K745" s="44" t="n">
        <v>50</v>
      </c>
      <c r="L745" s="48">
        <f>K746+J746+I746+F746+E746+D746</f>
        <v/>
      </c>
      <c r="M745" s="44">
        <f>D746*1%</f>
        <v/>
      </c>
      <c r="N745" s="49">
        <f>L746*8%</f>
        <v/>
      </c>
      <c r="O745" s="49">
        <f>L746*10%</f>
        <v/>
      </c>
      <c r="P745" s="49">
        <f>L746*5%</f>
        <v/>
      </c>
      <c r="Q745" s="49">
        <f>L746*2%</f>
        <v/>
      </c>
      <c r="R745" s="49">
        <f>AC746*0.5%</f>
        <v/>
      </c>
      <c r="S745" s="49">
        <f>L746*1%</f>
        <v/>
      </c>
      <c r="T745" s="50">
        <f>S746+Q746+P746+O746+N746+M746</f>
        <v/>
      </c>
      <c r="U745" s="44">
        <f>AC746*1%</f>
        <v/>
      </c>
      <c r="V745" s="44">
        <f>AC746*5%</f>
        <v/>
      </c>
      <c r="W745" s="44">
        <f>AC746*1%</f>
        <v/>
      </c>
      <c r="X745" s="44">
        <f>AC746*8%</f>
        <v/>
      </c>
      <c r="Y745" s="44">
        <f>U746+V746+W746+X746</f>
        <v/>
      </c>
      <c r="Z745" s="50">
        <f>Y746+T746+L746</f>
        <v/>
      </c>
      <c r="AA745" s="51">
        <f>Z746*20%</f>
        <v/>
      </c>
      <c r="AB745" s="49">
        <f>Z746+AA746</f>
        <v/>
      </c>
      <c r="AC745" s="44">
        <f>D746*2.1</f>
        <v/>
      </c>
      <c r="AD745" s="49">
        <f>AB746-AC746</f>
        <v/>
      </c>
      <c r="AE745" s="49">
        <f>AD746/AB746*100</f>
        <v/>
      </c>
      <c r="AF745" s="113" t="n">
        <v>1990</v>
      </c>
      <c r="AG745" s="116">
        <f>((AF746-L746)/L746)*100</f>
        <v/>
      </c>
      <c r="AH745" s="54">
        <f>AJ746-AF746</f>
        <v/>
      </c>
      <c r="AI745" s="54">
        <f>AB746</f>
        <v/>
      </c>
      <c r="AJ745" s="54" t="n">
        <v>1790</v>
      </c>
      <c r="AK745" s="55">
        <f>(AJ746-L746)/L746*100</f>
        <v/>
      </c>
      <c r="AL745" s="55" t="n"/>
      <c r="AM745" s="55">
        <f>AH746/AJ746%</f>
        <v/>
      </c>
      <c r="AN745" s="55">
        <f>AK746-AG746</f>
        <v/>
      </c>
      <c r="AO745" s="56">
        <f>AJ746/L746</f>
        <v/>
      </c>
      <c r="AP745" s="55">
        <f>(AJ746-AB746)/100</f>
        <v/>
      </c>
      <c r="AQ745" s="55">
        <f>(AJ746-AC746)/100</f>
        <v/>
      </c>
      <c r="AR745" s="57">
        <f>AI746/94</f>
        <v/>
      </c>
      <c r="AS745" s="57">
        <f>AJ746/94</f>
        <v/>
      </c>
      <c r="AT745" s="58">
        <f>AI746/24</f>
        <v/>
      </c>
      <c r="AU745" s="58">
        <f>AJ746/24</f>
        <v/>
      </c>
      <c r="AV745" s="58">
        <f>AI746/125</f>
        <v/>
      </c>
      <c r="AW745" s="58">
        <f>AJ746/125</f>
        <v/>
      </c>
      <c r="AX745" s="113" t="n"/>
      <c r="AY745" s="113" t="n"/>
    </row>
    <row r="746" ht="15.75" customHeight="1" s="258">
      <c r="A746" s="44" t="n"/>
      <c r="B746" s="44" t="inlineStr">
        <is>
          <t>Weighted / 68.05 Hz</t>
        </is>
      </c>
      <c r="C746" s="44" t="inlineStr">
        <is>
          <t>MI-TF-W-68</t>
        </is>
      </c>
      <c r="D746" s="45" t="n">
        <v>750</v>
      </c>
      <c r="E746" s="113" t="n"/>
      <c r="F746" s="44" t="n">
        <v>50</v>
      </c>
      <c r="G746" s="45" t="n">
        <v>9023</v>
      </c>
      <c r="H746" s="115" t="n">
        <v>0.18</v>
      </c>
      <c r="I746" s="44">
        <f>D747*H747</f>
        <v/>
      </c>
      <c r="J746" s="113" t="n"/>
      <c r="K746" s="44" t="n">
        <v>50</v>
      </c>
      <c r="L746" s="48">
        <f>K747+J747+I747+F747+E747+D747</f>
        <v/>
      </c>
      <c r="M746" s="44">
        <f>D747*1%</f>
        <v/>
      </c>
      <c r="N746" s="49">
        <f>L747*8%</f>
        <v/>
      </c>
      <c r="O746" s="49">
        <f>L747*10%</f>
        <v/>
      </c>
      <c r="P746" s="49">
        <f>L747*5%</f>
        <v/>
      </c>
      <c r="Q746" s="49">
        <f>L747*2%</f>
        <v/>
      </c>
      <c r="R746" s="49">
        <f>AC747*0.5%</f>
        <v/>
      </c>
      <c r="S746" s="49">
        <f>L747*1%</f>
        <v/>
      </c>
      <c r="T746" s="50">
        <f>S747+Q747+P747+O747+N747+M747</f>
        <v/>
      </c>
      <c r="U746" s="44">
        <f>AC747*1%</f>
        <v/>
      </c>
      <c r="V746" s="44">
        <f>AC747*5%</f>
        <v/>
      </c>
      <c r="W746" s="44">
        <f>AC747*1%</f>
        <v/>
      </c>
      <c r="X746" s="44">
        <f>AC747*8%</f>
        <v/>
      </c>
      <c r="Y746" s="44">
        <f>U747+V747+W747+X747</f>
        <v/>
      </c>
      <c r="Z746" s="50">
        <f>Y747+T747+L747</f>
        <v/>
      </c>
      <c r="AA746" s="51">
        <f>Z747*20%</f>
        <v/>
      </c>
      <c r="AB746" s="49">
        <f>Z747+AA747</f>
        <v/>
      </c>
      <c r="AC746" s="44">
        <f>D747*2.1</f>
        <v/>
      </c>
      <c r="AD746" s="49">
        <f>AB747-AC747</f>
        <v/>
      </c>
      <c r="AE746" s="49">
        <f>AD747/AB747*100</f>
        <v/>
      </c>
      <c r="AF746" s="113" t="n"/>
      <c r="AG746" s="116">
        <f>((AF747-L747)/L747)*100</f>
        <v/>
      </c>
      <c r="AH746" s="54">
        <f>AJ747-AF747</f>
        <v/>
      </c>
      <c r="AI746" s="54">
        <f>AB747</f>
        <v/>
      </c>
      <c r="AJ746" s="54" t="n">
        <v>1990</v>
      </c>
      <c r="AK746" s="55">
        <f>(AJ747-L747)/L747*100</f>
        <v/>
      </c>
      <c r="AL746" s="55" t="n"/>
      <c r="AM746" s="55">
        <f>AH747/AJ747%</f>
        <v/>
      </c>
      <c r="AN746" s="55">
        <f>AK747-AG747</f>
        <v/>
      </c>
      <c r="AO746" s="56">
        <f>AJ747/L747</f>
        <v/>
      </c>
      <c r="AP746" s="55">
        <f>(AJ747-AB747)/100</f>
        <v/>
      </c>
      <c r="AQ746" s="55">
        <f>(AJ747-AC747)/100</f>
        <v/>
      </c>
      <c r="AR746" s="57">
        <f>AI747/94</f>
        <v/>
      </c>
      <c r="AS746" s="57">
        <f>AJ747/94</f>
        <v/>
      </c>
      <c r="AT746" s="58">
        <f>AI747/24</f>
        <v/>
      </c>
      <c r="AU746" s="58">
        <f>AJ747/24</f>
        <v/>
      </c>
      <c r="AV746" s="58">
        <f>AI747/125</f>
        <v/>
      </c>
      <c r="AW746" s="58">
        <f>AJ747/125</f>
        <v/>
      </c>
      <c r="AX746" s="113" t="n"/>
      <c r="AY746" s="113" t="n"/>
    </row>
    <row r="747" ht="15.75" customHeight="1" s="258">
      <c r="A747" s="44" t="n"/>
      <c r="B747" s="44" t="inlineStr">
        <is>
          <t>Weighted / 64 Hz</t>
        </is>
      </c>
      <c r="C747" s="111" t="inlineStr">
        <is>
          <t>MI-TFSW-W-64</t>
        </is>
      </c>
      <c r="D747" s="45" t="n">
        <v>750</v>
      </c>
      <c r="E747" s="113" t="n"/>
      <c r="F747" s="44" t="n">
        <v>50</v>
      </c>
      <c r="G747" s="45" t="n">
        <v>9023</v>
      </c>
      <c r="H747" s="115" t="n">
        <v>0.18</v>
      </c>
      <c r="I747" s="44">
        <f>D748*H748</f>
        <v/>
      </c>
      <c r="J747" s="113" t="n"/>
      <c r="K747" s="44" t="n">
        <v>50</v>
      </c>
      <c r="L747" s="48">
        <f>K748+J748+I748+F748+E748+D748</f>
        <v/>
      </c>
      <c r="M747" s="44">
        <f>D748*1%</f>
        <v/>
      </c>
      <c r="N747" s="49">
        <f>L748*8%</f>
        <v/>
      </c>
      <c r="O747" s="49">
        <f>L748*10%</f>
        <v/>
      </c>
      <c r="P747" s="49">
        <f>L748*5%</f>
        <v/>
      </c>
      <c r="Q747" s="49">
        <f>L748*2%</f>
        <v/>
      </c>
      <c r="R747" s="49">
        <f>AC748*0.5%</f>
        <v/>
      </c>
      <c r="S747" s="49">
        <f>L748*1%</f>
        <v/>
      </c>
      <c r="T747" s="50">
        <f>S748+Q748+P748+O748+N748+M748</f>
        <v/>
      </c>
      <c r="U747" s="44">
        <f>AC748*1%</f>
        <v/>
      </c>
      <c r="V747" s="44">
        <f>AC748*5%</f>
        <v/>
      </c>
      <c r="W747" s="44">
        <f>AC748*1%</f>
        <v/>
      </c>
      <c r="X747" s="44">
        <f>AC748*8%</f>
        <v/>
      </c>
      <c r="Y747" s="44">
        <f>U748+V748+W748+X748</f>
        <v/>
      </c>
      <c r="Z747" s="50">
        <f>Y748+T748+L748</f>
        <v/>
      </c>
      <c r="AA747" s="51">
        <f>Z748*20%</f>
        <v/>
      </c>
      <c r="AB747" s="49">
        <f>Z748+AA748</f>
        <v/>
      </c>
      <c r="AC747" s="44">
        <f>D748*2.1</f>
        <v/>
      </c>
      <c r="AD747" s="49">
        <f>AB748-AC748</f>
        <v/>
      </c>
      <c r="AE747" s="49">
        <f>AD748/AB748*100</f>
        <v/>
      </c>
      <c r="AF747" s="113" t="n"/>
      <c r="AG747" s="116">
        <f>((AF748-L748)/L748)*100</f>
        <v/>
      </c>
      <c r="AH747" s="54">
        <f>AJ748-AF748</f>
        <v/>
      </c>
      <c r="AI747" s="54">
        <f>AB748</f>
        <v/>
      </c>
      <c r="AJ747" s="54" t="n">
        <v>1990</v>
      </c>
      <c r="AK747" s="55">
        <f>(AJ748-L748)/L748*100</f>
        <v/>
      </c>
      <c r="AL747" s="55" t="n"/>
      <c r="AM747" s="55">
        <f>AH748/AJ748%</f>
        <v/>
      </c>
      <c r="AN747" s="55">
        <f>AK748-AG748</f>
        <v/>
      </c>
      <c r="AO747" s="56">
        <f>AJ748/L748</f>
        <v/>
      </c>
      <c r="AP747" s="55">
        <f>(AJ748-AB748)/100</f>
        <v/>
      </c>
      <c r="AQ747" s="55">
        <f>(AJ748-AC748)/100</f>
        <v/>
      </c>
      <c r="AR747" s="57">
        <f>AI748/94</f>
        <v/>
      </c>
      <c r="AS747" s="57">
        <f>AJ748/94</f>
        <v/>
      </c>
      <c r="AT747" s="58">
        <f>AI748/24</f>
        <v/>
      </c>
      <c r="AU747" s="58">
        <f>AJ748/24</f>
        <v/>
      </c>
      <c r="AV747" s="58">
        <f>AI748/125</f>
        <v/>
      </c>
      <c r="AW747" s="58">
        <f>AJ748/125</f>
        <v/>
      </c>
      <c r="AX747" s="113" t="n"/>
      <c r="AY747" s="113" t="n"/>
    </row>
    <row r="748" ht="15.75" customHeight="1" s="258">
      <c r="A748" s="44" t="n"/>
      <c r="B748" s="44" t="inlineStr">
        <is>
          <t>Weighted / 440 Hz</t>
        </is>
      </c>
      <c r="C748" s="111" t="inlineStr">
        <is>
          <t>MI-TFSW-W-440</t>
        </is>
      </c>
      <c r="D748" s="45" t="n">
        <v>600</v>
      </c>
      <c r="E748" s="113" t="n"/>
      <c r="F748" s="44" t="n">
        <v>50</v>
      </c>
      <c r="G748" s="45" t="n">
        <v>9023</v>
      </c>
      <c r="H748" s="115" t="n">
        <v>0.18</v>
      </c>
      <c r="I748" s="44">
        <f>D749*H749</f>
        <v/>
      </c>
      <c r="J748" s="113" t="n"/>
      <c r="K748" s="44" t="n">
        <v>50</v>
      </c>
      <c r="L748" s="48">
        <f>K749+J749+I749+F749+E749+D749</f>
        <v/>
      </c>
      <c r="M748" s="44">
        <f>D749*1%</f>
        <v/>
      </c>
      <c r="N748" s="49">
        <f>L749*8%</f>
        <v/>
      </c>
      <c r="O748" s="49">
        <f>L749*10%</f>
        <v/>
      </c>
      <c r="P748" s="49">
        <f>L749*5%</f>
        <v/>
      </c>
      <c r="Q748" s="49">
        <f>L749*2%</f>
        <v/>
      </c>
      <c r="R748" s="49">
        <f>AC749*0.5%</f>
        <v/>
      </c>
      <c r="S748" s="49">
        <f>L749*1%</f>
        <v/>
      </c>
      <c r="T748" s="50">
        <f>S749+Q749+P749+O749+N749+M749</f>
        <v/>
      </c>
      <c r="U748" s="44">
        <f>AC749*1%</f>
        <v/>
      </c>
      <c r="V748" s="44">
        <f>AC749*5%</f>
        <v/>
      </c>
      <c r="W748" s="44">
        <f>AC749*1%</f>
        <v/>
      </c>
      <c r="X748" s="44">
        <f>AC749*8%</f>
        <v/>
      </c>
      <c r="Y748" s="44">
        <f>U749+V749+W749+X749</f>
        <v/>
      </c>
      <c r="Z748" s="50">
        <f>Y749+T749+L749</f>
        <v/>
      </c>
      <c r="AA748" s="51">
        <f>Z749*20%</f>
        <v/>
      </c>
      <c r="AB748" s="49">
        <f>Z749+AA749</f>
        <v/>
      </c>
      <c r="AC748" s="44">
        <f>D749*2.1</f>
        <v/>
      </c>
      <c r="AD748" s="49">
        <f>AB749-AC749</f>
        <v/>
      </c>
      <c r="AE748" s="49">
        <f>AD749/AB749*100</f>
        <v/>
      </c>
      <c r="AF748" s="113" t="n"/>
      <c r="AG748" s="116">
        <f>((AF749-L749)/L749)*100</f>
        <v/>
      </c>
      <c r="AH748" s="54">
        <f>AJ749-AF749</f>
        <v/>
      </c>
      <c r="AI748" s="54">
        <f>AB749</f>
        <v/>
      </c>
      <c r="AJ748" s="54" t="n">
        <v>1790</v>
      </c>
      <c r="AK748" s="55">
        <f>(AJ749-L749)/L749*100</f>
        <v/>
      </c>
      <c r="AL748" s="55" t="n"/>
      <c r="AM748" s="55">
        <f>AH749/AJ749%</f>
        <v/>
      </c>
      <c r="AN748" s="55">
        <f>AK749-AG749</f>
        <v/>
      </c>
      <c r="AO748" s="56">
        <f>AJ749/L749</f>
        <v/>
      </c>
      <c r="AP748" s="55">
        <f>(AJ749-AB749)/100</f>
        <v/>
      </c>
      <c r="AQ748" s="55">
        <f>(AJ749-AC749)/100</f>
        <v/>
      </c>
      <c r="AR748" s="57">
        <f>AI749/94</f>
        <v/>
      </c>
      <c r="AS748" s="57">
        <f>AJ749/94</f>
        <v/>
      </c>
      <c r="AT748" s="58">
        <f>AI749/24</f>
        <v/>
      </c>
      <c r="AU748" s="58">
        <f>AJ749/24</f>
        <v/>
      </c>
      <c r="AV748" s="58">
        <f>AI749/125</f>
        <v/>
      </c>
      <c r="AW748" s="58">
        <f>AJ749/125</f>
        <v/>
      </c>
      <c r="AX748" s="113" t="n"/>
      <c r="AY748" s="113" t="n"/>
    </row>
    <row r="749" ht="15.75" customHeight="1" s="258">
      <c r="A749" s="44" t="n"/>
      <c r="B749" s="44" t="inlineStr">
        <is>
          <t>Weighted / 93.96 Hz</t>
        </is>
      </c>
      <c r="C749" s="111" t="inlineStr">
        <is>
          <t>MI-TFSW-W-9396</t>
        </is>
      </c>
      <c r="D749" s="45" t="n">
        <v>750</v>
      </c>
      <c r="E749" s="113" t="n"/>
      <c r="F749" s="44" t="n">
        <v>50</v>
      </c>
      <c r="G749" s="45" t="n">
        <v>9023</v>
      </c>
      <c r="H749" s="115" t="n">
        <v>0.18</v>
      </c>
      <c r="I749" s="44">
        <f>D750*H750</f>
        <v/>
      </c>
      <c r="J749" s="113" t="n"/>
      <c r="K749" s="44" t="n">
        <v>50</v>
      </c>
      <c r="L749" s="48">
        <f>K750+J750+I750+F750+E750+D750</f>
        <v/>
      </c>
      <c r="M749" s="44">
        <f>D750*1%</f>
        <v/>
      </c>
      <c r="N749" s="49">
        <f>L750*8%</f>
        <v/>
      </c>
      <c r="O749" s="49">
        <f>L750*10%</f>
        <v/>
      </c>
      <c r="P749" s="49">
        <f>L750*5%</f>
        <v/>
      </c>
      <c r="Q749" s="49">
        <f>L750*2%</f>
        <v/>
      </c>
      <c r="R749" s="49">
        <f>AC750*0.5%</f>
        <v/>
      </c>
      <c r="S749" s="49">
        <f>L750*1%</f>
        <v/>
      </c>
      <c r="T749" s="50">
        <f>S750+Q750+P750+O750+N750+M750</f>
        <v/>
      </c>
      <c r="U749" s="44">
        <f>AC750*1%</f>
        <v/>
      </c>
      <c r="V749" s="44">
        <f>AC750*5%</f>
        <v/>
      </c>
      <c r="W749" s="44">
        <f>AC750*1%</f>
        <v/>
      </c>
      <c r="X749" s="44">
        <f>AC750*8%</f>
        <v/>
      </c>
      <c r="Y749" s="44">
        <f>U750+V750+W750+X750</f>
        <v/>
      </c>
      <c r="Z749" s="50">
        <f>Y750+T750+L750</f>
        <v/>
      </c>
      <c r="AA749" s="51">
        <f>Z750*20%</f>
        <v/>
      </c>
      <c r="AB749" s="49">
        <f>Z750+AA750</f>
        <v/>
      </c>
      <c r="AC749" s="44">
        <f>D750*2.1</f>
        <v/>
      </c>
      <c r="AD749" s="49">
        <f>AB750-AC750</f>
        <v/>
      </c>
      <c r="AE749" s="49">
        <f>AD750/AB750*100</f>
        <v/>
      </c>
      <c r="AF749" s="113" t="n"/>
      <c r="AG749" s="116">
        <f>((AF750-L750)/L750)*100</f>
        <v/>
      </c>
      <c r="AH749" s="54">
        <f>AJ750-AF750</f>
        <v/>
      </c>
      <c r="AI749" s="54">
        <f>AB750</f>
        <v/>
      </c>
      <c r="AJ749" s="54" t="n">
        <v>1990</v>
      </c>
      <c r="AK749" s="55">
        <f>(AJ750-L750)/L750*100</f>
        <v/>
      </c>
      <c r="AL749" s="55" t="n"/>
      <c r="AM749" s="55">
        <f>AH750/AJ750%</f>
        <v/>
      </c>
      <c r="AN749" s="55">
        <f>AK750-AG750</f>
        <v/>
      </c>
      <c r="AO749" s="56">
        <f>AJ750/L750</f>
        <v/>
      </c>
      <c r="AP749" s="55">
        <f>(AJ750-AB750)/100</f>
        <v/>
      </c>
      <c r="AQ749" s="55">
        <f>(AJ750-AC750)/100</f>
        <v/>
      </c>
      <c r="AR749" s="57">
        <f>AI750/94</f>
        <v/>
      </c>
      <c r="AS749" s="57">
        <f>AJ750/94</f>
        <v/>
      </c>
      <c r="AT749" s="58">
        <f>AI750/24</f>
        <v/>
      </c>
      <c r="AU749" s="58">
        <f>AJ750/24</f>
        <v/>
      </c>
      <c r="AV749" s="58">
        <f>AI750/125</f>
        <v/>
      </c>
      <c r="AW749" s="58">
        <f>AJ750/125</f>
        <v/>
      </c>
      <c r="AX749" s="113" t="n"/>
      <c r="AY749" s="113" t="n"/>
    </row>
    <row r="750" ht="15.75" customHeight="1" s="258">
      <c r="A750" s="44" t="n"/>
      <c r="B750" s="44" t="inlineStr">
        <is>
          <t>Weighted / 136.10 Hz</t>
        </is>
      </c>
      <c r="C750" s="111" t="inlineStr">
        <is>
          <t>MI-TFSW-W-13610</t>
        </is>
      </c>
      <c r="D750" s="45" t="n">
        <v>600</v>
      </c>
      <c r="E750" s="113" t="n"/>
      <c r="F750" s="44" t="n">
        <v>50</v>
      </c>
      <c r="G750" s="45" t="n">
        <v>9023</v>
      </c>
      <c r="H750" s="115" t="n">
        <v>0.18</v>
      </c>
      <c r="I750" s="44">
        <f>D751*H751</f>
        <v/>
      </c>
      <c r="J750" s="113" t="n"/>
      <c r="K750" s="44" t="n">
        <v>50</v>
      </c>
      <c r="L750" s="48">
        <f>K751+J751+I751+F751+E751+D751</f>
        <v/>
      </c>
      <c r="M750" s="44">
        <f>D751*1%</f>
        <v/>
      </c>
      <c r="N750" s="49">
        <f>L751*8%</f>
        <v/>
      </c>
      <c r="O750" s="49">
        <f>L751*10%</f>
        <v/>
      </c>
      <c r="P750" s="49">
        <f>L751*5%</f>
        <v/>
      </c>
      <c r="Q750" s="49">
        <f>L751*2%</f>
        <v/>
      </c>
      <c r="R750" s="49">
        <f>AC751*0.5%</f>
        <v/>
      </c>
      <c r="S750" s="49">
        <f>L751*1%</f>
        <v/>
      </c>
      <c r="T750" s="50">
        <f>S751+Q751+P751+O751+N751+M751</f>
        <v/>
      </c>
      <c r="U750" s="44">
        <f>AC751*1%</f>
        <v/>
      </c>
      <c r="V750" s="44">
        <f>AC751*5%</f>
        <v/>
      </c>
      <c r="W750" s="44">
        <f>AC751*1%</f>
        <v/>
      </c>
      <c r="X750" s="44">
        <f>AC751*8%</f>
        <v/>
      </c>
      <c r="Y750" s="44">
        <f>U751+V751+W751+X751</f>
        <v/>
      </c>
      <c r="Z750" s="50">
        <f>Y751+T751+L751</f>
        <v/>
      </c>
      <c r="AA750" s="51">
        <f>Z751*20%</f>
        <v/>
      </c>
      <c r="AB750" s="49">
        <f>Z751+AA751</f>
        <v/>
      </c>
      <c r="AC750" s="44">
        <f>D751*2.1</f>
        <v/>
      </c>
      <c r="AD750" s="49">
        <f>AB751-AC751</f>
        <v/>
      </c>
      <c r="AE750" s="49">
        <f>AD751/AB751*100</f>
        <v/>
      </c>
      <c r="AF750" s="113" t="n"/>
      <c r="AG750" s="116">
        <f>((AF751-L751)/L751)*100</f>
        <v/>
      </c>
      <c r="AH750" s="54">
        <f>AJ751-AF751</f>
        <v/>
      </c>
      <c r="AI750" s="54">
        <f>AB751</f>
        <v/>
      </c>
      <c r="AJ750" s="54" t="n">
        <v>1790</v>
      </c>
      <c r="AK750" s="55">
        <f>(AJ751-L751)/L751*100</f>
        <v/>
      </c>
      <c r="AL750" s="55" t="n"/>
      <c r="AM750" s="55">
        <f>AH751/AJ751%</f>
        <v/>
      </c>
      <c r="AN750" s="55">
        <f>AK751-AG751</f>
        <v/>
      </c>
      <c r="AO750" s="56">
        <f>AJ751/L751</f>
        <v/>
      </c>
      <c r="AP750" s="55">
        <f>(AJ751-AB751)/100</f>
        <v/>
      </c>
      <c r="AQ750" s="55">
        <f>(AJ751-AC751)/100</f>
        <v/>
      </c>
      <c r="AR750" s="57">
        <f>AI751/94</f>
        <v/>
      </c>
      <c r="AS750" s="57">
        <f>AJ751/94</f>
        <v/>
      </c>
      <c r="AT750" s="58">
        <f>AI751/24</f>
        <v/>
      </c>
      <c r="AU750" s="58">
        <f>AJ751/24</f>
        <v/>
      </c>
      <c r="AV750" s="58">
        <f>AI751/125</f>
        <v/>
      </c>
      <c r="AW750" s="58">
        <f>AJ751/125</f>
        <v/>
      </c>
      <c r="AX750" s="113" t="n"/>
      <c r="AY750" s="113" t="n"/>
    </row>
    <row r="751" ht="15.75" customHeight="1" s="258">
      <c r="A751" s="44" t="n"/>
      <c r="B751" s="44" t="inlineStr">
        <is>
          <t>Weighted / 528 Hz</t>
        </is>
      </c>
      <c r="C751" s="111" t="inlineStr">
        <is>
          <t>MI-TFSW-W-528</t>
        </is>
      </c>
      <c r="D751" s="45" t="n">
        <v>600</v>
      </c>
      <c r="E751" s="113" t="n"/>
      <c r="F751" s="44" t="n">
        <v>50</v>
      </c>
      <c r="G751" s="45" t="n">
        <v>9023</v>
      </c>
      <c r="H751" s="115" t="n">
        <v>0.18</v>
      </c>
      <c r="I751" s="44">
        <f>D752*H752</f>
        <v/>
      </c>
      <c r="J751" s="113" t="n"/>
      <c r="K751" s="44" t="n">
        <v>50</v>
      </c>
      <c r="L751" s="48">
        <f>K752+J752+I752+F752+E752+D752</f>
        <v/>
      </c>
      <c r="M751" s="44">
        <f>D752*1%</f>
        <v/>
      </c>
      <c r="N751" s="49">
        <f>L752*8%</f>
        <v/>
      </c>
      <c r="O751" s="49">
        <f>L752*10%</f>
        <v/>
      </c>
      <c r="P751" s="49">
        <f>L752*5%</f>
        <v/>
      </c>
      <c r="Q751" s="49">
        <f>L752*2%</f>
        <v/>
      </c>
      <c r="R751" s="49">
        <f>AC752*0.5%</f>
        <v/>
      </c>
      <c r="S751" s="49">
        <f>L752*1%</f>
        <v/>
      </c>
      <c r="T751" s="50">
        <f>S752+Q752+P752+O752+N752+M752</f>
        <v/>
      </c>
      <c r="U751" s="44">
        <f>AC752*1%</f>
        <v/>
      </c>
      <c r="V751" s="44">
        <f>AC752*5%</f>
        <v/>
      </c>
      <c r="W751" s="44">
        <f>AC752*1%</f>
        <v/>
      </c>
      <c r="X751" s="44">
        <f>AC752*8%</f>
        <v/>
      </c>
      <c r="Y751" s="44">
        <f>U752+V752+W752+X752</f>
        <v/>
      </c>
      <c r="Z751" s="50">
        <f>Y752+T752+L752</f>
        <v/>
      </c>
      <c r="AA751" s="51">
        <f>Z752*20%</f>
        <v/>
      </c>
      <c r="AB751" s="49">
        <f>Z752+AA752</f>
        <v/>
      </c>
      <c r="AC751" s="44">
        <f>D752*2.1</f>
        <v/>
      </c>
      <c r="AD751" s="49">
        <f>AB752-AC752</f>
        <v/>
      </c>
      <c r="AE751" s="49">
        <f>AD752/AB752*100</f>
        <v/>
      </c>
      <c r="AF751" s="113" t="n"/>
      <c r="AG751" s="116">
        <f>((AF752-L752)/L752)*100</f>
        <v/>
      </c>
      <c r="AH751" s="54">
        <f>AJ752-AF752</f>
        <v/>
      </c>
      <c r="AI751" s="54">
        <f>AB752</f>
        <v/>
      </c>
      <c r="AJ751" s="54" t="n">
        <v>1790</v>
      </c>
      <c r="AK751" s="55">
        <f>(AJ752-L752)/L752*100</f>
        <v/>
      </c>
      <c r="AL751" s="55" t="n"/>
      <c r="AM751" s="55">
        <f>AH752/AJ752%</f>
        <v/>
      </c>
      <c r="AN751" s="55">
        <f>AK752-AG752</f>
        <v/>
      </c>
      <c r="AO751" s="56">
        <f>AJ752/L752</f>
        <v/>
      </c>
      <c r="AP751" s="55">
        <f>(AJ752-AB752)/100</f>
        <v/>
      </c>
      <c r="AQ751" s="55">
        <f>(AJ752-AC752)/100</f>
        <v/>
      </c>
      <c r="AR751" s="57">
        <f>AI752/94</f>
        <v/>
      </c>
      <c r="AS751" s="57">
        <f>AJ752/94</f>
        <v/>
      </c>
      <c r="AT751" s="58">
        <f>AI752/24</f>
        <v/>
      </c>
      <c r="AU751" s="58">
        <f>AJ752/24</f>
        <v/>
      </c>
      <c r="AV751" s="58">
        <f>AI752/125</f>
        <v/>
      </c>
      <c r="AW751" s="58">
        <f>AJ752/125</f>
        <v/>
      </c>
      <c r="AX751" s="113" t="n"/>
      <c r="AY751" s="113" t="n"/>
    </row>
    <row r="752" ht="15.75" customHeight="1" s="258">
      <c r="A752" s="44" t="n"/>
      <c r="B752" s="44" t="inlineStr">
        <is>
          <t>Unweighted / 68.05 Hz</t>
        </is>
      </c>
      <c r="C752" s="111" t="inlineStr">
        <is>
          <t>MI-TFSW-U-6805</t>
        </is>
      </c>
      <c r="D752" s="45" t="n">
        <v>365</v>
      </c>
      <c r="E752" s="113" t="n"/>
      <c r="F752" s="44" t="n">
        <v>50</v>
      </c>
      <c r="G752" s="45" t="n">
        <v>9023</v>
      </c>
      <c r="H752" s="115" t="n">
        <v>0.18</v>
      </c>
      <c r="I752" s="44">
        <f>D753*H753</f>
        <v/>
      </c>
      <c r="J752" s="113" t="n"/>
      <c r="K752" s="44" t="n">
        <v>50</v>
      </c>
      <c r="L752" s="48">
        <f>K753+J753+I753+F753+E753+D753</f>
        <v/>
      </c>
      <c r="M752" s="44">
        <f>D753*1%</f>
        <v/>
      </c>
      <c r="N752" s="49">
        <f>L753*8%</f>
        <v/>
      </c>
      <c r="O752" s="49">
        <f>L753*10%</f>
        <v/>
      </c>
      <c r="P752" s="49">
        <f>L753*5%</f>
        <v/>
      </c>
      <c r="Q752" s="49">
        <f>L753*2%</f>
        <v/>
      </c>
      <c r="R752" s="49">
        <f>AC753*0.5%</f>
        <v/>
      </c>
      <c r="S752" s="49">
        <f>L753*1%</f>
        <v/>
      </c>
      <c r="T752" s="50">
        <f>S753+Q753+P753+O753+N753+M753</f>
        <v/>
      </c>
      <c r="U752" s="44">
        <f>AC753*1%</f>
        <v/>
      </c>
      <c r="V752" s="44">
        <f>AC753*5%</f>
        <v/>
      </c>
      <c r="W752" s="44">
        <f>AC753*1%</f>
        <v/>
      </c>
      <c r="X752" s="44">
        <f>AC753*8%</f>
        <v/>
      </c>
      <c r="Y752" s="44">
        <f>U753+V753+W753+X753</f>
        <v/>
      </c>
      <c r="Z752" s="50">
        <f>Y753+T753+L753</f>
        <v/>
      </c>
      <c r="AA752" s="51">
        <f>Z753*20%</f>
        <v/>
      </c>
      <c r="AB752" s="49">
        <f>Z753+AA753</f>
        <v/>
      </c>
      <c r="AC752" s="44">
        <f>D753*2.1</f>
        <v/>
      </c>
      <c r="AD752" s="49">
        <f>AB753-AC753</f>
        <v/>
      </c>
      <c r="AE752" s="49">
        <f>AD753/AB753*100</f>
        <v/>
      </c>
      <c r="AF752" s="113" t="n"/>
      <c r="AG752" s="116">
        <f>((AF753-L753)/L753)*100</f>
        <v/>
      </c>
      <c r="AH752" s="54">
        <f>AJ753-AF753</f>
        <v/>
      </c>
      <c r="AI752" s="54">
        <f>AB753</f>
        <v/>
      </c>
      <c r="AJ752" s="54" t="n">
        <v>1390</v>
      </c>
      <c r="AK752" s="55">
        <f>(AJ753-L753)/L753*100</f>
        <v/>
      </c>
      <c r="AL752" s="55" t="n"/>
      <c r="AM752" s="55">
        <f>AH753/AJ753%</f>
        <v/>
      </c>
      <c r="AN752" s="55">
        <f>AK753-AG753</f>
        <v/>
      </c>
      <c r="AO752" s="56">
        <f>AJ753/L753</f>
        <v/>
      </c>
      <c r="AP752" s="55">
        <f>(AJ753-AB753)/100</f>
        <v/>
      </c>
      <c r="AQ752" s="55">
        <f>(AJ753-AC753)/100</f>
        <v/>
      </c>
      <c r="AR752" s="57">
        <f>AI753/94</f>
        <v/>
      </c>
      <c r="AS752" s="57">
        <f>AJ753/94</f>
        <v/>
      </c>
      <c r="AT752" s="58">
        <f>AI753/24</f>
        <v/>
      </c>
      <c r="AU752" s="58">
        <f>AJ753/24</f>
        <v/>
      </c>
      <c r="AV752" s="58">
        <f>AI753/125</f>
        <v/>
      </c>
      <c r="AW752" s="58">
        <f>AJ753/125</f>
        <v/>
      </c>
      <c r="AX752" s="113" t="n"/>
      <c r="AY752" s="113" t="n"/>
    </row>
    <row r="753" ht="15.75" customHeight="1" s="258">
      <c r="A753" s="44" t="n"/>
      <c r="B753" s="44" t="inlineStr">
        <is>
          <t xml:space="preserve">Unweighted / 64 Hz </t>
        </is>
      </c>
      <c r="C753" s="111" t="inlineStr">
        <is>
          <t>MI-TFSW-U-64</t>
        </is>
      </c>
      <c r="D753" s="45" t="n">
        <v>365</v>
      </c>
      <c r="E753" s="113" t="n"/>
      <c r="F753" s="44" t="n">
        <v>50</v>
      </c>
      <c r="G753" s="45" t="n">
        <v>9023</v>
      </c>
      <c r="H753" s="115" t="n">
        <v>0.18</v>
      </c>
      <c r="I753" s="44">
        <f>D754*H754</f>
        <v/>
      </c>
      <c r="J753" s="113" t="n"/>
      <c r="K753" s="44" t="n">
        <v>50</v>
      </c>
      <c r="L753" s="48">
        <f>K754+J754+I754+F754+E754+D754</f>
        <v/>
      </c>
      <c r="M753" s="44">
        <f>D754*1%</f>
        <v/>
      </c>
      <c r="N753" s="49">
        <f>L754*8%</f>
        <v/>
      </c>
      <c r="O753" s="49">
        <f>L754*10%</f>
        <v/>
      </c>
      <c r="P753" s="49">
        <f>L754*5%</f>
        <v/>
      </c>
      <c r="Q753" s="49">
        <f>L754*2%</f>
        <v/>
      </c>
      <c r="R753" s="49">
        <f>AC754*0.5%</f>
        <v/>
      </c>
      <c r="S753" s="49">
        <f>L754*1%</f>
        <v/>
      </c>
      <c r="T753" s="50">
        <f>S754+Q754+P754+O754+N754+M754</f>
        <v/>
      </c>
      <c r="U753" s="44">
        <f>AC754*1%</f>
        <v/>
      </c>
      <c r="V753" s="44">
        <f>AC754*5%</f>
        <v/>
      </c>
      <c r="W753" s="44">
        <f>AC754*1%</f>
        <v/>
      </c>
      <c r="X753" s="44">
        <f>AC754*8%</f>
        <v/>
      </c>
      <c r="Y753" s="44">
        <f>U754+V754+W754+X754</f>
        <v/>
      </c>
      <c r="Z753" s="50">
        <f>Y754+T754+L754</f>
        <v/>
      </c>
      <c r="AA753" s="51">
        <f>Z754*20%</f>
        <v/>
      </c>
      <c r="AB753" s="49">
        <f>Z754+AA754</f>
        <v/>
      </c>
      <c r="AC753" s="44">
        <f>D754*2.1</f>
        <v/>
      </c>
      <c r="AD753" s="49">
        <f>AB754-AC754</f>
        <v/>
      </c>
      <c r="AE753" s="49">
        <f>AD754/AB754*100</f>
        <v/>
      </c>
      <c r="AF753" s="113" t="n"/>
      <c r="AG753" s="116">
        <f>((AF754-L754)/L754)*100</f>
        <v/>
      </c>
      <c r="AH753" s="54">
        <f>AJ754-AF754</f>
        <v/>
      </c>
      <c r="AI753" s="54">
        <f>AB754</f>
        <v/>
      </c>
      <c r="AJ753" s="54" t="n">
        <v>1390</v>
      </c>
      <c r="AK753" s="55">
        <f>(AJ754-L754)/L754*100</f>
        <v/>
      </c>
      <c r="AL753" s="55" t="n"/>
      <c r="AM753" s="55">
        <f>AH754/AJ754%</f>
        <v/>
      </c>
      <c r="AN753" s="55">
        <f>AK754-AG754</f>
        <v/>
      </c>
      <c r="AO753" s="56">
        <f>AJ754/L754</f>
        <v/>
      </c>
      <c r="AP753" s="55">
        <f>(AJ754-AB754)/100</f>
        <v/>
      </c>
      <c r="AQ753" s="55">
        <f>(AJ754-AC754)/100</f>
        <v/>
      </c>
      <c r="AR753" s="57">
        <f>AI754/94</f>
        <v/>
      </c>
      <c r="AS753" s="57">
        <f>AJ754/94</f>
        <v/>
      </c>
      <c r="AT753" s="58">
        <f>AI754/24</f>
        <v/>
      </c>
      <c r="AU753" s="58">
        <f>AJ754/24</f>
        <v/>
      </c>
      <c r="AV753" s="58">
        <f>AI754/125</f>
        <v/>
      </c>
      <c r="AW753" s="58">
        <f>AJ754/125</f>
        <v/>
      </c>
      <c r="AX753" s="113" t="n"/>
      <c r="AY753" s="113" t="n"/>
    </row>
    <row r="754" ht="15.75" customHeight="1" s="258">
      <c r="A754" s="44" t="n"/>
      <c r="B754" s="44" t="inlineStr">
        <is>
          <t>Unweighted /440Hz</t>
        </is>
      </c>
      <c r="C754" s="111" t="inlineStr">
        <is>
          <t>MI-TFSW-U-440</t>
        </is>
      </c>
      <c r="D754" s="45" t="n">
        <v>365</v>
      </c>
      <c r="E754" s="113" t="n"/>
      <c r="F754" s="44" t="n">
        <v>50</v>
      </c>
      <c r="G754" s="45" t="n">
        <v>9023</v>
      </c>
      <c r="H754" s="115" t="n">
        <v>0.18</v>
      </c>
      <c r="I754" s="44">
        <f>D755*H755</f>
        <v/>
      </c>
      <c r="J754" s="113" t="n"/>
      <c r="K754" s="44" t="n">
        <v>50</v>
      </c>
      <c r="L754" s="48">
        <f>K755+J755+I755+F755+E755+D755</f>
        <v/>
      </c>
      <c r="M754" s="44">
        <f>D755*1%</f>
        <v/>
      </c>
      <c r="N754" s="49">
        <f>L755*8%</f>
        <v/>
      </c>
      <c r="O754" s="49">
        <f>L755*10%</f>
        <v/>
      </c>
      <c r="P754" s="49">
        <f>L755*5%</f>
        <v/>
      </c>
      <c r="Q754" s="49">
        <f>L755*2%</f>
        <v/>
      </c>
      <c r="R754" s="49">
        <f>AC755*0.5%</f>
        <v/>
      </c>
      <c r="S754" s="49">
        <f>L755*1%</f>
        <v/>
      </c>
      <c r="T754" s="50">
        <f>S755+Q755+P755+O755+N755+M755</f>
        <v/>
      </c>
      <c r="U754" s="44">
        <f>AC755*1%</f>
        <v/>
      </c>
      <c r="V754" s="44">
        <f>AC755*5%</f>
        <v/>
      </c>
      <c r="W754" s="44">
        <f>AC755*1%</f>
        <v/>
      </c>
      <c r="X754" s="44">
        <f>AC755*8%</f>
        <v/>
      </c>
      <c r="Y754" s="44">
        <f>U755+V755+W755+X755</f>
        <v/>
      </c>
      <c r="Z754" s="50">
        <f>Y755+T755+L755</f>
        <v/>
      </c>
      <c r="AA754" s="51">
        <f>Z755*20%</f>
        <v/>
      </c>
      <c r="AB754" s="49">
        <f>Z755+AA755</f>
        <v/>
      </c>
      <c r="AC754" s="44">
        <f>D755*2.1</f>
        <v/>
      </c>
      <c r="AD754" s="49">
        <f>AB755-AC755</f>
        <v/>
      </c>
      <c r="AE754" s="49">
        <f>AD755/AB755*100</f>
        <v/>
      </c>
      <c r="AF754" s="113" t="n"/>
      <c r="AG754" s="116">
        <f>((AF755-L755)/L755)*100</f>
        <v/>
      </c>
      <c r="AH754" s="54">
        <f>AJ755-AF755</f>
        <v/>
      </c>
      <c r="AI754" s="54">
        <f>AB755</f>
        <v/>
      </c>
      <c r="AJ754" s="54" t="n">
        <v>1390</v>
      </c>
      <c r="AK754" s="55">
        <f>(AJ755-L755)/L755*100</f>
        <v/>
      </c>
      <c r="AL754" s="55" t="n"/>
      <c r="AM754" s="55">
        <f>AH755/AJ755%</f>
        <v/>
      </c>
      <c r="AN754" s="55">
        <f>AK755-AG755</f>
        <v/>
      </c>
      <c r="AO754" s="56">
        <f>AJ755/L755</f>
        <v/>
      </c>
      <c r="AP754" s="55">
        <f>(AJ755-AB755)/100</f>
        <v/>
      </c>
      <c r="AQ754" s="55">
        <f>(AJ755-AC755)/100</f>
        <v/>
      </c>
      <c r="AR754" s="57">
        <f>AI755/94</f>
        <v/>
      </c>
      <c r="AS754" s="57">
        <f>AJ755/94</f>
        <v/>
      </c>
      <c r="AT754" s="58">
        <f>AI755/24</f>
        <v/>
      </c>
      <c r="AU754" s="58">
        <f>AJ755/24</f>
        <v/>
      </c>
      <c r="AV754" s="58">
        <f>AI755/125</f>
        <v/>
      </c>
      <c r="AW754" s="58">
        <f>AJ755/125</f>
        <v/>
      </c>
      <c r="AX754" s="113" t="n"/>
      <c r="AY754" s="113" t="n"/>
    </row>
    <row r="755" ht="15.75" customHeight="1" s="258">
      <c r="A755" s="44" t="n"/>
      <c r="B755" s="44" t="inlineStr">
        <is>
          <t>Unweighted / 93.96 Hz</t>
        </is>
      </c>
      <c r="C755" s="111" t="inlineStr">
        <is>
          <t>MI-TFSW-U-9396</t>
        </is>
      </c>
      <c r="D755" s="45" t="n">
        <v>365</v>
      </c>
      <c r="E755" s="113" t="n"/>
      <c r="F755" s="44" t="n">
        <v>50</v>
      </c>
      <c r="G755" s="45" t="n">
        <v>9023</v>
      </c>
      <c r="H755" s="115" t="n">
        <v>0.18</v>
      </c>
      <c r="I755" s="44">
        <f>D756*H756</f>
        <v/>
      </c>
      <c r="J755" s="113" t="n"/>
      <c r="K755" s="44" t="n">
        <v>50</v>
      </c>
      <c r="L755" s="48">
        <f>K756+J756+I756+F756+E756+D756</f>
        <v/>
      </c>
      <c r="M755" s="44">
        <f>D756*1%</f>
        <v/>
      </c>
      <c r="N755" s="49">
        <f>L756*8%</f>
        <v/>
      </c>
      <c r="O755" s="49">
        <f>L756*10%</f>
        <v/>
      </c>
      <c r="P755" s="49">
        <f>L756*5%</f>
        <v/>
      </c>
      <c r="Q755" s="49">
        <f>L756*2%</f>
        <v/>
      </c>
      <c r="R755" s="49">
        <f>AC756*0.5%</f>
        <v/>
      </c>
      <c r="S755" s="49">
        <f>L756*1%</f>
        <v/>
      </c>
      <c r="T755" s="50">
        <f>S756+Q756+P756+O756+N756+M756</f>
        <v/>
      </c>
      <c r="U755" s="44">
        <f>AC756*1%</f>
        <v/>
      </c>
      <c r="V755" s="44">
        <f>AC756*5%</f>
        <v/>
      </c>
      <c r="W755" s="44">
        <f>AC756*1%</f>
        <v/>
      </c>
      <c r="X755" s="44">
        <f>AC756*8%</f>
        <v/>
      </c>
      <c r="Y755" s="44">
        <f>U756+V756+W756+X756</f>
        <v/>
      </c>
      <c r="Z755" s="50">
        <f>Y756+T756+L756</f>
        <v/>
      </c>
      <c r="AA755" s="51">
        <f>Z756*20%</f>
        <v/>
      </c>
      <c r="AB755" s="49">
        <f>Z756+AA756</f>
        <v/>
      </c>
      <c r="AC755" s="44">
        <f>D756*2.1</f>
        <v/>
      </c>
      <c r="AD755" s="49">
        <f>AB756-AC756</f>
        <v/>
      </c>
      <c r="AE755" s="49">
        <f>AD756/AB756*100</f>
        <v/>
      </c>
      <c r="AF755" s="113" t="n"/>
      <c r="AG755" s="116">
        <f>((AF756-L756)/L756)*100</f>
        <v/>
      </c>
      <c r="AH755" s="54">
        <f>AJ756-AF756</f>
        <v/>
      </c>
      <c r="AI755" s="54">
        <f>AB756</f>
        <v/>
      </c>
      <c r="AJ755" s="54" t="n">
        <v>1390</v>
      </c>
      <c r="AK755" s="55">
        <f>(AJ756-L756)/L756*100</f>
        <v/>
      </c>
      <c r="AL755" s="55" t="n"/>
      <c r="AM755" s="55">
        <f>AH756/AJ756%</f>
        <v/>
      </c>
      <c r="AN755" s="55">
        <f>AK756-AG756</f>
        <v/>
      </c>
      <c r="AO755" s="56">
        <f>AJ756/L756</f>
        <v/>
      </c>
      <c r="AP755" s="55">
        <f>(AJ756-AB756)/100</f>
        <v/>
      </c>
      <c r="AQ755" s="55">
        <f>(AJ756-AC756)/100</f>
        <v/>
      </c>
      <c r="AR755" s="57">
        <f>AI756/94</f>
        <v/>
      </c>
      <c r="AS755" s="57">
        <f>AJ756/94</f>
        <v/>
      </c>
      <c r="AT755" s="58">
        <f>AI756/24</f>
        <v/>
      </c>
      <c r="AU755" s="58">
        <f>AJ756/24</f>
        <v/>
      </c>
      <c r="AV755" s="58">
        <f>AI756/125</f>
        <v/>
      </c>
      <c r="AW755" s="58">
        <f>AJ756/125</f>
        <v/>
      </c>
      <c r="AX755" s="113" t="n"/>
      <c r="AY755" s="113" t="n"/>
    </row>
    <row r="756" ht="15.75" customHeight="1" s="258">
      <c r="A756" s="44" t="n"/>
      <c r="B756" s="44" t="inlineStr">
        <is>
          <t>Unweighted / 128 Hz</t>
        </is>
      </c>
      <c r="C756" s="111" t="inlineStr">
        <is>
          <t>MI-TFSW-U-128</t>
        </is>
      </c>
      <c r="D756" s="45" t="n">
        <v>365</v>
      </c>
      <c r="E756" s="113" t="n"/>
      <c r="F756" s="44" t="n">
        <v>50</v>
      </c>
      <c r="G756" s="45" t="n">
        <v>9023</v>
      </c>
      <c r="H756" s="115" t="n">
        <v>0.18</v>
      </c>
      <c r="I756" s="44">
        <f>D757*H757</f>
        <v/>
      </c>
      <c r="J756" s="113" t="n"/>
      <c r="K756" s="44" t="n">
        <v>50</v>
      </c>
      <c r="L756" s="48">
        <f>K757+J757+I757+F757+E757+D757</f>
        <v/>
      </c>
      <c r="M756" s="44">
        <f>D757*1%</f>
        <v/>
      </c>
      <c r="N756" s="49">
        <f>L757*8%</f>
        <v/>
      </c>
      <c r="O756" s="49">
        <f>L757*10%</f>
        <v/>
      </c>
      <c r="P756" s="49">
        <f>L757*5%</f>
        <v/>
      </c>
      <c r="Q756" s="49">
        <f>L757*2%</f>
        <v/>
      </c>
      <c r="R756" s="49">
        <f>AC757*0.5%</f>
        <v/>
      </c>
      <c r="S756" s="49">
        <f>L757*1%</f>
        <v/>
      </c>
      <c r="T756" s="50">
        <f>S757+Q757+P757+O757+N757+M757</f>
        <v/>
      </c>
      <c r="U756" s="44">
        <f>AC757*1%</f>
        <v/>
      </c>
      <c r="V756" s="44">
        <f>AC757*5%</f>
        <v/>
      </c>
      <c r="W756" s="44">
        <f>AC757*1%</f>
        <v/>
      </c>
      <c r="X756" s="44">
        <f>AC757*8%</f>
        <v/>
      </c>
      <c r="Y756" s="44">
        <f>U757+V757+W757+X757</f>
        <v/>
      </c>
      <c r="Z756" s="50">
        <f>Y757+T757+L757</f>
        <v/>
      </c>
      <c r="AA756" s="51">
        <f>Z757*20%</f>
        <v/>
      </c>
      <c r="AB756" s="49">
        <f>Z757+AA757</f>
        <v/>
      </c>
      <c r="AC756" s="44">
        <f>D757*2.1</f>
        <v/>
      </c>
      <c r="AD756" s="49">
        <f>AB757-AC757</f>
        <v/>
      </c>
      <c r="AE756" s="49">
        <f>AD757/AB757*100</f>
        <v/>
      </c>
      <c r="AF756" s="113" t="n"/>
      <c r="AG756" s="116">
        <f>((AF757-L757)/L757)*100</f>
        <v/>
      </c>
      <c r="AH756" s="54">
        <f>AJ757-AF757</f>
        <v/>
      </c>
      <c r="AI756" s="54">
        <f>AB757</f>
        <v/>
      </c>
      <c r="AJ756" s="54" t="n">
        <v>1390</v>
      </c>
      <c r="AK756" s="55">
        <f>(AJ757-L757)/L757*100</f>
        <v/>
      </c>
      <c r="AL756" s="55" t="n"/>
      <c r="AM756" s="55">
        <f>AH757/AJ757%</f>
        <v/>
      </c>
      <c r="AN756" s="55">
        <f>AK757-AG757</f>
        <v/>
      </c>
      <c r="AO756" s="56">
        <f>AJ757/L757</f>
        <v/>
      </c>
      <c r="AP756" s="55">
        <f>(AJ757-AB757)/100</f>
        <v/>
      </c>
      <c r="AQ756" s="55">
        <f>(AJ757-AC757)/100</f>
        <v/>
      </c>
      <c r="AR756" s="57">
        <f>AI757/94</f>
        <v/>
      </c>
      <c r="AS756" s="57">
        <f>AJ757/94</f>
        <v/>
      </c>
      <c r="AT756" s="58">
        <f>AI757/24</f>
        <v/>
      </c>
      <c r="AU756" s="58">
        <f>AJ757/24</f>
        <v/>
      </c>
      <c r="AV756" s="58">
        <f>AI757/125</f>
        <v/>
      </c>
      <c r="AW756" s="58">
        <f>AJ757/125</f>
        <v/>
      </c>
      <c r="AX756" s="113" t="n"/>
      <c r="AY756" s="113" t="n"/>
    </row>
    <row r="757" ht="15.75" customHeight="1" s="258">
      <c r="A757" s="44" t="n"/>
      <c r="B757" s="44" t="inlineStr">
        <is>
          <t>Unweighted / 136.10 Hz</t>
        </is>
      </c>
      <c r="C757" s="111" t="inlineStr">
        <is>
          <t>MI-TFSW-U-13610</t>
        </is>
      </c>
      <c r="D757" s="45" t="n">
        <v>365</v>
      </c>
      <c r="E757" s="113" t="n"/>
      <c r="F757" s="44" t="n">
        <v>50</v>
      </c>
      <c r="G757" s="45" t="n">
        <v>9023</v>
      </c>
      <c r="H757" s="115" t="n">
        <v>0.18</v>
      </c>
      <c r="I757" s="44">
        <f>D758*H758</f>
        <v/>
      </c>
      <c r="J757" s="113" t="n"/>
      <c r="K757" s="44" t="n">
        <v>50</v>
      </c>
      <c r="L757" s="48">
        <f>K758+J758+I758+F758+E758+D758</f>
        <v/>
      </c>
      <c r="M757" s="44">
        <f>D758*1%</f>
        <v/>
      </c>
      <c r="N757" s="49">
        <f>L758*8%</f>
        <v/>
      </c>
      <c r="O757" s="49">
        <f>L758*10%</f>
        <v/>
      </c>
      <c r="P757" s="49">
        <f>L758*5%</f>
        <v/>
      </c>
      <c r="Q757" s="49">
        <f>L758*2%</f>
        <v/>
      </c>
      <c r="R757" s="49">
        <f>AC758*0.5%</f>
        <v/>
      </c>
      <c r="S757" s="49">
        <f>L758*1%</f>
        <v/>
      </c>
      <c r="T757" s="50">
        <f>S758+Q758+P758+O758+N758+M758</f>
        <v/>
      </c>
      <c r="U757" s="44">
        <f>AC758*1%</f>
        <v/>
      </c>
      <c r="V757" s="44">
        <f>AC758*5%</f>
        <v/>
      </c>
      <c r="W757" s="44">
        <f>AC758*1%</f>
        <v/>
      </c>
      <c r="X757" s="44">
        <f>AC758*8%</f>
        <v/>
      </c>
      <c r="Y757" s="44">
        <f>U758+V758+W758+X758</f>
        <v/>
      </c>
      <c r="Z757" s="50">
        <f>Y758+T758+L758</f>
        <v/>
      </c>
      <c r="AA757" s="51">
        <f>Z758*20%</f>
        <v/>
      </c>
      <c r="AB757" s="49">
        <f>Z758+AA758</f>
        <v/>
      </c>
      <c r="AC757" s="44">
        <f>D758*2.1</f>
        <v/>
      </c>
      <c r="AD757" s="49">
        <f>AB758-AC758</f>
        <v/>
      </c>
      <c r="AE757" s="49">
        <f>AD758/AB758*100</f>
        <v/>
      </c>
      <c r="AF757" s="113" t="n"/>
      <c r="AG757" s="116">
        <f>((AF758-L758)/L758)*100</f>
        <v/>
      </c>
      <c r="AH757" s="54">
        <f>AJ758-AF758</f>
        <v/>
      </c>
      <c r="AI757" s="54">
        <f>AB758</f>
        <v/>
      </c>
      <c r="AJ757" s="54" t="n">
        <v>1390</v>
      </c>
      <c r="AK757" s="55">
        <f>(AJ758-L758)/L758*100</f>
        <v/>
      </c>
      <c r="AL757" s="55" t="n"/>
      <c r="AM757" s="55">
        <f>AH758/AJ758%</f>
        <v/>
      </c>
      <c r="AN757" s="55">
        <f>AK758-AG758</f>
        <v/>
      </c>
      <c r="AO757" s="56">
        <f>AJ758/L758</f>
        <v/>
      </c>
      <c r="AP757" s="55">
        <f>(AJ758-AB758)/100</f>
        <v/>
      </c>
      <c r="AQ757" s="55">
        <f>(AJ758-AC758)/100</f>
        <v/>
      </c>
      <c r="AR757" s="57">
        <f>AI758/94</f>
        <v/>
      </c>
      <c r="AS757" s="57">
        <f>AJ758/94</f>
        <v/>
      </c>
      <c r="AT757" s="58">
        <f>AI758/24</f>
        <v/>
      </c>
      <c r="AU757" s="58">
        <f>AJ758/24</f>
        <v/>
      </c>
      <c r="AV757" s="58">
        <f>AI758/125</f>
        <v/>
      </c>
      <c r="AW757" s="58">
        <f>AJ758/125</f>
        <v/>
      </c>
      <c r="AX757" s="113" t="n"/>
      <c r="AY757" s="113" t="n"/>
    </row>
    <row r="758" ht="15.75" customHeight="1" s="258">
      <c r="A758" s="44" t="n"/>
      <c r="B758" s="44" t="inlineStr">
        <is>
          <t>Unweighted / 256 Hz</t>
        </is>
      </c>
      <c r="C758" s="111" t="inlineStr">
        <is>
          <t>MI-TFSW-U-256</t>
        </is>
      </c>
      <c r="D758" s="45" t="n">
        <v>365</v>
      </c>
      <c r="E758" s="113" t="n"/>
      <c r="F758" s="44" t="n">
        <v>50</v>
      </c>
      <c r="G758" s="45" t="n">
        <v>9023</v>
      </c>
      <c r="H758" s="115" t="n">
        <v>0.18</v>
      </c>
      <c r="I758" s="44">
        <f>D759*H759</f>
        <v/>
      </c>
      <c r="J758" s="113" t="n"/>
      <c r="K758" s="44" t="n">
        <v>50</v>
      </c>
      <c r="L758" s="48">
        <f>K759+J759+I759+F759+E759+D759</f>
        <v/>
      </c>
      <c r="M758" s="44">
        <f>D759*1%</f>
        <v/>
      </c>
      <c r="N758" s="49">
        <f>L759*8%</f>
        <v/>
      </c>
      <c r="O758" s="49">
        <f>L759*10%</f>
        <v/>
      </c>
      <c r="P758" s="49">
        <f>L759*5%</f>
        <v/>
      </c>
      <c r="Q758" s="49">
        <f>L759*2%</f>
        <v/>
      </c>
      <c r="R758" s="49">
        <f>AC759*0.5%</f>
        <v/>
      </c>
      <c r="S758" s="49">
        <f>L759*1%</f>
        <v/>
      </c>
      <c r="T758" s="50">
        <f>S759+Q759+P759+O759+N759+M759</f>
        <v/>
      </c>
      <c r="U758" s="44">
        <f>AC759*1%</f>
        <v/>
      </c>
      <c r="V758" s="44">
        <f>AC759*5%</f>
        <v/>
      </c>
      <c r="W758" s="44">
        <f>AC759*1%</f>
        <v/>
      </c>
      <c r="X758" s="44">
        <f>AC759*8%</f>
        <v/>
      </c>
      <c r="Y758" s="44">
        <f>U759+V759+W759+X759</f>
        <v/>
      </c>
      <c r="Z758" s="50">
        <f>Y759+T759+L759</f>
        <v/>
      </c>
      <c r="AA758" s="51">
        <f>Z759*20%</f>
        <v/>
      </c>
      <c r="AB758" s="49">
        <f>Z759+AA759</f>
        <v/>
      </c>
      <c r="AC758" s="44">
        <f>D759*2.1</f>
        <v/>
      </c>
      <c r="AD758" s="49">
        <f>AB759-AC759</f>
        <v/>
      </c>
      <c r="AE758" s="49">
        <f>AD759/AB759*100</f>
        <v/>
      </c>
      <c r="AF758" s="113" t="n"/>
      <c r="AG758" s="116">
        <f>((AF759-L759)/L759)*100</f>
        <v/>
      </c>
      <c r="AH758" s="54">
        <f>AJ759-AF759</f>
        <v/>
      </c>
      <c r="AI758" s="54">
        <f>AB759</f>
        <v/>
      </c>
      <c r="AJ758" s="54" t="n">
        <v>1390</v>
      </c>
      <c r="AK758" s="55">
        <f>(AJ759-L759)/L759*100</f>
        <v/>
      </c>
      <c r="AL758" s="55" t="n"/>
      <c r="AM758" s="55">
        <f>AH759/AJ759%</f>
        <v/>
      </c>
      <c r="AN758" s="55">
        <f>AK759-AG759</f>
        <v/>
      </c>
      <c r="AO758" s="56">
        <f>AJ759/L759</f>
        <v/>
      </c>
      <c r="AP758" s="55">
        <f>(AJ759-AB759)/100</f>
        <v/>
      </c>
      <c r="AQ758" s="55">
        <f>(AJ759-AC759)/100</f>
        <v/>
      </c>
      <c r="AR758" s="57">
        <f>AI759/94</f>
        <v/>
      </c>
      <c r="AS758" s="57">
        <f>AJ759/94</f>
        <v/>
      </c>
      <c r="AT758" s="58">
        <f>AI759/24</f>
        <v/>
      </c>
      <c r="AU758" s="58">
        <f>AJ759/24</f>
        <v/>
      </c>
      <c r="AV758" s="58">
        <f>AI759/125</f>
        <v/>
      </c>
      <c r="AW758" s="58">
        <f>AJ759/125</f>
        <v/>
      </c>
      <c r="AX758" s="113" t="n"/>
      <c r="AY758" s="113" t="n"/>
    </row>
    <row r="759" ht="15.75" customHeight="1" s="258">
      <c r="A759" s="44" t="n"/>
      <c r="B759" s="44" t="inlineStr">
        <is>
          <t>Unweighted / 432 Hz</t>
        </is>
      </c>
      <c r="C759" s="111" t="inlineStr">
        <is>
          <t>MI-TFSW-U-432</t>
        </is>
      </c>
      <c r="D759" s="45" t="n">
        <v>365</v>
      </c>
      <c r="E759" s="113" t="n"/>
      <c r="F759" s="44" t="n">
        <v>50</v>
      </c>
      <c r="G759" s="45" t="n">
        <v>9023</v>
      </c>
      <c r="H759" s="115" t="n">
        <v>0.18</v>
      </c>
      <c r="I759" s="44">
        <f>D760*H760</f>
        <v/>
      </c>
      <c r="J759" s="113" t="n"/>
      <c r="K759" s="44" t="n">
        <v>50</v>
      </c>
      <c r="L759" s="48">
        <f>K760+J760+I760+F760+E760+D760</f>
        <v/>
      </c>
      <c r="M759" s="44">
        <f>D760*1%</f>
        <v/>
      </c>
      <c r="N759" s="49">
        <f>L760*8%</f>
        <v/>
      </c>
      <c r="O759" s="49">
        <f>L760*10%</f>
        <v/>
      </c>
      <c r="P759" s="49">
        <f>L760*5%</f>
        <v/>
      </c>
      <c r="Q759" s="49">
        <f>L760*2%</f>
        <v/>
      </c>
      <c r="R759" s="49">
        <f>AC760*0.5%</f>
        <v/>
      </c>
      <c r="S759" s="49">
        <f>L760*1%</f>
        <v/>
      </c>
      <c r="T759" s="50">
        <f>S760+Q760+P760+O760+N760+M760</f>
        <v/>
      </c>
      <c r="U759" s="44">
        <f>AC760*1%</f>
        <v/>
      </c>
      <c r="V759" s="44">
        <f>AC760*5%</f>
        <v/>
      </c>
      <c r="W759" s="44">
        <f>AC760*1%</f>
        <v/>
      </c>
      <c r="X759" s="44">
        <f>AC760*8%</f>
        <v/>
      </c>
      <c r="Y759" s="44">
        <f>U760+V760+W760+X760</f>
        <v/>
      </c>
      <c r="Z759" s="50">
        <f>Y760+T760+L760</f>
        <v/>
      </c>
      <c r="AA759" s="51">
        <f>Z760*20%</f>
        <v/>
      </c>
      <c r="AB759" s="49">
        <f>Z760+AA760</f>
        <v/>
      </c>
      <c r="AC759" s="44">
        <f>D760*2.1</f>
        <v/>
      </c>
      <c r="AD759" s="49">
        <f>AB760-AC760</f>
        <v/>
      </c>
      <c r="AE759" s="49">
        <f>AD760/AB760*100</f>
        <v/>
      </c>
      <c r="AF759" s="113" t="n"/>
      <c r="AG759" s="116">
        <f>((AF760-L760)/L760)*100</f>
        <v/>
      </c>
      <c r="AH759" s="54">
        <f>AJ760-AF760</f>
        <v/>
      </c>
      <c r="AI759" s="54">
        <f>AB760</f>
        <v/>
      </c>
      <c r="AJ759" s="54" t="n">
        <v>1390</v>
      </c>
      <c r="AK759" s="55">
        <f>(AJ760-L760)/L760*100</f>
        <v/>
      </c>
      <c r="AL759" s="55" t="n"/>
      <c r="AM759" s="55">
        <f>AH760/AJ760%</f>
        <v/>
      </c>
      <c r="AN759" s="55">
        <f>AK760-AG760</f>
        <v/>
      </c>
      <c r="AO759" s="56">
        <f>AJ760/L760</f>
        <v/>
      </c>
      <c r="AP759" s="55">
        <f>(AJ760-AB760)/100</f>
        <v/>
      </c>
      <c r="AQ759" s="55">
        <f>(AJ760-AC760)/100</f>
        <v/>
      </c>
      <c r="AR759" s="57">
        <f>AI760/94</f>
        <v/>
      </c>
      <c r="AS759" s="57">
        <f>AJ760/94</f>
        <v/>
      </c>
      <c r="AT759" s="58">
        <f>AI760/24</f>
        <v/>
      </c>
      <c r="AU759" s="58">
        <f>AJ760/24</f>
        <v/>
      </c>
      <c r="AV759" s="58">
        <f>AI760/125</f>
        <v/>
      </c>
      <c r="AW759" s="58">
        <f>AJ760/125</f>
        <v/>
      </c>
      <c r="AX759" s="113" t="n"/>
      <c r="AY759" s="113" t="n"/>
    </row>
    <row r="760" ht="15.75" customHeight="1" s="258">
      <c r="A760" s="44" t="n"/>
      <c r="B760" s="44" t="inlineStr">
        <is>
          <t>Unweighted / 528 Hz</t>
        </is>
      </c>
      <c r="C760" s="111" t="inlineStr">
        <is>
          <t>MI-TFSW-U-528</t>
        </is>
      </c>
      <c r="D760" s="45" t="n">
        <v>365</v>
      </c>
      <c r="E760" s="113" t="n"/>
      <c r="F760" s="44" t="n">
        <v>50</v>
      </c>
      <c r="G760" s="45" t="n">
        <v>9023</v>
      </c>
      <c r="H760" s="115" t="n">
        <v>0.18</v>
      </c>
      <c r="I760" s="44">
        <f>D761*H761</f>
        <v/>
      </c>
      <c r="J760" s="113" t="n"/>
      <c r="K760" s="44" t="n">
        <v>50</v>
      </c>
      <c r="L760" s="48">
        <f>K761+J761+I761+F761+E761+D761</f>
        <v/>
      </c>
      <c r="M760" s="44">
        <f>D761*1%</f>
        <v/>
      </c>
      <c r="N760" s="49">
        <f>L761*8%</f>
        <v/>
      </c>
      <c r="O760" s="49">
        <f>L761*10%</f>
        <v/>
      </c>
      <c r="P760" s="49">
        <f>L761*5%</f>
        <v/>
      </c>
      <c r="Q760" s="49">
        <f>L761*2%</f>
        <v/>
      </c>
      <c r="R760" s="49">
        <f>AC761*0.5%</f>
        <v/>
      </c>
      <c r="S760" s="49">
        <f>L761*1%</f>
        <v/>
      </c>
      <c r="T760" s="50">
        <f>S761+Q761+P761+O761+N761+M761</f>
        <v/>
      </c>
      <c r="U760" s="44">
        <f>AC761*1%</f>
        <v/>
      </c>
      <c r="V760" s="44">
        <f>AC761*5%</f>
        <v/>
      </c>
      <c r="W760" s="44">
        <f>AC761*1%</f>
        <v/>
      </c>
      <c r="X760" s="44">
        <f>AC761*8%</f>
        <v/>
      </c>
      <c r="Y760" s="44">
        <f>U761+V761+W761+X761</f>
        <v/>
      </c>
      <c r="Z760" s="50">
        <f>Y761+T761+L761</f>
        <v/>
      </c>
      <c r="AA760" s="51">
        <f>Z761*20%</f>
        <v/>
      </c>
      <c r="AB760" s="49">
        <f>Z761+AA761</f>
        <v/>
      </c>
      <c r="AC760" s="44">
        <f>D761*2.1</f>
        <v/>
      </c>
      <c r="AD760" s="49">
        <f>AB761-AC761</f>
        <v/>
      </c>
      <c r="AE760" s="49">
        <f>AD761/AB761*100</f>
        <v/>
      </c>
      <c r="AF760" s="113" t="n"/>
      <c r="AG760" s="116">
        <f>((AF761-L761)/L761)*100</f>
        <v/>
      </c>
      <c r="AH760" s="54">
        <f>AJ761-AF761</f>
        <v/>
      </c>
      <c r="AI760" s="54">
        <f>AB761</f>
        <v/>
      </c>
      <c r="AJ760" s="54" t="n">
        <v>1390</v>
      </c>
      <c r="AK760" s="55">
        <f>(AJ761-L761)/L761*100</f>
        <v/>
      </c>
      <c r="AL760" s="55" t="n"/>
      <c r="AM760" s="55">
        <f>AH761/AJ761%</f>
        <v/>
      </c>
      <c r="AN760" s="55">
        <f>AK761-AG761</f>
        <v/>
      </c>
      <c r="AO760" s="56">
        <f>AJ761/L761</f>
        <v/>
      </c>
      <c r="AP760" s="55">
        <f>(AJ761-AB761)/100</f>
        <v/>
      </c>
      <c r="AQ760" s="55">
        <f>(AJ761-AC761)/100</f>
        <v/>
      </c>
      <c r="AR760" s="57">
        <f>AI761/94</f>
        <v/>
      </c>
      <c r="AS760" s="57">
        <f>AJ761/94</f>
        <v/>
      </c>
      <c r="AT760" s="58">
        <f>AI761/24</f>
        <v/>
      </c>
      <c r="AU760" s="58">
        <f>AJ761/24</f>
        <v/>
      </c>
      <c r="AV760" s="58">
        <f>AI761/125</f>
        <v/>
      </c>
      <c r="AW760" s="58">
        <f>AJ761/125</f>
        <v/>
      </c>
      <c r="AX760" s="113" t="n"/>
      <c r="AY760" s="113" t="n"/>
    </row>
    <row r="761" ht="15.75" customHeight="1" s="258">
      <c r="A761" s="44" t="inlineStr">
        <is>
          <t>Angel Tuning Forks</t>
        </is>
      </c>
      <c r="B761" s="44" t="inlineStr">
        <is>
          <t>4096 Hz</t>
        </is>
      </c>
      <c r="C761" s="44" t="inlineStr">
        <is>
          <t>Mi-TF-AG-4096</t>
        </is>
      </c>
      <c r="D761" s="45" t="n">
        <v>400</v>
      </c>
      <c r="E761" s="113" t="n"/>
      <c r="F761" s="44" t="n">
        <v>40</v>
      </c>
      <c r="G761" s="45" t="n">
        <v>9202</v>
      </c>
      <c r="H761" s="115" t="n">
        <v>0.18</v>
      </c>
      <c r="I761" s="44">
        <f>D762*H762</f>
        <v/>
      </c>
      <c r="J761" s="113" t="n"/>
      <c r="K761" s="44" t="n">
        <v>50</v>
      </c>
      <c r="L761" s="48">
        <f>K762+J762+I762+F762+E762+D762</f>
        <v/>
      </c>
      <c r="M761" s="44">
        <f>D762*1%</f>
        <v/>
      </c>
      <c r="N761" s="49">
        <f>L762*8%</f>
        <v/>
      </c>
      <c r="O761" s="49">
        <f>L762*10%</f>
        <v/>
      </c>
      <c r="P761" s="49">
        <f>L762*5%</f>
        <v/>
      </c>
      <c r="Q761" s="49">
        <f>L762*2%</f>
        <v/>
      </c>
      <c r="R761" s="49">
        <f>AC762*0.5%</f>
        <v/>
      </c>
      <c r="S761" s="49">
        <f>L762*1%</f>
        <v/>
      </c>
      <c r="T761" s="50">
        <f>S762+Q762+P762+O762+N762+M762</f>
        <v/>
      </c>
      <c r="U761" s="44">
        <f>AC762*1%</f>
        <v/>
      </c>
      <c r="V761" s="44">
        <f>AC762*5%</f>
        <v/>
      </c>
      <c r="W761" s="44">
        <f>AC762*1%</f>
        <v/>
      </c>
      <c r="X761" s="44">
        <f>AC762*8%</f>
        <v/>
      </c>
      <c r="Y761" s="44">
        <f>U762+V762+W762+X762</f>
        <v/>
      </c>
      <c r="Z761" s="50">
        <f>Y762+T762+L762</f>
        <v/>
      </c>
      <c r="AA761" s="51">
        <f>Z762*20%</f>
        <v/>
      </c>
      <c r="AB761" s="49">
        <f>Z762+AA762</f>
        <v/>
      </c>
      <c r="AC761" s="44">
        <f>D762*2.1</f>
        <v/>
      </c>
      <c r="AD761" s="49">
        <f>AB762-AC762</f>
        <v/>
      </c>
      <c r="AE761" s="49">
        <f>AD762/AB762*100</f>
        <v/>
      </c>
      <c r="AF761" s="113" t="n">
        <v>2350</v>
      </c>
      <c r="AG761" s="116">
        <f>((AF762-L762)/L762)*100</f>
        <v/>
      </c>
      <c r="AH761" s="54">
        <f>AJ762-AF762</f>
        <v/>
      </c>
      <c r="AI761" s="54" t="n">
        <v>3290</v>
      </c>
      <c r="AJ761" s="54" t="n">
        <v>1490</v>
      </c>
      <c r="AK761" s="55">
        <f>(AJ762-L762)/L762*100</f>
        <v/>
      </c>
      <c r="AL761" s="55" t="n"/>
      <c r="AM761" s="55">
        <f>(AH762/AJ762)*100</f>
        <v/>
      </c>
      <c r="AN761" s="55">
        <f>AK762-AG762</f>
        <v/>
      </c>
      <c r="AO761" s="56">
        <f>AJ762/L762</f>
        <v/>
      </c>
      <c r="AP761" s="55">
        <f>(AJ762-AB762)/100</f>
        <v/>
      </c>
      <c r="AQ761" s="55">
        <f>(AJ762-AC762)/100</f>
        <v/>
      </c>
      <c r="AR761" s="57">
        <f>AI762/94</f>
        <v/>
      </c>
      <c r="AS761" s="57">
        <f>AJ762/94</f>
        <v/>
      </c>
      <c r="AT761" s="58">
        <f>AI762/24</f>
        <v/>
      </c>
      <c r="AU761" s="58">
        <f>AJ762/24</f>
        <v/>
      </c>
      <c r="AV761" s="58">
        <f>AI762/125</f>
        <v/>
      </c>
      <c r="AW761" s="58">
        <f>AJ762/125</f>
        <v/>
      </c>
      <c r="AX761" s="113" t="n"/>
      <c r="AY761" s="113" t="n"/>
    </row>
    <row r="762" ht="15" customHeight="1" s="258">
      <c r="A762" s="44" t="n"/>
      <c r="B762" s="44" t="inlineStr">
        <is>
          <t>4160 Hz</t>
        </is>
      </c>
      <c r="C762" s="44" t="inlineStr">
        <is>
          <t>Mi-TF-AG-4160</t>
        </is>
      </c>
      <c r="D762" s="45" t="n">
        <v>400</v>
      </c>
      <c r="E762" s="113" t="n"/>
      <c r="F762" s="44" t="n">
        <v>40</v>
      </c>
      <c r="G762" s="45" t="n">
        <v>9202</v>
      </c>
      <c r="H762" s="115" t="n">
        <v>0.18</v>
      </c>
      <c r="I762" s="44">
        <f>D763*H763</f>
        <v/>
      </c>
      <c r="J762" s="113" t="n"/>
      <c r="K762" s="44" t="n">
        <v>50</v>
      </c>
      <c r="L762" s="48">
        <f>K763+J763+I763+F763+E763+D763</f>
        <v/>
      </c>
      <c r="M762" s="44">
        <f>D763*1%</f>
        <v/>
      </c>
      <c r="N762" s="49">
        <f>L763*8%</f>
        <v/>
      </c>
      <c r="O762" s="49">
        <f>L763*10%</f>
        <v/>
      </c>
      <c r="P762" s="49">
        <f>L763*5%</f>
        <v/>
      </c>
      <c r="Q762" s="49">
        <f>L763*2%</f>
        <v/>
      </c>
      <c r="R762" s="49">
        <f>AC763*0.5%</f>
        <v/>
      </c>
      <c r="S762" s="49">
        <f>L763*1%</f>
        <v/>
      </c>
      <c r="T762" s="50">
        <f>S763+Q763+P763+O763+N763+M763</f>
        <v/>
      </c>
      <c r="U762" s="44">
        <f>AC763*1%</f>
        <v/>
      </c>
      <c r="V762" s="44">
        <f>AC763*5%</f>
        <v/>
      </c>
      <c r="W762" s="44">
        <f>AC763*1%</f>
        <v/>
      </c>
      <c r="X762" s="44">
        <f>AC763*8%</f>
        <v/>
      </c>
      <c r="Y762" s="44">
        <f>U763+V763+W763+X763</f>
        <v/>
      </c>
      <c r="Z762" s="50">
        <f>Y763+T763+L763</f>
        <v/>
      </c>
      <c r="AA762" s="51">
        <f>Z763*20%</f>
        <v/>
      </c>
      <c r="AB762" s="49">
        <f>Z763+AA763</f>
        <v/>
      </c>
      <c r="AC762" s="44">
        <f>D763*2.1</f>
        <v/>
      </c>
      <c r="AD762" s="49">
        <f>AB763-AC763</f>
        <v/>
      </c>
      <c r="AE762" s="49">
        <f>AD763/AB763*100</f>
        <v/>
      </c>
      <c r="AF762" s="113" t="n">
        <v>2550</v>
      </c>
      <c r="AG762" s="116">
        <f>((AF763-L763)/L763)*100</f>
        <v/>
      </c>
      <c r="AH762" s="54">
        <f>AJ763-AF763</f>
        <v/>
      </c>
      <c r="AI762" s="54" t="n">
        <v>3490</v>
      </c>
      <c r="AJ762" s="54" t="n">
        <v>1490</v>
      </c>
      <c r="AK762" s="55">
        <f>(AJ763-L763)/L763*100</f>
        <v/>
      </c>
      <c r="AL762" s="55" t="n"/>
      <c r="AM762" s="55">
        <f>(AH763/AJ763)*100</f>
        <v/>
      </c>
      <c r="AN762" s="55">
        <f>AK763-AG763</f>
        <v/>
      </c>
      <c r="AO762" s="56">
        <f>AJ763/L763</f>
        <v/>
      </c>
      <c r="AP762" s="55">
        <f>(AJ763-AB763)/100</f>
        <v/>
      </c>
      <c r="AQ762" s="55">
        <f>(AJ763-AC763)/100</f>
        <v/>
      </c>
      <c r="AR762" s="57">
        <f>AI763/94</f>
        <v/>
      </c>
      <c r="AS762" s="57">
        <f>AJ763/94</f>
        <v/>
      </c>
      <c r="AT762" s="58">
        <f>AI763/24</f>
        <v/>
      </c>
      <c r="AU762" s="58">
        <f>AJ763/24</f>
        <v/>
      </c>
      <c r="AV762" s="58">
        <f>AI763/125</f>
        <v/>
      </c>
      <c r="AW762" s="58">
        <f>AJ763/125</f>
        <v/>
      </c>
      <c r="AX762" s="113" t="n"/>
      <c r="AY762" s="113" t="n"/>
    </row>
    <row r="763" ht="15.75" customHeight="1" s="258">
      <c r="A763" s="44" t="n"/>
      <c r="B763" s="44" t="inlineStr">
        <is>
          <t>4225 Hz</t>
        </is>
      </c>
      <c r="C763" s="44" t="inlineStr">
        <is>
          <t>Mi-TF-AG-4225</t>
        </is>
      </c>
      <c r="D763" s="45" t="n">
        <v>400</v>
      </c>
      <c r="E763" s="113" t="n"/>
      <c r="F763" s="44" t="n">
        <v>40</v>
      </c>
      <c r="G763" s="45" t="n">
        <v>9202</v>
      </c>
      <c r="H763" s="115" t="n">
        <v>0.18</v>
      </c>
      <c r="I763" s="44">
        <f>D764*H764</f>
        <v/>
      </c>
      <c r="J763" s="113" t="n"/>
      <c r="K763" s="44" t="n">
        <v>50</v>
      </c>
      <c r="L763" s="48">
        <f>K764+J764+I764+F764+E764+D764</f>
        <v/>
      </c>
      <c r="M763" s="44">
        <f>D764*1%</f>
        <v/>
      </c>
      <c r="N763" s="49">
        <f>L764*8%</f>
        <v/>
      </c>
      <c r="O763" s="49">
        <f>L764*10%</f>
        <v/>
      </c>
      <c r="P763" s="49">
        <f>L764*5%</f>
        <v/>
      </c>
      <c r="Q763" s="49">
        <f>L764*2%</f>
        <v/>
      </c>
      <c r="R763" s="49">
        <f>AC764*0.5%</f>
        <v/>
      </c>
      <c r="S763" s="49">
        <f>L764*1%</f>
        <v/>
      </c>
      <c r="T763" s="50">
        <f>S764+Q764+P764+O764+N764+M764</f>
        <v/>
      </c>
      <c r="U763" s="44">
        <f>AC764*1%</f>
        <v/>
      </c>
      <c r="V763" s="44">
        <f>AC764*5%</f>
        <v/>
      </c>
      <c r="W763" s="44">
        <f>AC764*1%</f>
        <v/>
      </c>
      <c r="X763" s="44">
        <f>AC764*8%</f>
        <v/>
      </c>
      <c r="Y763" s="44">
        <f>U764+V764+W764+X764</f>
        <v/>
      </c>
      <c r="Z763" s="50">
        <f>Y764+T764+L764</f>
        <v/>
      </c>
      <c r="AA763" s="51">
        <f>Z764*20%</f>
        <v/>
      </c>
      <c r="AB763" s="49">
        <f>Z764+AA764</f>
        <v/>
      </c>
      <c r="AC763" s="44">
        <f>D764*2.1</f>
        <v/>
      </c>
      <c r="AD763" s="49">
        <f>AB764-AC764</f>
        <v/>
      </c>
      <c r="AE763" s="49">
        <f>AD764/AB764*100</f>
        <v/>
      </c>
      <c r="AF763" s="113" t="n">
        <v>2750</v>
      </c>
      <c r="AG763" s="116">
        <f>((AF764-L764)/L764)*100</f>
        <v/>
      </c>
      <c r="AH763" s="54">
        <f>AJ764-AF764</f>
        <v/>
      </c>
      <c r="AI763" s="54" t="n">
        <v>3690</v>
      </c>
      <c r="AJ763" s="54" t="n">
        <v>1490</v>
      </c>
      <c r="AK763" s="55">
        <f>(AJ764-L764)/L764*100</f>
        <v/>
      </c>
      <c r="AL763" s="55" t="n"/>
      <c r="AM763" s="55">
        <f>(AH764/AJ764)*100</f>
        <v/>
      </c>
      <c r="AN763" s="55">
        <f>AK764-AG764</f>
        <v/>
      </c>
      <c r="AO763" s="56">
        <f>AJ764/L764</f>
        <v/>
      </c>
      <c r="AP763" s="55">
        <f>(AJ764-AB764)/100</f>
        <v/>
      </c>
      <c r="AQ763" s="55">
        <f>(AJ764-AC764)/100</f>
        <v/>
      </c>
      <c r="AR763" s="57">
        <f>AI764/94</f>
        <v/>
      </c>
      <c r="AS763" s="57">
        <f>AJ764/94</f>
        <v/>
      </c>
      <c r="AT763" s="58">
        <f>AI764/24</f>
        <v/>
      </c>
      <c r="AU763" s="58">
        <f>AJ764/24</f>
        <v/>
      </c>
      <c r="AV763" s="58">
        <f>AI764/125</f>
        <v/>
      </c>
      <c r="AW763" s="58">
        <f>AJ764/125</f>
        <v/>
      </c>
      <c r="AX763" s="113" t="n"/>
      <c r="AY763" s="113" t="n"/>
    </row>
    <row r="764" ht="15.75" customHeight="1" s="258">
      <c r="A764" s="44" t="n"/>
      <c r="B764" s="44" t="inlineStr">
        <is>
          <t>Set</t>
        </is>
      </c>
      <c r="C764" s="44" t="inlineStr">
        <is>
          <t>MI-TF-AG-3</t>
        </is>
      </c>
      <c r="D764" s="45" t="n">
        <v>1200</v>
      </c>
      <c r="E764" s="113" t="n"/>
      <c r="F764" s="44" t="n">
        <v>40</v>
      </c>
      <c r="G764" s="45" t="n"/>
      <c r="H764" s="115" t="n"/>
      <c r="I764" s="44" t="n"/>
      <c r="J764" s="113" t="n"/>
      <c r="K764" s="44" t="n">
        <v>50</v>
      </c>
      <c r="L764" s="48">
        <f>K765+J765+I765+F765+E765+D765</f>
        <v/>
      </c>
      <c r="M764" s="44" t="n"/>
      <c r="N764" s="49" t="n"/>
      <c r="O764" s="49" t="n"/>
      <c r="P764" s="49" t="n"/>
      <c r="Q764" s="49" t="n"/>
      <c r="R764" s="49" t="n"/>
      <c r="S764" s="49" t="n"/>
      <c r="T764" s="50" t="n"/>
      <c r="U764" s="44" t="n"/>
      <c r="V764" s="44">
        <f>AC765*5%</f>
        <v/>
      </c>
      <c r="W764" s="44" t="n"/>
      <c r="X764" s="44" t="n"/>
      <c r="Y764" s="44" t="n"/>
      <c r="Z764" s="50" t="n"/>
      <c r="AA764" s="51" t="n"/>
      <c r="AB764" s="49" t="n"/>
      <c r="AC764" s="44" t="n"/>
      <c r="AD764" s="49" t="n"/>
      <c r="AE764" s="49" t="n"/>
      <c r="AF764" s="113" t="n"/>
      <c r="AG764" s="116" t="n"/>
      <c r="AH764" s="54" t="n"/>
      <c r="AI764" s="54" t="n"/>
      <c r="AJ764" s="54" t="n">
        <v>3290</v>
      </c>
      <c r="AK764" s="55">
        <f>(AJ765-L765)/L765*100</f>
        <v/>
      </c>
      <c r="AL764" s="55" t="n"/>
      <c r="AM764" s="55" t="n"/>
      <c r="AN764" s="55" t="n"/>
      <c r="AO764" s="56" t="n"/>
      <c r="AP764" s="55" t="n"/>
      <c r="AQ764" s="55" t="n"/>
      <c r="AR764" s="57" t="n"/>
      <c r="AS764" s="57" t="n"/>
      <c r="AT764" s="58" t="n"/>
      <c r="AU764" s="58" t="n"/>
      <c r="AV764" s="58" t="n"/>
      <c r="AW764" s="58" t="n"/>
      <c r="AX764" s="113" t="n"/>
      <c r="AY764" s="113" t="n"/>
    </row>
    <row r="765" ht="15.75" customHeight="1" s="258">
      <c r="A765" s="2" t="inlineStr">
        <is>
          <t>C&amp;G Tuning Forks</t>
        </is>
      </c>
      <c r="B765" s="2" t="inlineStr">
        <is>
          <t>Weighted</t>
        </is>
      </c>
      <c r="C765" s="2" t="inlineStr">
        <is>
          <t>MI-TF-CG-W</t>
        </is>
      </c>
      <c r="D765" s="118" t="n">
        <v>1160</v>
      </c>
      <c r="F765" s="2" t="n">
        <v>40</v>
      </c>
      <c r="G765" s="118" t="n">
        <v>9202</v>
      </c>
      <c r="H765" s="255" t="n">
        <v>0.18</v>
      </c>
      <c r="I765" s="2">
        <f>D766*H766</f>
        <v/>
      </c>
      <c r="K765" s="2" t="n">
        <v>20</v>
      </c>
      <c r="L765" s="4">
        <f>K766+J766+I766+F766+E766+D766</f>
        <v/>
      </c>
      <c r="M765" s="2">
        <f>D766*1%</f>
        <v/>
      </c>
      <c r="N765" s="12">
        <f>L766*8%</f>
        <v/>
      </c>
      <c r="O765" s="12">
        <f>L766*10%</f>
        <v/>
      </c>
      <c r="P765" s="12">
        <f>L766*5%</f>
        <v/>
      </c>
      <c r="Q765" s="12">
        <f>L766*2%</f>
        <v/>
      </c>
      <c r="R765" s="12">
        <f>AC766*0.5%</f>
        <v/>
      </c>
      <c r="S765" s="12">
        <f>L766*1%</f>
        <v/>
      </c>
      <c r="T765" s="60">
        <f>S766+Q766+P766+O766+N766+M766</f>
        <v/>
      </c>
      <c r="U765" s="2">
        <f>AC766*1%</f>
        <v/>
      </c>
      <c r="V765" s="44">
        <f>AC766*5%</f>
        <v/>
      </c>
      <c r="W765" s="2">
        <f>AC766*1%</f>
        <v/>
      </c>
      <c r="X765" s="2">
        <f>AC766*8%</f>
        <v/>
      </c>
      <c r="Y765" s="2">
        <f>U766+V766+W766+X766</f>
        <v/>
      </c>
      <c r="Z765" s="60">
        <f>Y766+T766+L766</f>
        <v/>
      </c>
      <c r="AA765" s="11">
        <f>Z766*20%</f>
        <v/>
      </c>
      <c r="AB765" s="12">
        <f>Z766+AA766</f>
        <v/>
      </c>
      <c r="AC765" s="2">
        <f>D766*2.1</f>
        <v/>
      </c>
      <c r="AD765" s="12">
        <f>AB766-AC766</f>
        <v/>
      </c>
      <c r="AE765" s="12">
        <f>AD766/AB766*100</f>
        <v/>
      </c>
      <c r="AF765" s="92" t="n">
        <v>3380</v>
      </c>
      <c r="AG765" s="62">
        <f>((AF766-L766)/L766)*100</f>
        <v/>
      </c>
      <c r="AH765" s="106">
        <f>AJ766-AF766</f>
        <v/>
      </c>
      <c r="AI765" s="65" t="n">
        <v>3990</v>
      </c>
      <c r="AJ765" s="65" t="n">
        <v>2990</v>
      </c>
      <c r="AK765" s="66">
        <f>(AJ766-L766)/L766*100</f>
        <v/>
      </c>
      <c r="AL765" s="66" t="n"/>
      <c r="AM765" s="14">
        <f>(AH766/AJ766)*100</f>
        <v/>
      </c>
      <c r="AN765" s="67">
        <f>AK766-AG766</f>
        <v/>
      </c>
      <c r="AO765" s="68">
        <f>AJ766/L766</f>
        <v/>
      </c>
      <c r="AP765" s="69">
        <f>(AJ766-AB766)/100</f>
        <v/>
      </c>
      <c r="AQ765" s="70">
        <f>(AJ766-AC766)/100</f>
        <v/>
      </c>
      <c r="AR765" s="71">
        <f>AI766/94</f>
        <v/>
      </c>
      <c r="AS765" s="71">
        <f>AJ766/94</f>
        <v/>
      </c>
      <c r="AT765" s="72">
        <f>AI766/24</f>
        <v/>
      </c>
      <c r="AU765" s="72">
        <f>AJ766/24</f>
        <v/>
      </c>
      <c r="AV765" s="73">
        <f>AI766/125</f>
        <v/>
      </c>
      <c r="AW765" s="73">
        <f>AJ766/125</f>
        <v/>
      </c>
    </row>
    <row r="766" ht="15" customHeight="1" s="258">
      <c r="A766" s="2" t="n"/>
      <c r="B766" s="2" t="inlineStr">
        <is>
          <t>Unweighted</t>
        </is>
      </c>
      <c r="C766" s="2" t="inlineStr">
        <is>
          <t>MI-TF-CG-UW</t>
        </is>
      </c>
      <c r="D766" s="118" t="n">
        <v>750</v>
      </c>
      <c r="F766" s="2" t="n">
        <v>40</v>
      </c>
      <c r="G766" s="118" t="n">
        <v>9202</v>
      </c>
      <c r="H766" s="255" t="n">
        <v>0.18</v>
      </c>
      <c r="I766" s="2">
        <f>D767*H766</f>
        <v/>
      </c>
      <c r="K766" s="2" t="n">
        <v>20</v>
      </c>
      <c r="L766" s="4">
        <f>K767+J767+I767+F767+E767+D767</f>
        <v/>
      </c>
      <c r="M766" s="2">
        <f>D767*1%</f>
        <v/>
      </c>
      <c r="N766" s="12">
        <f>L767*8%</f>
        <v/>
      </c>
      <c r="O766" s="12">
        <f>L767*10%</f>
        <v/>
      </c>
      <c r="P766" s="12">
        <f>L767*5%</f>
        <v/>
      </c>
      <c r="Q766" s="12">
        <f>L767*2%</f>
        <v/>
      </c>
      <c r="R766" s="12">
        <f>AC767*0.5%</f>
        <v/>
      </c>
      <c r="S766" s="12">
        <f>L767*1%</f>
        <v/>
      </c>
      <c r="T766" s="60">
        <f>S767+Q767+P767+O767+N767+M767</f>
        <v/>
      </c>
      <c r="U766" s="2">
        <f>AC767*1%</f>
        <v/>
      </c>
      <c r="V766" s="44">
        <f>AC767*5%</f>
        <v/>
      </c>
      <c r="W766" s="2">
        <f>AC767*1%</f>
        <v/>
      </c>
      <c r="X766" s="2">
        <f>AC767*8%</f>
        <v/>
      </c>
      <c r="Y766" s="2">
        <f>U767+V767+W767+X767</f>
        <v/>
      </c>
      <c r="Z766" s="60">
        <f>Y767+T767+L767</f>
        <v/>
      </c>
      <c r="AA766" s="11">
        <f>Z767*20%</f>
        <v/>
      </c>
      <c r="AB766" s="12">
        <f>Z767+AA767</f>
        <v/>
      </c>
      <c r="AC766" s="2">
        <f>D767*2.1</f>
        <v/>
      </c>
      <c r="AD766" s="12">
        <f>AB767-AC767</f>
        <v/>
      </c>
      <c r="AE766" s="12">
        <f>AD767/AB767*100</f>
        <v/>
      </c>
      <c r="AF766" s="92" t="n">
        <v>3380</v>
      </c>
      <c r="AG766" s="62">
        <f>((AF767-L767)/L767)*100</f>
        <v/>
      </c>
      <c r="AH766" s="106">
        <f>AJ767-AF767</f>
        <v/>
      </c>
      <c r="AI766" s="65" t="n">
        <v>3990</v>
      </c>
      <c r="AJ766" s="65" t="n">
        <v>1990</v>
      </c>
      <c r="AK766" s="66">
        <f>(AJ767-L767)/L767*100</f>
        <v/>
      </c>
      <c r="AL766" s="66" t="n"/>
      <c r="AM766" s="14">
        <f>(AH767/AJ767)*100</f>
        <v/>
      </c>
      <c r="AN766" s="67">
        <f>AK767-AG767</f>
        <v/>
      </c>
      <c r="AO766" s="68">
        <f>AJ767/L767</f>
        <v/>
      </c>
      <c r="AP766" s="69">
        <f>(AJ767-AB767)/100</f>
        <v/>
      </c>
      <c r="AQ766" s="70">
        <f>(AJ767-AC767)/100</f>
        <v/>
      </c>
      <c r="AR766" s="71">
        <f>AI767/94</f>
        <v/>
      </c>
      <c r="AS766" s="71">
        <f>AJ767/94</f>
        <v/>
      </c>
      <c r="AT766" s="72">
        <f>AI767/24</f>
        <v/>
      </c>
      <c r="AU766" s="72">
        <f>AJ767/24</f>
        <v/>
      </c>
      <c r="AV766" s="73">
        <f>AI767/125</f>
        <v/>
      </c>
      <c r="AW766" s="73">
        <f>AJ767/125</f>
        <v/>
      </c>
    </row>
    <row r="767" ht="15.75" customHeight="1" s="258">
      <c r="A767" s="44" t="inlineStr">
        <is>
          <t>Tuning Fork Activators</t>
        </is>
      </c>
      <c r="B767" s="44" t="inlineStr">
        <is>
          <t>Activator</t>
        </is>
      </c>
      <c r="C767" s="111" t="inlineStr">
        <is>
          <t>MI-TFA-AC</t>
        </is>
      </c>
      <c r="D767" s="45" t="n">
        <v>50</v>
      </c>
      <c r="E767" s="113" t="n"/>
      <c r="F767" s="44" t="n">
        <v>50</v>
      </c>
      <c r="G767" s="45" t="n">
        <v>9023</v>
      </c>
      <c r="H767" s="115" t="n">
        <v>0.18</v>
      </c>
      <c r="I767" s="44">
        <f>D768*H768</f>
        <v/>
      </c>
      <c r="J767" s="113" t="n"/>
      <c r="K767" s="44" t="n">
        <v>20</v>
      </c>
      <c r="L767" s="48">
        <f>K768+J768+I768+F768+E768+D768</f>
        <v/>
      </c>
      <c r="M767" s="44">
        <f>D768*1%</f>
        <v/>
      </c>
      <c r="N767" s="49">
        <f>L768*8%</f>
        <v/>
      </c>
      <c r="O767" s="49">
        <f>L768*10%</f>
        <v/>
      </c>
      <c r="P767" s="49">
        <f>L768*5%</f>
        <v/>
      </c>
      <c r="Q767" s="49">
        <f>L768*2%</f>
        <v/>
      </c>
      <c r="R767" s="49">
        <f>AC768*0.5%</f>
        <v/>
      </c>
      <c r="S767" s="49">
        <f>L768*1%</f>
        <v/>
      </c>
      <c r="T767" s="50">
        <f>S768+Q768+P768+O768+N768+M768</f>
        <v/>
      </c>
      <c r="U767" s="44">
        <f>AC768*1%</f>
        <v/>
      </c>
      <c r="V767" s="44">
        <f>AC768*5%</f>
        <v/>
      </c>
      <c r="W767" s="44">
        <f>AC768*1%</f>
        <v/>
      </c>
      <c r="X767" s="44">
        <f>AC768*8%</f>
        <v/>
      </c>
      <c r="Y767" s="44">
        <f>U768+V768+W768+X768</f>
        <v/>
      </c>
      <c r="Z767" s="50">
        <f>Y768+T768+L768</f>
        <v/>
      </c>
      <c r="AA767" s="51">
        <f>Z768*20%</f>
        <v/>
      </c>
      <c r="AB767" s="49">
        <f>Z768+AA768</f>
        <v/>
      </c>
      <c r="AC767" s="44">
        <f>D768*2.1</f>
        <v/>
      </c>
      <c r="AD767" s="49">
        <f>AB768-AC768</f>
        <v/>
      </c>
      <c r="AE767" s="49">
        <f>AD768/AB768*100</f>
        <v/>
      </c>
      <c r="AF767" s="113" t="n">
        <v>150</v>
      </c>
      <c r="AG767" s="116">
        <f>((AF768-L768)/L768)*100</f>
        <v/>
      </c>
      <c r="AH767" s="54">
        <f>AJ768-AF768</f>
        <v/>
      </c>
      <c r="AI767" s="54">
        <f>AB768</f>
        <v/>
      </c>
      <c r="AJ767" s="54" t="n">
        <v>215</v>
      </c>
      <c r="AK767" s="55">
        <f>(AJ768-L768)/L768*100</f>
        <v/>
      </c>
      <c r="AL767" s="55" t="n"/>
      <c r="AM767" s="55">
        <f>AH768/AJ768%</f>
        <v/>
      </c>
      <c r="AN767" s="55">
        <f>AK768-AG768</f>
        <v/>
      </c>
      <c r="AO767" s="56">
        <f>AJ768/L768</f>
        <v/>
      </c>
      <c r="AP767" s="55">
        <f>(AJ768-AB768)/100</f>
        <v/>
      </c>
      <c r="AQ767" s="55">
        <f>(AJ768-AC768)/100</f>
        <v/>
      </c>
      <c r="AR767" s="57">
        <f>AI768/94</f>
        <v/>
      </c>
      <c r="AS767" s="57">
        <f>AJ768/94</f>
        <v/>
      </c>
      <c r="AT767" s="58">
        <f>AI768/24</f>
        <v/>
      </c>
      <c r="AU767" s="58">
        <f>AJ768/24</f>
        <v/>
      </c>
      <c r="AV767" s="58">
        <f>AI768/125</f>
        <v/>
      </c>
      <c r="AW767" s="58">
        <f>AJ768/125</f>
        <v/>
      </c>
      <c r="AX767" s="113" t="n"/>
      <c r="AY767" s="113" t="n"/>
    </row>
    <row r="768" ht="15" customHeight="1" s="258">
      <c r="A768" s="44" t="n"/>
      <c r="B768" s="44" t="inlineStr">
        <is>
          <t>Mallet</t>
        </is>
      </c>
      <c r="C768" s="111" t="inlineStr">
        <is>
          <t>MI-TFA-MA</t>
        </is>
      </c>
      <c r="D768" s="45" t="n">
        <v>50</v>
      </c>
      <c r="E768" s="113" t="n"/>
      <c r="F768" s="44" t="n">
        <v>50</v>
      </c>
      <c r="G768" s="45" t="n">
        <v>9202</v>
      </c>
      <c r="H768" s="115" t="n">
        <v>0.18</v>
      </c>
      <c r="I768" s="44">
        <f>D769*H769</f>
        <v/>
      </c>
      <c r="J768" s="113" t="n"/>
      <c r="K768" s="44" t="n">
        <v>20</v>
      </c>
      <c r="L768" s="48">
        <f>K769+J769+I769+F769+E769+D769</f>
        <v/>
      </c>
      <c r="M768" s="44">
        <f>D769*1%</f>
        <v/>
      </c>
      <c r="N768" s="49">
        <f>L769*8%</f>
        <v/>
      </c>
      <c r="O768" s="49">
        <f>L769*10%</f>
        <v/>
      </c>
      <c r="P768" s="49">
        <f>L769*5%</f>
        <v/>
      </c>
      <c r="Q768" s="49">
        <f>L769*2%</f>
        <v/>
      </c>
      <c r="R768" s="49">
        <f>AC769*0.5%</f>
        <v/>
      </c>
      <c r="S768" s="49">
        <f>L769*1%</f>
        <v/>
      </c>
      <c r="T768" s="50">
        <f>S769+Q769+P769+O769+N769+M769</f>
        <v/>
      </c>
      <c r="U768" s="44">
        <f>AC769*1%</f>
        <v/>
      </c>
      <c r="V768" s="44">
        <f>AC769*5%</f>
        <v/>
      </c>
      <c r="W768" s="44">
        <f>AC769*1%</f>
        <v/>
      </c>
      <c r="X768" s="44">
        <f>AC769*8%</f>
        <v/>
      </c>
      <c r="Y768" s="44">
        <f>U769+V769+W769+X769</f>
        <v/>
      </c>
      <c r="Z768" s="50">
        <f>Y769+T769+L769</f>
        <v/>
      </c>
      <c r="AA768" s="51">
        <f>Z769*20%</f>
        <v/>
      </c>
      <c r="AB768" s="49">
        <f>Z769+AA769</f>
        <v/>
      </c>
      <c r="AC768" s="44">
        <f>D769*2.1</f>
        <v/>
      </c>
      <c r="AD768" s="49">
        <f>AB769-AC769</f>
        <v/>
      </c>
      <c r="AE768" s="49">
        <f>AD769/AB769*100</f>
        <v/>
      </c>
      <c r="AF768" s="113" t="n">
        <v>150</v>
      </c>
      <c r="AG768" s="116">
        <f>((AF769-L769)/L769)*100</f>
        <v/>
      </c>
      <c r="AH768" s="54">
        <f>AJ769-AF769</f>
        <v/>
      </c>
      <c r="AI768" s="54">
        <f>AB769</f>
        <v/>
      </c>
      <c r="AJ768" s="54" t="n">
        <v>215</v>
      </c>
      <c r="AK768" s="55">
        <f>(AJ769-L769)/L769*100</f>
        <v/>
      </c>
      <c r="AL768" s="55" t="n"/>
      <c r="AM768" s="55">
        <f>AH769/AJ769%</f>
        <v/>
      </c>
      <c r="AN768" s="55">
        <f>AK769-AG769</f>
        <v/>
      </c>
      <c r="AO768" s="56">
        <f>AJ769/L769</f>
        <v/>
      </c>
      <c r="AP768" s="55">
        <f>(AJ769-AB769)/100</f>
        <v/>
      </c>
      <c r="AQ768" s="55">
        <f>(AJ769-AC769)/100</f>
        <v/>
      </c>
      <c r="AR768" s="57">
        <f>AI769/94</f>
        <v/>
      </c>
      <c r="AS768" s="57">
        <f>AJ769/94</f>
        <v/>
      </c>
      <c r="AT768" s="58">
        <f>AI769/24</f>
        <v/>
      </c>
      <c r="AU768" s="58">
        <f>AJ769/24</f>
        <v/>
      </c>
      <c r="AV768" s="58">
        <f>AI769/125</f>
        <v/>
      </c>
      <c r="AW768" s="58">
        <f>AJ769/125</f>
        <v/>
      </c>
      <c r="AX768" s="113" t="n"/>
      <c r="AY768" s="113" t="n"/>
    </row>
    <row r="769" ht="15.75" customHeight="1" s="258">
      <c r="A769" s="44" t="n"/>
      <c r="B769" s="44" t="inlineStr">
        <is>
          <t>Activator &amp; Mallet</t>
        </is>
      </c>
      <c r="C769" s="111" t="inlineStr">
        <is>
          <t>MI-TFA-AC-MA</t>
        </is>
      </c>
      <c r="D769" s="45" t="n">
        <v>100</v>
      </c>
      <c r="E769" s="113" t="n"/>
      <c r="F769" s="44" t="n">
        <v>50</v>
      </c>
      <c r="G769" s="45" t="n">
        <v>9202</v>
      </c>
      <c r="H769" s="115" t="n">
        <v>0.18</v>
      </c>
      <c r="I769" s="44">
        <f>D770*H770</f>
        <v/>
      </c>
      <c r="J769" s="113" t="n"/>
      <c r="K769" s="44" t="n">
        <v>40</v>
      </c>
      <c r="L769" s="48">
        <f>K770+J770+I770+F770+E770+D770</f>
        <v/>
      </c>
      <c r="M769" s="44">
        <f>D770*1%</f>
        <v/>
      </c>
      <c r="N769" s="49">
        <f>L770*8%</f>
        <v/>
      </c>
      <c r="O769" s="49">
        <f>L770*10%</f>
        <v/>
      </c>
      <c r="P769" s="49">
        <f>L770*5%</f>
        <v/>
      </c>
      <c r="Q769" s="49">
        <f>L770*2%</f>
        <v/>
      </c>
      <c r="R769" s="49">
        <f>AC770*0.5%</f>
        <v/>
      </c>
      <c r="S769" s="49">
        <f>L770*1%</f>
        <v/>
      </c>
      <c r="T769" s="50">
        <f>S770+Q770+P770+O770+N770+M770</f>
        <v/>
      </c>
      <c r="U769" s="44">
        <f>AC770*1%</f>
        <v/>
      </c>
      <c r="V769" s="44">
        <f>AC770*5%</f>
        <v/>
      </c>
      <c r="W769" s="44">
        <f>AC770*1%</f>
        <v/>
      </c>
      <c r="X769" s="44">
        <f>AC770*8%</f>
        <v/>
      </c>
      <c r="Y769" s="44">
        <f>U770+V770+W770+X770</f>
        <v/>
      </c>
      <c r="Z769" s="50">
        <f>Y770+T770+L770</f>
        <v/>
      </c>
      <c r="AA769" s="51">
        <f>Z770*20%</f>
        <v/>
      </c>
      <c r="AB769" s="49">
        <f>Z770+AA770</f>
        <v/>
      </c>
      <c r="AC769" s="44">
        <f>D770*2.1</f>
        <v/>
      </c>
      <c r="AD769" s="49">
        <f>AB770-AC770</f>
        <v/>
      </c>
      <c r="AE769" s="49">
        <f>AD770/AB770*100</f>
        <v/>
      </c>
      <c r="AF769" s="113" t="n">
        <v>250</v>
      </c>
      <c r="AG769" s="116">
        <f>((AF770-L770)/L770)*100</f>
        <v/>
      </c>
      <c r="AH769" s="54">
        <f>AJ770-AF770</f>
        <v/>
      </c>
      <c r="AI769" s="54">
        <f>AB770</f>
        <v/>
      </c>
      <c r="AJ769" s="54" t="n">
        <v>395</v>
      </c>
      <c r="AK769" s="55">
        <f>(AJ770-L770)/L770*100</f>
        <v/>
      </c>
      <c r="AL769" s="55" t="n"/>
      <c r="AM769" s="55">
        <f>AH770/AJ770%</f>
        <v/>
      </c>
      <c r="AN769" s="55">
        <f>AK770-AG770</f>
        <v/>
      </c>
      <c r="AO769" s="56">
        <f>AJ770/L770</f>
        <v/>
      </c>
      <c r="AP769" s="55">
        <f>(AJ770-AB770)/100</f>
        <v/>
      </c>
      <c r="AQ769" s="55">
        <f>(AJ770-AC770)/100</f>
        <v/>
      </c>
      <c r="AR769" s="57">
        <f>AI770/94</f>
        <v/>
      </c>
      <c r="AS769" s="57">
        <f>AJ770/94</f>
        <v/>
      </c>
      <c r="AT769" s="58">
        <f>AI770/24</f>
        <v/>
      </c>
      <c r="AU769" s="58">
        <f>AJ770/24</f>
        <v/>
      </c>
      <c r="AV769" s="58">
        <f>AI770/125</f>
        <v/>
      </c>
      <c r="AW769" s="58">
        <f>AJ770/125</f>
        <v/>
      </c>
      <c r="AX769" s="113" t="n"/>
      <c r="AY769" s="113" t="n"/>
    </row>
    <row r="770" ht="15.75" customHeight="1" s="258">
      <c r="A770" s="44" t="inlineStr">
        <is>
          <t>Tuning Fork Extensions</t>
        </is>
      </c>
      <c r="B770" s="44" t="inlineStr">
        <is>
          <t>Extender</t>
        </is>
      </c>
      <c r="C770" s="111" t="inlineStr">
        <is>
          <t>MI-TFE-E</t>
        </is>
      </c>
      <c r="D770" s="45" t="n">
        <v>200</v>
      </c>
      <c r="E770" s="113" t="n"/>
      <c r="F770" s="44" t="n">
        <v>50</v>
      </c>
      <c r="G770" s="45" t="n">
        <v>9202</v>
      </c>
      <c r="H770" s="115" t="n">
        <v>0.18</v>
      </c>
      <c r="I770" s="44">
        <f>D771*H771</f>
        <v/>
      </c>
      <c r="J770" s="113" t="n"/>
      <c r="K770" s="44" t="n">
        <v>40</v>
      </c>
      <c r="L770" s="48">
        <f>K771+J771+I771+F771+E771+D771</f>
        <v/>
      </c>
      <c r="M770" s="44">
        <f>D771*1%</f>
        <v/>
      </c>
      <c r="N770" s="49">
        <f>L771*8%</f>
        <v/>
      </c>
      <c r="O770" s="49">
        <f>L771*10%</f>
        <v/>
      </c>
      <c r="P770" s="49">
        <f>L771*5%</f>
        <v/>
      </c>
      <c r="Q770" s="49">
        <f>L771*2%</f>
        <v/>
      </c>
      <c r="R770" s="49">
        <f>AC771*0.5%</f>
        <v/>
      </c>
      <c r="S770" s="49">
        <f>L771*1%</f>
        <v/>
      </c>
      <c r="T770" s="50">
        <f>S771+Q771+P771+O771+N771+M771</f>
        <v/>
      </c>
      <c r="U770" s="44">
        <f>AC771*1%</f>
        <v/>
      </c>
      <c r="V770" s="44">
        <f>AC771*5%</f>
        <v/>
      </c>
      <c r="W770" s="44">
        <f>AC771*1%</f>
        <v/>
      </c>
      <c r="X770" s="44">
        <f>AC771*8%</f>
        <v/>
      </c>
      <c r="Y770" s="44">
        <f>U771+V771+W771+X771</f>
        <v/>
      </c>
      <c r="Z770" s="50">
        <f>Y771+T771+L771</f>
        <v/>
      </c>
      <c r="AA770" s="51">
        <f>Z771*20%</f>
        <v/>
      </c>
      <c r="AB770" s="49">
        <f>Z771+AA771</f>
        <v/>
      </c>
      <c r="AC770" s="44">
        <f>D771*2.1</f>
        <v/>
      </c>
      <c r="AD770" s="49">
        <f>AB771-AC771</f>
        <v/>
      </c>
      <c r="AE770" s="49">
        <f>AD771/AB771*100</f>
        <v/>
      </c>
      <c r="AF770" s="54" t="n">
        <v>450</v>
      </c>
      <c r="AG770" s="116">
        <f>((AF771-L771)/L771)*100</f>
        <v/>
      </c>
      <c r="AH770" s="54">
        <f>AJ771-AF771</f>
        <v/>
      </c>
      <c r="AI770" s="54">
        <f>AB771</f>
        <v/>
      </c>
      <c r="AJ770" s="54" t="n">
        <v>645</v>
      </c>
      <c r="AK770" s="55">
        <f>(AJ771-L771)/L771*100</f>
        <v/>
      </c>
      <c r="AL770" s="55" t="n"/>
      <c r="AM770" s="55">
        <f>AH771/AJ771%</f>
        <v/>
      </c>
      <c r="AN770" s="55">
        <f>AK771-AG771</f>
        <v/>
      </c>
      <c r="AO770" s="56">
        <f>AJ771/L771</f>
        <v/>
      </c>
      <c r="AP770" s="55">
        <f>(AJ771-AB771)/100</f>
        <v/>
      </c>
      <c r="AQ770" s="55">
        <f>(AJ771-AC771)/100</f>
        <v/>
      </c>
      <c r="AR770" s="57">
        <f>AI771/94</f>
        <v/>
      </c>
      <c r="AS770" s="57">
        <f>AJ771/94</f>
        <v/>
      </c>
      <c r="AT770" s="58">
        <f>AI771/24</f>
        <v/>
      </c>
      <c r="AU770" s="58">
        <f>AJ771/24</f>
        <v/>
      </c>
      <c r="AV770" s="58">
        <f>AI771/125</f>
        <v/>
      </c>
      <c r="AW770" s="58">
        <f>AJ771/125</f>
        <v/>
      </c>
      <c r="AX770" s="113" t="n"/>
      <c r="AY770" s="113" t="n"/>
    </row>
    <row r="771" ht="15" customHeight="1" s="258">
      <c r="A771" s="44" t="n"/>
      <c r="B771" s="44" t="inlineStr">
        <is>
          <t>Circuit Boot</t>
        </is>
      </c>
      <c r="C771" s="111" t="inlineStr">
        <is>
          <t>MI-TFE-C</t>
        </is>
      </c>
      <c r="D771" s="45" t="n">
        <v>400</v>
      </c>
      <c r="E771" s="113" t="n"/>
      <c r="F771" s="44" t="n">
        <v>50</v>
      </c>
      <c r="G771" s="45" t="n">
        <v>9202</v>
      </c>
      <c r="H771" s="115" t="n">
        <v>0.18</v>
      </c>
      <c r="I771" s="44">
        <f>D772*H772</f>
        <v/>
      </c>
      <c r="J771" s="113" t="n"/>
      <c r="K771" s="44" t="n">
        <v>40</v>
      </c>
      <c r="L771" s="48">
        <f>K772+J772+I772+F772+E772+D772</f>
        <v/>
      </c>
      <c r="M771" s="44">
        <f>D772*1%</f>
        <v/>
      </c>
      <c r="N771" s="49">
        <f>L772*8%</f>
        <v/>
      </c>
      <c r="O771" s="49">
        <f>L772*10%</f>
        <v/>
      </c>
      <c r="P771" s="49">
        <f>L772*5%</f>
        <v/>
      </c>
      <c r="Q771" s="49">
        <f>L772*2%</f>
        <v/>
      </c>
      <c r="R771" s="49">
        <f>AC772*0.5%</f>
        <v/>
      </c>
      <c r="S771" s="49">
        <f>L772*1%</f>
        <v/>
      </c>
      <c r="T771" s="50">
        <f>S772+Q772+P772+O772+N772+M772</f>
        <v/>
      </c>
      <c r="U771" s="44">
        <f>AC772*1%</f>
        <v/>
      </c>
      <c r="V771" s="44">
        <f>AC772*5%</f>
        <v/>
      </c>
      <c r="W771" s="44">
        <f>AC772*1%</f>
        <v/>
      </c>
      <c r="X771" s="44">
        <f>AC772*8%</f>
        <v/>
      </c>
      <c r="Y771" s="44">
        <f>U772+V772+W772+X772</f>
        <v/>
      </c>
      <c r="Z771" s="50">
        <f>Y772+T772+L772</f>
        <v/>
      </c>
      <c r="AA771" s="51">
        <f>Z772*20%</f>
        <v/>
      </c>
      <c r="AB771" s="49">
        <f>Z772+AA772</f>
        <v/>
      </c>
      <c r="AC771" s="44">
        <f>D772*2.1</f>
        <v/>
      </c>
      <c r="AD771" s="49">
        <f>AB772-AC772</f>
        <v/>
      </c>
      <c r="AE771" s="49">
        <f>AD772/AB772*100</f>
        <v/>
      </c>
      <c r="AF771" s="54" t="n">
        <v>690</v>
      </c>
      <c r="AG771" s="116">
        <f>((AF772-L772)/L772)*100</f>
        <v/>
      </c>
      <c r="AH771" s="54">
        <f>AJ772-AF772</f>
        <v/>
      </c>
      <c r="AI771" s="54">
        <f>AB772</f>
        <v/>
      </c>
      <c r="AJ771" s="54" t="n">
        <v>995</v>
      </c>
      <c r="AK771" s="55">
        <f>(AJ772-L772)/L772*100</f>
        <v/>
      </c>
      <c r="AL771" s="55" t="n"/>
      <c r="AM771" s="55">
        <f>AH772/AJ772%</f>
        <v/>
      </c>
      <c r="AN771" s="55">
        <f>AK772-AG772</f>
        <v/>
      </c>
      <c r="AO771" s="56">
        <f>AJ772/L772</f>
        <v/>
      </c>
      <c r="AP771" s="55">
        <f>(AJ772-AB772)/100</f>
        <v/>
      </c>
      <c r="AQ771" s="55">
        <f>(AJ772-AC772)/100</f>
        <v/>
      </c>
      <c r="AR771" s="57">
        <f>AI772/94</f>
        <v/>
      </c>
      <c r="AS771" s="57">
        <f>AJ772/94</f>
        <v/>
      </c>
      <c r="AT771" s="58">
        <f>AI772/24</f>
        <v/>
      </c>
      <c r="AU771" s="58">
        <f>AJ772/24</f>
        <v/>
      </c>
      <c r="AV771" s="58">
        <f>AI772/125</f>
        <v/>
      </c>
      <c r="AW771" s="58">
        <f>AJ772/125</f>
        <v/>
      </c>
      <c r="AX771" s="113" t="n"/>
      <c r="AY771" s="113" t="n"/>
    </row>
    <row r="772" ht="15.75" customHeight="1" s="258">
      <c r="A772" s="44" t="n"/>
      <c r="B772" s="44" t="inlineStr">
        <is>
          <t>Massage Boot</t>
        </is>
      </c>
      <c r="C772" s="111" t="inlineStr">
        <is>
          <t>MI-TFE-M</t>
        </is>
      </c>
      <c r="D772" s="45" t="n">
        <v>400</v>
      </c>
      <c r="E772" s="113" t="n"/>
      <c r="F772" s="44" t="n">
        <v>50</v>
      </c>
      <c r="G772" s="45" t="n">
        <v>9202</v>
      </c>
      <c r="H772" s="115" t="n">
        <v>0.18</v>
      </c>
      <c r="I772" s="44">
        <f>D773*H773</f>
        <v/>
      </c>
      <c r="J772" s="113" t="n"/>
      <c r="K772" s="44" t="n">
        <v>40</v>
      </c>
      <c r="L772" s="48">
        <f>K773+J773+I773+F773+E773+D773</f>
        <v/>
      </c>
      <c r="M772" s="44">
        <f>D773*1%</f>
        <v/>
      </c>
      <c r="N772" s="49">
        <f>L773*8%</f>
        <v/>
      </c>
      <c r="O772" s="49">
        <f>L773*10%</f>
        <v/>
      </c>
      <c r="P772" s="49">
        <f>L773*5%</f>
        <v/>
      </c>
      <c r="Q772" s="49">
        <f>L773*2%</f>
        <v/>
      </c>
      <c r="R772" s="49">
        <f>AC773*0.5%</f>
        <v/>
      </c>
      <c r="S772" s="49">
        <f>L773*1%</f>
        <v/>
      </c>
      <c r="T772" s="50">
        <f>S773+Q773+P773+O773+N773+M773</f>
        <v/>
      </c>
      <c r="U772" s="44">
        <f>AC773*1%</f>
        <v/>
      </c>
      <c r="V772" s="44">
        <f>AC773*5%</f>
        <v/>
      </c>
      <c r="W772" s="44">
        <f>AC773*1%</f>
        <v/>
      </c>
      <c r="X772" s="44">
        <f>AC773*8%</f>
        <v/>
      </c>
      <c r="Y772" s="44">
        <f>U773+V773+W773+X773</f>
        <v/>
      </c>
      <c r="Z772" s="50">
        <f>Y773+T773+L773</f>
        <v/>
      </c>
      <c r="AA772" s="51">
        <f>Z773*20%</f>
        <v/>
      </c>
      <c r="AB772" s="49">
        <f>Z773+AA773</f>
        <v/>
      </c>
      <c r="AC772" s="44">
        <f>D773*2.1</f>
        <v/>
      </c>
      <c r="AD772" s="49">
        <f>AB773-AC773</f>
        <v/>
      </c>
      <c r="AE772" s="49">
        <f>AD773/AB773*100</f>
        <v/>
      </c>
      <c r="AF772" s="54" t="n">
        <v>590</v>
      </c>
      <c r="AG772" s="116">
        <f>((AF773-L773)/L773)*100</f>
        <v/>
      </c>
      <c r="AH772" s="54">
        <f>AJ773-AF773</f>
        <v/>
      </c>
      <c r="AI772" s="54">
        <f>AB773</f>
        <v/>
      </c>
      <c r="AJ772" s="54" t="n">
        <v>995</v>
      </c>
      <c r="AK772" s="55">
        <f>(AJ773-L773)/L773*100</f>
        <v/>
      </c>
      <c r="AL772" s="55" t="n"/>
      <c r="AM772" s="55">
        <f>AH773/AJ773%</f>
        <v/>
      </c>
      <c r="AN772" s="55">
        <f>AK773-AG773</f>
        <v/>
      </c>
      <c r="AO772" s="56">
        <f>AJ773/L773</f>
        <v/>
      </c>
      <c r="AP772" s="55">
        <f>(AJ773-AB773)/100</f>
        <v/>
      </c>
      <c r="AQ772" s="55">
        <f>(AJ773-AC773)/100</f>
        <v/>
      </c>
      <c r="AR772" s="57">
        <f>AI773/94</f>
        <v/>
      </c>
      <c r="AS772" s="57">
        <f>AJ773/94</f>
        <v/>
      </c>
      <c r="AT772" s="58">
        <f>AI773/24</f>
        <v/>
      </c>
      <c r="AU772" s="58">
        <f>AJ773/24</f>
        <v/>
      </c>
      <c r="AV772" s="58">
        <f>AI773/125</f>
        <v/>
      </c>
      <c r="AW772" s="58">
        <f>AJ773/125</f>
        <v/>
      </c>
      <c r="AX772" s="113" t="n"/>
      <c r="AY772" s="113" t="n"/>
    </row>
    <row r="773" ht="15.75" customHeight="1" s="258">
      <c r="A773" s="44" t="inlineStr">
        <is>
          <t>Tuning Forks 7 Chakra Set</t>
        </is>
      </c>
      <c r="B773" s="44" t="inlineStr">
        <is>
          <t>Weighted / With Gem Foot</t>
        </is>
      </c>
      <c r="C773" s="111" t="inlineStr">
        <is>
          <t>MI-TF-7C-WE-GF</t>
        </is>
      </c>
      <c r="D773" s="45" t="n">
        <v>3900</v>
      </c>
      <c r="E773" s="113" t="n"/>
      <c r="F773" s="44" t="n">
        <v>80</v>
      </c>
      <c r="G773" s="45" t="n">
        <v>9202</v>
      </c>
      <c r="H773" s="115" t="n">
        <v>0.18</v>
      </c>
      <c r="I773" s="44">
        <f>D774*H774</f>
        <v/>
      </c>
      <c r="J773" s="113" t="n"/>
      <c r="K773" s="44" t="n">
        <v>200</v>
      </c>
      <c r="L773" s="48">
        <f>K774+J774+I774+F774+E774+D774</f>
        <v/>
      </c>
      <c r="M773" s="44">
        <f>D774*1%</f>
        <v/>
      </c>
      <c r="N773" s="49">
        <f>L774*8%</f>
        <v/>
      </c>
      <c r="O773" s="49">
        <f>L774*10%</f>
        <v/>
      </c>
      <c r="P773" s="49">
        <f>L774*5%</f>
        <v/>
      </c>
      <c r="Q773" s="49">
        <f>L774*2%</f>
        <v/>
      </c>
      <c r="R773" s="49">
        <f>AC774*0.5%</f>
        <v/>
      </c>
      <c r="S773" s="49">
        <f>L774*1%</f>
        <v/>
      </c>
      <c r="T773" s="50">
        <f>S774+Q774+P774+O774+N774+M774</f>
        <v/>
      </c>
      <c r="U773" s="44">
        <f>AC774*1%</f>
        <v/>
      </c>
      <c r="V773" s="44">
        <f>AC774*5%</f>
        <v/>
      </c>
      <c r="W773" s="44">
        <f>AC774*1%</f>
        <v/>
      </c>
      <c r="X773" s="44">
        <f>AC774*8%</f>
        <v/>
      </c>
      <c r="Y773" s="44">
        <f>U774+V774+W774+X774</f>
        <v/>
      </c>
      <c r="Z773" s="50">
        <f>Y774+T774+L774</f>
        <v/>
      </c>
      <c r="AA773" s="51">
        <f>Z774*20%</f>
        <v/>
      </c>
      <c r="AB773" s="49">
        <f>Z774+AA774</f>
        <v/>
      </c>
      <c r="AC773" s="44">
        <f>D774*2.1</f>
        <v/>
      </c>
      <c r="AD773" s="49">
        <f>AB774-AC774</f>
        <v/>
      </c>
      <c r="AE773" s="49">
        <f>AD774/AB774*100</f>
        <v/>
      </c>
      <c r="AF773" s="54" t="n">
        <v>10250</v>
      </c>
      <c r="AG773" s="116">
        <f>((AF774-L774)/L774)*100</f>
        <v/>
      </c>
      <c r="AH773" s="54">
        <f>AJ774-AF774</f>
        <v/>
      </c>
      <c r="AI773" s="54">
        <f>AB774</f>
        <v/>
      </c>
      <c r="AJ773" s="54" t="n">
        <v>9750</v>
      </c>
      <c r="AK773" s="55">
        <f>(AJ774-L774)/L774*100</f>
        <v/>
      </c>
      <c r="AL773" s="55" t="n"/>
      <c r="AM773" s="55">
        <f>AH774/AJ774%</f>
        <v/>
      </c>
      <c r="AN773" s="55">
        <f>AK774-AG774</f>
        <v/>
      </c>
      <c r="AO773" s="56">
        <f>AJ774/L774</f>
        <v/>
      </c>
      <c r="AP773" s="55">
        <f>(AJ774-AB774)/100</f>
        <v/>
      </c>
      <c r="AQ773" s="55">
        <f>(AJ774-AC774)/100</f>
        <v/>
      </c>
      <c r="AR773" s="57">
        <f>AI774/94</f>
        <v/>
      </c>
      <c r="AS773" s="57">
        <f>AJ774/94</f>
        <v/>
      </c>
      <c r="AT773" s="58">
        <f>AI774/24</f>
        <v/>
      </c>
      <c r="AU773" s="58">
        <f>AJ774/24</f>
        <v/>
      </c>
      <c r="AV773" s="58">
        <f>AI774/125</f>
        <v/>
      </c>
      <c r="AW773" s="58">
        <f>AJ774/125</f>
        <v/>
      </c>
      <c r="AX773" s="113" t="n"/>
      <c r="AY773" s="113" t="n"/>
    </row>
    <row r="774" ht="15" customHeight="1" s="258">
      <c r="A774" s="44" t="n"/>
      <c r="B774" s="44" t="inlineStr">
        <is>
          <t>Weighted / Without Gem Foot</t>
        </is>
      </c>
      <c r="C774" s="111" t="inlineStr">
        <is>
          <t>MI-TF-7C-WE-NGF</t>
        </is>
      </c>
      <c r="D774" s="45" t="n">
        <v>3400</v>
      </c>
      <c r="E774" s="113" t="n"/>
      <c r="F774" s="44" t="n">
        <v>80</v>
      </c>
      <c r="G774" s="45" t="n">
        <v>9202</v>
      </c>
      <c r="H774" s="115" t="n">
        <v>0.18</v>
      </c>
      <c r="I774" s="44">
        <f>D775*H775</f>
        <v/>
      </c>
      <c r="J774" s="113" t="n"/>
      <c r="K774" s="44" t="n">
        <v>200</v>
      </c>
      <c r="L774" s="48">
        <f>K775+J775+I775+F775+E775+D775</f>
        <v/>
      </c>
      <c r="M774" s="44">
        <f>D775*1%</f>
        <v/>
      </c>
      <c r="N774" s="49">
        <f>L775*8%</f>
        <v/>
      </c>
      <c r="O774" s="49">
        <f>L775*10%</f>
        <v/>
      </c>
      <c r="P774" s="49">
        <f>L775*5%</f>
        <v/>
      </c>
      <c r="Q774" s="49">
        <f>L775*2%</f>
        <v/>
      </c>
      <c r="R774" s="49">
        <f>AC775*0.5%</f>
        <v/>
      </c>
      <c r="S774" s="49">
        <f>L775*1%</f>
        <v/>
      </c>
      <c r="T774" s="50">
        <f>S775+Q775+P775+O775+N775+M775</f>
        <v/>
      </c>
      <c r="U774" s="44">
        <f>AC775*1%</f>
        <v/>
      </c>
      <c r="V774" s="44">
        <f>AC775*5%</f>
        <v/>
      </c>
      <c r="W774" s="44">
        <f>AC775*1%</f>
        <v/>
      </c>
      <c r="X774" s="44">
        <f>AC775*8%</f>
        <v/>
      </c>
      <c r="Y774" s="44">
        <f>U775+V775+W775+X775</f>
        <v/>
      </c>
      <c r="Z774" s="50">
        <f>Y775+T775+L775</f>
        <v/>
      </c>
      <c r="AA774" s="51">
        <f>Z775*20%</f>
        <v/>
      </c>
      <c r="AB774" s="49">
        <f>Z775+AA775</f>
        <v/>
      </c>
      <c r="AC774" s="44">
        <f>D775*2.1</f>
        <v/>
      </c>
      <c r="AD774" s="49">
        <f>AB775-AC775</f>
        <v/>
      </c>
      <c r="AE774" s="49">
        <f>AD775/AB775*100</f>
        <v/>
      </c>
      <c r="AF774" s="54" t="n">
        <v>9990</v>
      </c>
      <c r="AG774" s="116">
        <f>((AF775-L775)/L775)*100</f>
        <v/>
      </c>
      <c r="AH774" s="54">
        <f>AJ775-AF775</f>
        <v/>
      </c>
      <c r="AI774" s="54">
        <f>AB775</f>
        <v/>
      </c>
      <c r="AJ774" s="54" t="n">
        <v>8750</v>
      </c>
      <c r="AK774" s="55">
        <f>(AJ775-L775)/L775*100</f>
        <v/>
      </c>
      <c r="AL774" s="55" t="n"/>
      <c r="AM774" s="55">
        <f>AH775/AJ775%</f>
        <v/>
      </c>
      <c r="AN774" s="55">
        <f>AK775-AG775</f>
        <v/>
      </c>
      <c r="AO774" s="56">
        <f>AJ775/L775</f>
        <v/>
      </c>
      <c r="AP774" s="55">
        <f>(AJ775-AB775)/100</f>
        <v/>
      </c>
      <c r="AQ774" s="55">
        <f>(AJ775-AC775)/100</f>
        <v/>
      </c>
      <c r="AR774" s="57">
        <f>AI775/94</f>
        <v/>
      </c>
      <c r="AS774" s="57">
        <f>AJ775/94</f>
        <v/>
      </c>
      <c r="AT774" s="58">
        <f>AI775/24</f>
        <v/>
      </c>
      <c r="AU774" s="58">
        <f>AJ775/24</f>
        <v/>
      </c>
      <c r="AV774" s="58">
        <f>AI775/125</f>
        <v/>
      </c>
      <c r="AW774" s="58">
        <f>AJ775/125</f>
        <v/>
      </c>
      <c r="AX774" s="113" t="n"/>
      <c r="AY774" s="113" t="n"/>
    </row>
    <row r="775" ht="15.75" customHeight="1" s="258">
      <c r="A775" s="44" t="n"/>
      <c r="B775" s="44" t="inlineStr">
        <is>
          <t>Colour Weighted / With Gem Foot</t>
        </is>
      </c>
      <c r="C775" s="111" t="inlineStr">
        <is>
          <t>MI-TF-7C-CWE-GF</t>
        </is>
      </c>
      <c r="D775" s="45" t="n">
        <v>4670</v>
      </c>
      <c r="E775" s="44" t="n">
        <v>0</v>
      </c>
      <c r="F775" s="44" t="n">
        <v>80</v>
      </c>
      <c r="G775" s="45" t="n">
        <v>9202</v>
      </c>
      <c r="H775" s="115" t="n">
        <v>0.18</v>
      </c>
      <c r="I775" s="44">
        <f>D776*H776</f>
        <v/>
      </c>
      <c r="J775" s="113" t="n"/>
      <c r="K775" s="44" t="n">
        <v>200</v>
      </c>
      <c r="L775" s="48">
        <f>K776+J776+I776+F776+E776+D776</f>
        <v/>
      </c>
      <c r="M775" s="44">
        <f>D776*1%</f>
        <v/>
      </c>
      <c r="N775" s="49">
        <f>L776*8%</f>
        <v/>
      </c>
      <c r="O775" s="49">
        <f>L776*10%</f>
        <v/>
      </c>
      <c r="P775" s="49">
        <f>L776*5%</f>
        <v/>
      </c>
      <c r="Q775" s="49">
        <f>L776*2%</f>
        <v/>
      </c>
      <c r="R775" s="49">
        <f>AC776*0.5%</f>
        <v/>
      </c>
      <c r="S775" s="49">
        <f>L776*1%</f>
        <v/>
      </c>
      <c r="T775" s="50">
        <f>S776+Q776+P776+O776+N776+M776</f>
        <v/>
      </c>
      <c r="U775" s="44">
        <f>AC776*1%</f>
        <v/>
      </c>
      <c r="V775" s="44">
        <f>AC776*5%</f>
        <v/>
      </c>
      <c r="W775" s="44">
        <f>AC776*1%</f>
        <v/>
      </c>
      <c r="X775" s="44">
        <f>AC776*8%</f>
        <v/>
      </c>
      <c r="Y775" s="44">
        <f>U776+V776+W776+X776</f>
        <v/>
      </c>
      <c r="Z775" s="50">
        <f>Y776+T776+L776</f>
        <v/>
      </c>
      <c r="AA775" s="51">
        <f>Z776*20%</f>
        <v/>
      </c>
      <c r="AB775" s="49">
        <f>Z776+AA776</f>
        <v/>
      </c>
      <c r="AC775" s="44">
        <f>D776*2.1</f>
        <v/>
      </c>
      <c r="AD775" s="49">
        <f>AB776-AC776</f>
        <v/>
      </c>
      <c r="AE775" s="49">
        <f>AD776/AB776*100</f>
        <v/>
      </c>
      <c r="AF775" s="54" t="n">
        <v>11250</v>
      </c>
      <c r="AG775" s="116">
        <f>((AF776-L776)/L776)*100</f>
        <v/>
      </c>
      <c r="AH775" s="54">
        <f>AJ776-AF776</f>
        <v/>
      </c>
      <c r="AI775" s="54">
        <f>AB776</f>
        <v/>
      </c>
      <c r="AJ775" s="54" t="n">
        <v>10950</v>
      </c>
      <c r="AK775" s="55">
        <f>(AJ776-L776)/L776*100</f>
        <v/>
      </c>
      <c r="AL775" s="55" t="n"/>
      <c r="AM775" s="55">
        <f>AH776/AJ776%</f>
        <v/>
      </c>
      <c r="AN775" s="55">
        <f>AK776-AG776</f>
        <v/>
      </c>
      <c r="AO775" s="56">
        <f>AJ776/L776</f>
        <v/>
      </c>
      <c r="AP775" s="55">
        <f>(AJ776-AB776)/100</f>
        <v/>
      </c>
      <c r="AQ775" s="55">
        <f>(AJ776-AC776)/100</f>
        <v/>
      </c>
      <c r="AR775" s="57">
        <f>AI776/94</f>
        <v/>
      </c>
      <c r="AS775" s="57">
        <f>AJ776/94</f>
        <v/>
      </c>
      <c r="AT775" s="58">
        <f>AI776/24</f>
        <v/>
      </c>
      <c r="AU775" s="58">
        <f>AJ776/24</f>
        <v/>
      </c>
      <c r="AV775" s="58">
        <f>AI776/125</f>
        <v/>
      </c>
      <c r="AW775" s="58">
        <f>AJ776/125</f>
        <v/>
      </c>
      <c r="AX775" s="113" t="n"/>
      <c r="AY775" s="113" t="n"/>
    </row>
    <row r="776" ht="15.75" customHeight="1" s="258">
      <c r="A776" s="44" t="n"/>
      <c r="B776" s="44" t="inlineStr">
        <is>
          <t>Colour Weighted / Without Gem Foot</t>
        </is>
      </c>
      <c r="C776" s="111" t="inlineStr">
        <is>
          <t>MI-TF-7C-CWE-NGF</t>
        </is>
      </c>
      <c r="D776" s="45" t="n">
        <v>4170</v>
      </c>
      <c r="E776" s="44" t="n">
        <v>0</v>
      </c>
      <c r="F776" s="44" t="n">
        <v>80</v>
      </c>
      <c r="G776" s="45" t="n">
        <v>9202</v>
      </c>
      <c r="H776" s="115" t="n">
        <v>0.18</v>
      </c>
      <c r="I776" s="44">
        <f>D777*H777</f>
        <v/>
      </c>
      <c r="J776" s="113" t="n"/>
      <c r="K776" s="44" t="n">
        <v>200</v>
      </c>
      <c r="L776" s="48">
        <f>K777+J777+I777+F777+E777+D777</f>
        <v/>
      </c>
      <c r="M776" s="44">
        <f>D777*1%</f>
        <v/>
      </c>
      <c r="N776" s="49">
        <f>L777*8%</f>
        <v/>
      </c>
      <c r="O776" s="49">
        <f>L777*10%</f>
        <v/>
      </c>
      <c r="P776" s="49">
        <f>L777*5%</f>
        <v/>
      </c>
      <c r="Q776" s="49">
        <f>L777*2%</f>
        <v/>
      </c>
      <c r="R776" s="49">
        <f>AC777*0.5%</f>
        <v/>
      </c>
      <c r="S776" s="49">
        <f>L777*1%</f>
        <v/>
      </c>
      <c r="T776" s="50">
        <f>S777+Q777+P777+O777+N777+M777</f>
        <v/>
      </c>
      <c r="U776" s="44">
        <f>AC777*1%</f>
        <v/>
      </c>
      <c r="V776" s="44">
        <f>AC777*5%</f>
        <v/>
      </c>
      <c r="W776" s="44">
        <f>AC777*1%</f>
        <v/>
      </c>
      <c r="X776" s="44">
        <f>AC777*8%</f>
        <v/>
      </c>
      <c r="Y776" s="44">
        <f>U777+V777+W777+X777</f>
        <v/>
      </c>
      <c r="Z776" s="50">
        <f>Y777+T777+L777</f>
        <v/>
      </c>
      <c r="AA776" s="51">
        <f>Z777*20%</f>
        <v/>
      </c>
      <c r="AB776" s="49">
        <f>Z777+AA777</f>
        <v/>
      </c>
      <c r="AC776" s="44">
        <f>D777*2.1</f>
        <v/>
      </c>
      <c r="AD776" s="49">
        <f>AB777-AC777</f>
        <v/>
      </c>
      <c r="AE776" s="49">
        <f>AD777/AB777*100</f>
        <v/>
      </c>
      <c r="AF776" s="54" t="n">
        <v>10990</v>
      </c>
      <c r="AG776" s="116">
        <f>((AF777-L777)/L777)*100</f>
        <v/>
      </c>
      <c r="AH776" s="54">
        <f>AJ777-AF777</f>
        <v/>
      </c>
      <c r="AI776" s="54">
        <f>AB777</f>
        <v/>
      </c>
      <c r="AJ776" s="54" t="n">
        <v>9950</v>
      </c>
      <c r="AK776" s="55">
        <f>(AJ777-L777)/L777*100</f>
        <v/>
      </c>
      <c r="AL776" s="55" t="n"/>
      <c r="AM776" s="55">
        <f>AH777/AJ777%</f>
        <v/>
      </c>
      <c r="AN776" s="55">
        <f>AK777-AG777</f>
        <v/>
      </c>
      <c r="AO776" s="56">
        <f>AJ777/L777</f>
        <v/>
      </c>
      <c r="AP776" s="55">
        <f>(AJ777-AB777)/100</f>
        <v/>
      </c>
      <c r="AQ776" s="55">
        <f>(AJ777-AC777)/100</f>
        <v/>
      </c>
      <c r="AR776" s="57">
        <f>AI777/94</f>
        <v/>
      </c>
      <c r="AS776" s="57">
        <f>AJ777/94</f>
        <v/>
      </c>
      <c r="AT776" s="58">
        <f>AI777/24</f>
        <v/>
      </c>
      <c r="AU776" s="58">
        <f>AJ777/24</f>
        <v/>
      </c>
      <c r="AV776" s="58">
        <f>AI777/125</f>
        <v/>
      </c>
      <c r="AW776" s="58">
        <f>AJ777/125</f>
        <v/>
      </c>
      <c r="AX776" s="113" t="n"/>
      <c r="AY776" s="113" t="n"/>
    </row>
    <row r="777" ht="15.75" customHeight="1" s="258">
      <c r="A777" s="44" t="n"/>
      <c r="B777" s="44" t="inlineStr">
        <is>
          <t>Unweighted / With Gem Foot</t>
        </is>
      </c>
      <c r="C777" s="111" t="inlineStr">
        <is>
          <t>MI-TF-7C-UW-GF</t>
        </is>
      </c>
      <c r="D777" s="45" t="n">
        <v>2900</v>
      </c>
      <c r="E777" s="113" t="n"/>
      <c r="F777" s="44" t="n">
        <v>80</v>
      </c>
      <c r="G777" s="45" t="n">
        <v>9202</v>
      </c>
      <c r="H777" s="115" t="n">
        <v>0.18</v>
      </c>
      <c r="I777" s="44">
        <f>D778*H778</f>
        <v/>
      </c>
      <c r="J777" s="113" t="n"/>
      <c r="K777" s="44" t="n">
        <v>200</v>
      </c>
      <c r="L777" s="48">
        <f>K778+J778+I778+F778+E778+D778</f>
        <v/>
      </c>
      <c r="M777" s="44">
        <f>D775*1%</f>
        <v/>
      </c>
      <c r="N777" s="49">
        <f>L778*8%</f>
        <v/>
      </c>
      <c r="O777" s="49">
        <f>L778*10%</f>
        <v/>
      </c>
      <c r="P777" s="49">
        <f>L778*5%</f>
        <v/>
      </c>
      <c r="Q777" s="49">
        <f>L778*2%</f>
        <v/>
      </c>
      <c r="R777" s="49">
        <f>AC778*0.5%</f>
        <v/>
      </c>
      <c r="S777" s="49">
        <f>L778*1%</f>
        <v/>
      </c>
      <c r="T777" s="50">
        <f>S778+Q778+P778+O778+N778+M778</f>
        <v/>
      </c>
      <c r="U777" s="44">
        <f>AC778*1%</f>
        <v/>
      </c>
      <c r="V777" s="44">
        <f>AC778*5%</f>
        <v/>
      </c>
      <c r="W777" s="44">
        <f>AC778*1%</f>
        <v/>
      </c>
      <c r="X777" s="44">
        <f>AC778*8%</f>
        <v/>
      </c>
      <c r="Y777" s="44">
        <f>U778+V778+W778+X778</f>
        <v/>
      </c>
      <c r="Z777" s="50">
        <f>Y778+T778+L778</f>
        <v/>
      </c>
      <c r="AA777" s="51">
        <f>Z778*20%</f>
        <v/>
      </c>
      <c r="AB777" s="49">
        <f>Z778+AA778</f>
        <v/>
      </c>
      <c r="AC777" s="44">
        <f>D778*2.1</f>
        <v/>
      </c>
      <c r="AD777" s="49">
        <f>AB778-AC778</f>
        <v/>
      </c>
      <c r="AE777" s="49">
        <f>AD778/AB778*100</f>
        <v/>
      </c>
      <c r="AF777" s="54" t="n">
        <v>8250</v>
      </c>
      <c r="AG777" s="116">
        <f>((AF778-L778)/L778)*100</f>
        <v/>
      </c>
      <c r="AH777" s="54">
        <f>AJ778-AF778</f>
        <v/>
      </c>
      <c r="AI777" s="54">
        <f>AB778</f>
        <v/>
      </c>
      <c r="AJ777" s="54" t="n">
        <v>7650</v>
      </c>
      <c r="AK777" s="55">
        <f>(AJ778-L778)/L778*100</f>
        <v/>
      </c>
      <c r="AL777" s="55" t="n"/>
      <c r="AM777" s="55">
        <f>AH778/AJ778%</f>
        <v/>
      </c>
      <c r="AN777" s="55">
        <f>AK778-AG778</f>
        <v/>
      </c>
      <c r="AO777" s="56">
        <f>AJ778/L778</f>
        <v/>
      </c>
      <c r="AP777" s="55">
        <f>(AJ778-AB778)/100</f>
        <v/>
      </c>
      <c r="AQ777" s="55">
        <f>(AJ778-AC778)/100</f>
        <v/>
      </c>
      <c r="AR777" s="57">
        <f>AI778/94</f>
        <v/>
      </c>
      <c r="AS777" s="57">
        <f>AJ778/94</f>
        <v/>
      </c>
      <c r="AT777" s="58">
        <f>AI778/24</f>
        <v/>
      </c>
      <c r="AU777" s="58">
        <f>AJ778/24</f>
        <v/>
      </c>
      <c r="AV777" s="58">
        <f>AI778/125</f>
        <v/>
      </c>
      <c r="AW777" s="58">
        <f>AJ778/125</f>
        <v/>
      </c>
      <c r="AX777" s="113" t="n"/>
      <c r="AY777" s="113" t="n"/>
    </row>
    <row r="778" ht="15.75" customHeight="1" s="258">
      <c r="A778" s="44" t="n"/>
      <c r="B778" s="44" t="inlineStr">
        <is>
          <t>Unweighted / Without Gem Foot</t>
        </is>
      </c>
      <c r="C778" s="111" t="inlineStr">
        <is>
          <t>MI-TF-7C-UW-NGF</t>
        </is>
      </c>
      <c r="D778" s="45" t="n">
        <v>2400</v>
      </c>
      <c r="E778" s="44" t="n">
        <v>0</v>
      </c>
      <c r="F778" s="44" t="n">
        <v>80</v>
      </c>
      <c r="G778" s="45" t="n">
        <v>9202</v>
      </c>
      <c r="H778" s="115" t="n">
        <v>0.18</v>
      </c>
      <c r="I778" s="44">
        <f>D779*H779</f>
        <v/>
      </c>
      <c r="J778" s="113" t="n"/>
      <c r="K778" s="44" t="n">
        <v>200</v>
      </c>
      <c r="L778" s="48">
        <f>K779+J779+I779+F779+E779+D779</f>
        <v/>
      </c>
      <c r="M778" s="44">
        <f>D779*1%</f>
        <v/>
      </c>
      <c r="N778" s="49">
        <f>L779*8%</f>
        <v/>
      </c>
      <c r="O778" s="49">
        <f>L779*10%</f>
        <v/>
      </c>
      <c r="P778" s="49">
        <f>L779*5%</f>
        <v/>
      </c>
      <c r="Q778" s="49">
        <f>L779*2%</f>
        <v/>
      </c>
      <c r="R778" s="49">
        <f>AC779*0.5%</f>
        <v/>
      </c>
      <c r="S778" s="49">
        <f>L779*1%</f>
        <v/>
      </c>
      <c r="T778" s="50">
        <f>S779+Q779+P779+O779+N779+M779</f>
        <v/>
      </c>
      <c r="U778" s="44">
        <f>AC779*1%</f>
        <v/>
      </c>
      <c r="V778" s="44">
        <f>AC779*5%</f>
        <v/>
      </c>
      <c r="W778" s="44">
        <f>AC779*1%</f>
        <v/>
      </c>
      <c r="X778" s="44">
        <f>AC779*8%</f>
        <v/>
      </c>
      <c r="Y778" s="44">
        <f>U779+V779+W779+X779</f>
        <v/>
      </c>
      <c r="Z778" s="50">
        <f>Y779+T779+L779</f>
        <v/>
      </c>
      <c r="AA778" s="51">
        <f>Z779*20%</f>
        <v/>
      </c>
      <c r="AB778" s="49">
        <f>Z779+AA779</f>
        <v/>
      </c>
      <c r="AC778" s="44">
        <f>D779*2.1</f>
        <v/>
      </c>
      <c r="AD778" s="49">
        <f>AB779-AC779</f>
        <v/>
      </c>
      <c r="AE778" s="49">
        <f>AD779/AB779*100</f>
        <v/>
      </c>
      <c r="AF778" s="54" t="n">
        <v>7990</v>
      </c>
      <c r="AG778" s="116">
        <f>((AF779-L779)/L779)*100</f>
        <v/>
      </c>
      <c r="AH778" s="54">
        <f>AJ779-AF779</f>
        <v/>
      </c>
      <c r="AI778" s="54">
        <f>AB779</f>
        <v/>
      </c>
      <c r="AJ778" s="54" t="n">
        <v>6650</v>
      </c>
      <c r="AK778" s="55">
        <f>(AJ779-L779)/L779*100</f>
        <v/>
      </c>
      <c r="AL778" s="55" t="n"/>
      <c r="AM778" s="55">
        <f>AH779/AJ779%</f>
        <v/>
      </c>
      <c r="AN778" s="55">
        <f>AK779-AG779</f>
        <v/>
      </c>
      <c r="AO778" s="56">
        <f>AJ779/L779</f>
        <v/>
      </c>
      <c r="AP778" s="55">
        <f>(AJ779-AB779)/100</f>
        <v/>
      </c>
      <c r="AQ778" s="55">
        <f>(AJ779-AC779)/100</f>
        <v/>
      </c>
      <c r="AR778" s="57">
        <f>AI779/94</f>
        <v/>
      </c>
      <c r="AS778" s="57">
        <f>AJ779/94</f>
        <v/>
      </c>
      <c r="AT778" s="58">
        <f>AI779/24</f>
        <v/>
      </c>
      <c r="AU778" s="58">
        <f>AJ779/24</f>
        <v/>
      </c>
      <c r="AV778" s="58">
        <f>AI779/125</f>
        <v/>
      </c>
      <c r="AW778" s="58">
        <f>AJ779/125</f>
        <v/>
      </c>
      <c r="AX778" s="113" t="n"/>
      <c r="AY778" s="113" t="n"/>
    </row>
    <row r="779" ht="15.75" customHeight="1" s="258">
      <c r="A779" s="44" t="n"/>
      <c r="B779" s="44" t="inlineStr">
        <is>
          <t>Colour Unweighted / With Gem Foot</t>
        </is>
      </c>
      <c r="C779" s="111" t="inlineStr">
        <is>
          <t>MI-TF-7C-CUW-GF</t>
        </is>
      </c>
      <c r="D779" s="45" t="n">
        <v>3000</v>
      </c>
      <c r="E779" s="44" t="n">
        <v>0</v>
      </c>
      <c r="F779" s="44" t="n">
        <v>80</v>
      </c>
      <c r="G779" s="45" t="n">
        <v>9202</v>
      </c>
      <c r="H779" s="115" t="n">
        <v>0.18</v>
      </c>
      <c r="I779" s="44">
        <f>D780*H780</f>
        <v/>
      </c>
      <c r="J779" s="113" t="n"/>
      <c r="K779" s="44" t="n">
        <v>200</v>
      </c>
      <c r="L779" s="48">
        <f>K780+J780+I780+F780+E780+D780</f>
        <v/>
      </c>
      <c r="M779" s="44">
        <f>D780*1%</f>
        <v/>
      </c>
      <c r="N779" s="49">
        <f>L780*8%</f>
        <v/>
      </c>
      <c r="O779" s="49">
        <f>L780*10%</f>
        <v/>
      </c>
      <c r="P779" s="49">
        <f>L780*5%</f>
        <v/>
      </c>
      <c r="Q779" s="49">
        <f>L780*2%</f>
        <v/>
      </c>
      <c r="R779" s="49">
        <f>AC780*0.5%</f>
        <v/>
      </c>
      <c r="S779" s="49">
        <f>L780*1%</f>
        <v/>
      </c>
      <c r="T779" s="50">
        <f>S780+Q780+P780+O780+N780+M780</f>
        <v/>
      </c>
      <c r="U779" s="44">
        <f>AC780*1%</f>
        <v/>
      </c>
      <c r="V779" s="44">
        <f>AC780*5%</f>
        <v/>
      </c>
      <c r="W779" s="44">
        <f>AC780*1%</f>
        <v/>
      </c>
      <c r="X779" s="44">
        <f>AC780*8%</f>
        <v/>
      </c>
      <c r="Y779" s="44">
        <f>U780+V780+W780+X780</f>
        <v/>
      </c>
      <c r="Z779" s="50">
        <f>Y780+T780+L780</f>
        <v/>
      </c>
      <c r="AA779" s="51">
        <f>Z780*20%</f>
        <v/>
      </c>
      <c r="AB779" s="49">
        <f>Z780+AA780</f>
        <v/>
      </c>
      <c r="AC779" s="44">
        <f>D780*2.1</f>
        <v/>
      </c>
      <c r="AD779" s="49">
        <f>AB780-AC780</f>
        <v/>
      </c>
      <c r="AE779" s="49">
        <f>AD780/AB780*100</f>
        <v/>
      </c>
      <c r="AF779" s="54" t="n">
        <v>9150</v>
      </c>
      <c r="AG779" s="116">
        <f>((AF780-L780)/L780)*100</f>
        <v/>
      </c>
      <c r="AH779" s="54">
        <f>AJ780-AF780</f>
        <v/>
      </c>
      <c r="AI779" s="54">
        <f>AB780</f>
        <v/>
      </c>
      <c r="AJ779" s="54" t="n">
        <v>8450</v>
      </c>
      <c r="AK779" s="55">
        <f>(AJ780-L780)/L780*100</f>
        <v/>
      </c>
      <c r="AL779" s="55" t="n"/>
      <c r="AM779" s="55">
        <f>AH780/AJ780%</f>
        <v/>
      </c>
      <c r="AN779" s="55">
        <f>AK780-AG780</f>
        <v/>
      </c>
      <c r="AO779" s="56">
        <f>AJ780/L780</f>
        <v/>
      </c>
      <c r="AP779" s="55">
        <f>(AJ780-AB780)/100</f>
        <v/>
      </c>
      <c r="AQ779" s="55">
        <f>(AJ780-AC780)/100</f>
        <v/>
      </c>
      <c r="AR779" s="57">
        <f>AI780/94</f>
        <v/>
      </c>
      <c r="AS779" s="57">
        <f>AJ780/94</f>
        <v/>
      </c>
      <c r="AT779" s="58">
        <f>AI780/24</f>
        <v/>
      </c>
      <c r="AU779" s="58">
        <f>AJ780/24</f>
        <v/>
      </c>
      <c r="AV779" s="58">
        <f>AI780/125</f>
        <v/>
      </c>
      <c r="AW779" s="58">
        <f>AJ780/125</f>
        <v/>
      </c>
      <c r="AX779" s="113" t="n"/>
      <c r="AY779" s="113" t="n"/>
    </row>
    <row r="780" ht="15.75" customHeight="1" s="258">
      <c r="A780" s="44" t="n"/>
      <c r="B780" s="44" t="inlineStr">
        <is>
          <t>Colour Unweighted / Without Gem Foot</t>
        </is>
      </c>
      <c r="C780" s="111" t="inlineStr">
        <is>
          <t>MI-TF-7C-CUW-NGF</t>
        </is>
      </c>
      <c r="D780" s="45" t="n">
        <v>2500</v>
      </c>
      <c r="E780" s="44" t="n">
        <v>0</v>
      </c>
      <c r="F780" s="44" t="n">
        <v>80</v>
      </c>
      <c r="G780" s="45" t="n">
        <v>9202</v>
      </c>
      <c r="H780" s="115" t="n">
        <v>0.18</v>
      </c>
      <c r="I780" s="44">
        <f>D781*H781</f>
        <v/>
      </c>
      <c r="J780" s="113" t="n"/>
      <c r="K780" s="44" t="n">
        <v>200</v>
      </c>
      <c r="L780" s="48">
        <f>K781+J781+I781+F781+E781+D781</f>
        <v/>
      </c>
      <c r="M780" s="44">
        <f>D781*1%</f>
        <v/>
      </c>
      <c r="N780" s="49">
        <f>L781*8%</f>
        <v/>
      </c>
      <c r="O780" s="49">
        <f>L781*10%</f>
        <v/>
      </c>
      <c r="P780" s="49">
        <f>L781*5%</f>
        <v/>
      </c>
      <c r="Q780" s="49">
        <f>L781*2%</f>
        <v/>
      </c>
      <c r="R780" s="49">
        <f>AC781*0.5%</f>
        <v/>
      </c>
      <c r="S780" s="49">
        <f>L781*1%</f>
        <v/>
      </c>
      <c r="T780" s="50">
        <f>S781+Q781+P781+O781+N781+M781</f>
        <v/>
      </c>
      <c r="U780" s="44">
        <f>AC781*1%</f>
        <v/>
      </c>
      <c r="V780" s="44">
        <f>AC781*5%</f>
        <v/>
      </c>
      <c r="W780" s="44">
        <f>AC781*1%</f>
        <v/>
      </c>
      <c r="X780" s="44">
        <f>AC781*8%</f>
        <v/>
      </c>
      <c r="Y780" s="44">
        <f>U781+V781+W781+X781</f>
        <v/>
      </c>
      <c r="Z780" s="50">
        <f>Y781+T781+L781</f>
        <v/>
      </c>
      <c r="AA780" s="51">
        <f>Z781*20%</f>
        <v/>
      </c>
      <c r="AB780" s="49">
        <f>Z781+AA781</f>
        <v/>
      </c>
      <c r="AC780" s="44">
        <f>D781*2.1</f>
        <v/>
      </c>
      <c r="AD780" s="49">
        <f>AB781-AC781</f>
        <v/>
      </c>
      <c r="AE780" s="49">
        <f>AD781/AB781*100</f>
        <v/>
      </c>
      <c r="AF780" s="54" t="n">
        <v>8900</v>
      </c>
      <c r="AG780" s="116">
        <f>((AF781-L781)/L781)*100</f>
        <v/>
      </c>
      <c r="AH780" s="54">
        <f>AJ781-AF781</f>
        <v/>
      </c>
      <c r="AI780" s="54">
        <f>AB781</f>
        <v/>
      </c>
      <c r="AJ780" s="54" t="n">
        <v>7450</v>
      </c>
      <c r="AK780" s="55">
        <f>(AJ781-L781)/L781*100</f>
        <v/>
      </c>
      <c r="AL780" s="55" t="n"/>
      <c r="AM780" s="55">
        <f>AH781/AJ781%</f>
        <v/>
      </c>
      <c r="AN780" s="55">
        <f>AK781-AG781</f>
        <v/>
      </c>
      <c r="AO780" s="56">
        <f>AJ781/L781</f>
        <v/>
      </c>
      <c r="AP780" s="55">
        <f>(AJ781-AB781)/100</f>
        <v/>
      </c>
      <c r="AQ780" s="55">
        <f>(AJ781-AC781)/100</f>
        <v/>
      </c>
      <c r="AR780" s="57">
        <f>AI781/94</f>
        <v/>
      </c>
      <c r="AS780" s="57">
        <f>AJ781/94</f>
        <v/>
      </c>
      <c r="AT780" s="58">
        <f>AI781/24</f>
        <v/>
      </c>
      <c r="AU780" s="58">
        <f>AJ781/24</f>
        <v/>
      </c>
      <c r="AV780" s="58">
        <f>AI781/125</f>
        <v/>
      </c>
      <c r="AW780" s="58">
        <f>AJ781/125</f>
        <v/>
      </c>
      <c r="AX780" s="113" t="n"/>
      <c r="AY780" s="113" t="n"/>
    </row>
    <row r="781" ht="15.75" customHeight="1" s="258">
      <c r="A781" s="44" t="inlineStr">
        <is>
          <t>Tuning Forks Gem Feet</t>
        </is>
      </c>
      <c r="B781" s="44" t="inlineStr">
        <is>
          <t>Maroon</t>
        </is>
      </c>
      <c r="C781" s="111" t="inlineStr">
        <is>
          <t>MI-TFGF-M</t>
        </is>
      </c>
      <c r="D781" s="45" t="n">
        <v>80</v>
      </c>
      <c r="E781" s="44" t="n">
        <v>0</v>
      </c>
      <c r="F781" s="44" t="n">
        <v>50</v>
      </c>
      <c r="G781" s="45" t="n">
        <v>9202</v>
      </c>
      <c r="H781" s="115" t="n">
        <v>0.18</v>
      </c>
      <c r="I781" s="44">
        <f>D782*H782</f>
        <v/>
      </c>
      <c r="J781" s="113" t="n"/>
      <c r="K781" s="44" t="n">
        <v>20</v>
      </c>
      <c r="L781" s="48">
        <f>K782+J782+I782+F782+E782+D782</f>
        <v/>
      </c>
      <c r="M781" s="44">
        <f>D782*1%</f>
        <v/>
      </c>
      <c r="N781" s="49">
        <f>L782*8%</f>
        <v/>
      </c>
      <c r="O781" s="49">
        <f>L782*10%</f>
        <v/>
      </c>
      <c r="P781" s="49">
        <f>L782*5%</f>
        <v/>
      </c>
      <c r="Q781" s="49">
        <f>L782*2%</f>
        <v/>
      </c>
      <c r="R781" s="49">
        <f>AC782*0.5%</f>
        <v/>
      </c>
      <c r="S781" s="49">
        <f>L782*1%</f>
        <v/>
      </c>
      <c r="T781" s="50">
        <f>S782+Q782+P782+O782+N782+M782</f>
        <v/>
      </c>
      <c r="U781" s="44">
        <f>AC782*1%</f>
        <v/>
      </c>
      <c r="V781" s="44">
        <f>AC782*5%</f>
        <v/>
      </c>
      <c r="W781" s="44">
        <f>AC782*1%</f>
        <v/>
      </c>
      <c r="X781" s="44">
        <f>AC782*8%</f>
        <v/>
      </c>
      <c r="Y781" s="44">
        <f>U782+V782+W782+X782</f>
        <v/>
      </c>
      <c r="Z781" s="50">
        <f>Y782+T782+L782</f>
        <v/>
      </c>
      <c r="AA781" s="51">
        <f>Z782*20%</f>
        <v/>
      </c>
      <c r="AB781" s="49">
        <f>Z782+AA782</f>
        <v/>
      </c>
      <c r="AC781" s="44">
        <f>D782*2.1</f>
        <v/>
      </c>
      <c r="AD781" s="49">
        <f>AB782-AC782</f>
        <v/>
      </c>
      <c r="AE781" s="49">
        <f>AD782/AB782*100</f>
        <v/>
      </c>
      <c r="AF781" s="113" t="n">
        <v>250</v>
      </c>
      <c r="AG781" s="116">
        <f>((AF782-L782)/L782)*100</f>
        <v/>
      </c>
      <c r="AH781" s="54">
        <f>AJ782-AF782</f>
        <v/>
      </c>
      <c r="AI781" s="54">
        <f>AB782</f>
        <v/>
      </c>
      <c r="AJ781" s="54" t="n">
        <v>325</v>
      </c>
      <c r="AK781" s="55">
        <f>(AJ782-L782)/L782*100</f>
        <v/>
      </c>
      <c r="AL781" s="55" t="n"/>
      <c r="AM781" s="55">
        <f>AH782/AJ782%</f>
        <v/>
      </c>
      <c r="AN781" s="55">
        <f>AK782-AG782</f>
        <v/>
      </c>
      <c r="AO781" s="56">
        <f>AJ782/L782</f>
        <v/>
      </c>
      <c r="AP781" s="55">
        <f>(AJ782-AB782)/100</f>
        <v/>
      </c>
      <c r="AQ781" s="55">
        <f>(AJ782-AC782)/100</f>
        <v/>
      </c>
      <c r="AR781" s="57">
        <f>AI782/94</f>
        <v/>
      </c>
      <c r="AS781" s="57">
        <f>AJ782/94</f>
        <v/>
      </c>
      <c r="AT781" s="58">
        <f>AI782/24</f>
        <v/>
      </c>
      <c r="AU781" s="58">
        <f>AJ782/24</f>
        <v/>
      </c>
      <c r="AV781" s="58">
        <f>AI782/125</f>
        <v/>
      </c>
      <c r="AW781" s="58">
        <f>AJ782/125</f>
        <v/>
      </c>
      <c r="AX781" s="113" t="n"/>
      <c r="AY781" s="113" t="n"/>
    </row>
    <row r="782" ht="15" customHeight="1" s="258">
      <c r="A782" s="44" t="n"/>
      <c r="B782" s="44" t="inlineStr">
        <is>
          <t>Yellow</t>
        </is>
      </c>
      <c r="C782" s="111" t="inlineStr">
        <is>
          <t>MI-TFGF-Y</t>
        </is>
      </c>
      <c r="D782" s="45" t="n">
        <v>80</v>
      </c>
      <c r="E782" s="44" t="n">
        <v>0</v>
      </c>
      <c r="F782" s="44" t="n">
        <v>50</v>
      </c>
      <c r="G782" s="45" t="n">
        <v>9202</v>
      </c>
      <c r="H782" s="115" t="n">
        <v>0.18</v>
      </c>
      <c r="I782" s="44">
        <f>D783*H783</f>
        <v/>
      </c>
      <c r="J782" s="113" t="n"/>
      <c r="K782" s="44" t="n">
        <v>20</v>
      </c>
      <c r="L782" s="48">
        <f>K783+J783+I783+F783+E783+D783</f>
        <v/>
      </c>
      <c r="M782" s="44">
        <f>D783*1%</f>
        <v/>
      </c>
      <c r="N782" s="49">
        <f>L783*8%</f>
        <v/>
      </c>
      <c r="O782" s="49">
        <f>L783*10%</f>
        <v/>
      </c>
      <c r="P782" s="49">
        <f>L783*5%</f>
        <v/>
      </c>
      <c r="Q782" s="49">
        <f>L783*2%</f>
        <v/>
      </c>
      <c r="R782" s="49">
        <f>AC783*0.5%</f>
        <v/>
      </c>
      <c r="S782" s="49">
        <f>L783*1%</f>
        <v/>
      </c>
      <c r="T782" s="50">
        <f>S783+Q783+P783+O783+N783+M783</f>
        <v/>
      </c>
      <c r="U782" s="44">
        <f>AC783*1%</f>
        <v/>
      </c>
      <c r="V782" s="44">
        <f>AC783*5%</f>
        <v/>
      </c>
      <c r="W782" s="44">
        <f>AC783*1%</f>
        <v/>
      </c>
      <c r="X782" s="44">
        <f>AC783*8%</f>
        <v/>
      </c>
      <c r="Y782" s="44">
        <f>U783+V783+W783+X783</f>
        <v/>
      </c>
      <c r="Z782" s="50">
        <f>Y783+T783+L783</f>
        <v/>
      </c>
      <c r="AA782" s="51">
        <f>Z783*20%</f>
        <v/>
      </c>
      <c r="AB782" s="49">
        <f>Z783+AA783</f>
        <v/>
      </c>
      <c r="AC782" s="44">
        <f>D783*2.1</f>
        <v/>
      </c>
      <c r="AD782" s="49">
        <f>AB783-AC783</f>
        <v/>
      </c>
      <c r="AE782" s="49">
        <f>AD783/AB783*100</f>
        <v/>
      </c>
      <c r="AF782" s="113" t="n">
        <v>250</v>
      </c>
      <c r="AG782" s="116">
        <f>((AF783-L783)/L783)*100</f>
        <v/>
      </c>
      <c r="AH782" s="54">
        <f>AJ783-AF783</f>
        <v/>
      </c>
      <c r="AI782" s="54">
        <f>AB783</f>
        <v/>
      </c>
      <c r="AJ782" s="54" t="n">
        <v>325</v>
      </c>
      <c r="AK782" s="55">
        <f>(AJ783-L783)/L783*100</f>
        <v/>
      </c>
      <c r="AL782" s="55" t="n"/>
      <c r="AM782" s="55">
        <f>AH783/AJ783%</f>
        <v/>
      </c>
      <c r="AN782" s="55">
        <f>AK783-AG783</f>
        <v/>
      </c>
      <c r="AO782" s="56">
        <f>AJ783/L783</f>
        <v/>
      </c>
      <c r="AP782" s="55">
        <f>(AJ783-AB783)/100</f>
        <v/>
      </c>
      <c r="AQ782" s="55">
        <f>(AJ783-AC783)/100</f>
        <v/>
      </c>
      <c r="AR782" s="57">
        <f>AI783/94</f>
        <v/>
      </c>
      <c r="AS782" s="57">
        <f>AJ783/94</f>
        <v/>
      </c>
      <c r="AT782" s="58">
        <f>AI783/24</f>
        <v/>
      </c>
      <c r="AU782" s="58">
        <f>AJ783/24</f>
        <v/>
      </c>
      <c r="AV782" s="58">
        <f>AI783/125</f>
        <v/>
      </c>
      <c r="AW782" s="58">
        <f>AJ783/125</f>
        <v/>
      </c>
      <c r="AX782" s="113" t="n"/>
      <c r="AY782" s="113" t="n"/>
    </row>
    <row r="783" ht="15.75" customHeight="1" s="258">
      <c r="A783" s="44" t="n"/>
      <c r="B783" s="44" t="inlineStr">
        <is>
          <t>Violet</t>
        </is>
      </c>
      <c r="C783" s="111" t="inlineStr">
        <is>
          <t>MI-TFGF-V</t>
        </is>
      </c>
      <c r="D783" s="45" t="n">
        <v>80</v>
      </c>
      <c r="E783" s="44" t="n">
        <v>0</v>
      </c>
      <c r="F783" s="44" t="n">
        <v>50</v>
      </c>
      <c r="G783" s="45" t="n">
        <v>9202</v>
      </c>
      <c r="H783" s="115" t="n">
        <v>0.18</v>
      </c>
      <c r="I783" s="44">
        <f>D784*H784</f>
        <v/>
      </c>
      <c r="J783" s="113" t="n"/>
      <c r="K783" s="44" t="n">
        <v>20</v>
      </c>
      <c r="L783" s="48">
        <f>K784+J784+I784+F784+E784+D784</f>
        <v/>
      </c>
      <c r="M783" s="44">
        <f>D784*1%</f>
        <v/>
      </c>
      <c r="N783" s="49">
        <f>L784*8%</f>
        <v/>
      </c>
      <c r="O783" s="49">
        <f>L784*10%</f>
        <v/>
      </c>
      <c r="P783" s="49">
        <f>L784*5%</f>
        <v/>
      </c>
      <c r="Q783" s="49">
        <f>L784*2%</f>
        <v/>
      </c>
      <c r="R783" s="49">
        <f>AC784*0.5%</f>
        <v/>
      </c>
      <c r="S783" s="49">
        <f>L784*1%</f>
        <v/>
      </c>
      <c r="T783" s="50">
        <f>S784+Q784+P784+O784+N784+M784</f>
        <v/>
      </c>
      <c r="U783" s="44">
        <f>AC784*1%</f>
        <v/>
      </c>
      <c r="V783" s="44">
        <f>AC784*5%</f>
        <v/>
      </c>
      <c r="W783" s="44">
        <f>AC784*1%</f>
        <v/>
      </c>
      <c r="X783" s="44">
        <f>AC784*8%</f>
        <v/>
      </c>
      <c r="Y783" s="44">
        <f>U784+V784+W784+X784</f>
        <v/>
      </c>
      <c r="Z783" s="50">
        <f>Y784+T784+L784</f>
        <v/>
      </c>
      <c r="AA783" s="51">
        <f>Z784*20%</f>
        <v/>
      </c>
      <c r="AB783" s="49">
        <f>Z784+AA784</f>
        <v/>
      </c>
      <c r="AC783" s="44">
        <f>D784*2.1</f>
        <v/>
      </c>
      <c r="AD783" s="49">
        <f>AB784-AC784</f>
        <v/>
      </c>
      <c r="AE783" s="49">
        <f>AD784/AB784*100</f>
        <v/>
      </c>
      <c r="AF783" s="113" t="n">
        <v>250</v>
      </c>
      <c r="AG783" s="116">
        <f>((AF784-L784)/L784)*100</f>
        <v/>
      </c>
      <c r="AH783" s="54">
        <f>AJ784-AF784</f>
        <v/>
      </c>
      <c r="AI783" s="54">
        <f>AB784</f>
        <v/>
      </c>
      <c r="AJ783" s="54" t="n">
        <v>325</v>
      </c>
      <c r="AK783" s="55">
        <f>(AJ784-L784)/L784*100</f>
        <v/>
      </c>
      <c r="AL783" s="55" t="n"/>
      <c r="AM783" s="55">
        <f>AH784/AJ784%</f>
        <v/>
      </c>
      <c r="AN783" s="55">
        <f>AK784-AG784</f>
        <v/>
      </c>
      <c r="AO783" s="56">
        <f>AJ784/L784</f>
        <v/>
      </c>
      <c r="AP783" s="55">
        <f>(AJ784-AB784)/100</f>
        <v/>
      </c>
      <c r="AQ783" s="55">
        <f>(AJ784-AC784)/100</f>
        <v/>
      </c>
      <c r="AR783" s="57">
        <f>AI784/94</f>
        <v/>
      </c>
      <c r="AS783" s="57">
        <f>AJ784/94</f>
        <v/>
      </c>
      <c r="AT783" s="58">
        <f>AI784/24</f>
        <v/>
      </c>
      <c r="AU783" s="58">
        <f>AJ784/24</f>
        <v/>
      </c>
      <c r="AV783" s="58">
        <f>AI784/125</f>
        <v/>
      </c>
      <c r="AW783" s="58">
        <f>AJ784/125</f>
        <v/>
      </c>
      <c r="AX783" s="113" t="n"/>
      <c r="AY783" s="113" t="n"/>
    </row>
    <row r="784" ht="15.75" customHeight="1" s="258">
      <c r="A784" s="44" t="n"/>
      <c r="B784" s="44" t="inlineStr">
        <is>
          <t>Blue</t>
        </is>
      </c>
      <c r="C784" s="111" t="inlineStr">
        <is>
          <t>MI-TFGF-B</t>
        </is>
      </c>
      <c r="D784" s="45" t="n">
        <v>80</v>
      </c>
      <c r="E784" s="44" t="n">
        <v>0</v>
      </c>
      <c r="F784" s="44" t="n">
        <v>50</v>
      </c>
      <c r="G784" s="45" t="n">
        <v>9202</v>
      </c>
      <c r="H784" s="115" t="n">
        <v>0.18</v>
      </c>
      <c r="I784" s="44">
        <f>D785*H785</f>
        <v/>
      </c>
      <c r="J784" s="113" t="n"/>
      <c r="K784" s="44" t="n">
        <v>20</v>
      </c>
      <c r="L784" s="48">
        <f>K785+J785+I785+F785+E785+D785</f>
        <v/>
      </c>
      <c r="M784" s="44">
        <f>D785*1%</f>
        <v/>
      </c>
      <c r="N784" s="49">
        <f>L785*8%</f>
        <v/>
      </c>
      <c r="O784" s="49">
        <f>L785*10%</f>
        <v/>
      </c>
      <c r="P784" s="49">
        <f>L785*5%</f>
        <v/>
      </c>
      <c r="Q784" s="49">
        <f>L785*2%</f>
        <v/>
      </c>
      <c r="R784" s="49">
        <f>AC785*0.5%</f>
        <v/>
      </c>
      <c r="S784" s="49">
        <f>L785*1%</f>
        <v/>
      </c>
      <c r="T784" s="50">
        <f>S785+Q785+P785+O785+N785+M785</f>
        <v/>
      </c>
      <c r="U784" s="44">
        <f>AC785*1%</f>
        <v/>
      </c>
      <c r="V784" s="44">
        <f>AC785*5%</f>
        <v/>
      </c>
      <c r="W784" s="44">
        <f>AC785*1%</f>
        <v/>
      </c>
      <c r="X784" s="44">
        <f>AC785*8%</f>
        <v/>
      </c>
      <c r="Y784" s="44">
        <f>U785+V785+W785+X785</f>
        <v/>
      </c>
      <c r="Z784" s="50">
        <f>Y785+T785+L785</f>
        <v/>
      </c>
      <c r="AA784" s="51">
        <f>Z785*20%</f>
        <v/>
      </c>
      <c r="AB784" s="49">
        <f>Z785+AA785</f>
        <v/>
      </c>
      <c r="AC784" s="44">
        <f>D785*2.1</f>
        <v/>
      </c>
      <c r="AD784" s="49">
        <f>AB785-AC785</f>
        <v/>
      </c>
      <c r="AE784" s="49">
        <f>AD785/AB785*100</f>
        <v/>
      </c>
      <c r="AF784" s="113" t="n">
        <v>250</v>
      </c>
      <c r="AG784" s="116">
        <f>((AF785-L785)/L785)*100</f>
        <v/>
      </c>
      <c r="AH784" s="54">
        <f>AJ785-AF785</f>
        <v/>
      </c>
      <c r="AI784" s="54">
        <f>AB785</f>
        <v/>
      </c>
      <c r="AJ784" s="54" t="n">
        <v>325</v>
      </c>
      <c r="AK784" s="55">
        <f>(AJ785-L785)/L785*100</f>
        <v/>
      </c>
      <c r="AL784" s="55" t="n"/>
      <c r="AM784" s="55">
        <f>AH785/AJ785%</f>
        <v/>
      </c>
      <c r="AN784" s="55">
        <f>AK785-AG785</f>
        <v/>
      </c>
      <c r="AO784" s="56">
        <f>AJ785/L785</f>
        <v/>
      </c>
      <c r="AP784" s="55">
        <f>(AJ785-AB785)/100</f>
        <v/>
      </c>
      <c r="AQ784" s="55">
        <f>(AJ785-AC785)/100</f>
        <v/>
      </c>
      <c r="AR784" s="57">
        <f>AI785/94</f>
        <v/>
      </c>
      <c r="AS784" s="57">
        <f>AJ785/94</f>
        <v/>
      </c>
      <c r="AT784" s="58">
        <f>AI785/24</f>
        <v/>
      </c>
      <c r="AU784" s="58">
        <f>AJ785/24</f>
        <v/>
      </c>
      <c r="AV784" s="58">
        <f>AI785/125</f>
        <v/>
      </c>
      <c r="AW784" s="58">
        <f>AJ785/125</f>
        <v/>
      </c>
      <c r="AX784" s="113" t="n"/>
      <c r="AY784" s="113" t="n"/>
    </row>
    <row r="785" ht="15.75" customHeight="1" s="258">
      <c r="A785" s="44" t="n"/>
      <c r="B785" s="44" t="inlineStr">
        <is>
          <t>Green</t>
        </is>
      </c>
      <c r="C785" s="111" t="inlineStr">
        <is>
          <t>MI-TFGF-G</t>
        </is>
      </c>
      <c r="D785" s="45" t="n">
        <v>80</v>
      </c>
      <c r="E785" s="44" t="n">
        <v>0</v>
      </c>
      <c r="F785" s="44" t="n">
        <v>50</v>
      </c>
      <c r="G785" s="45" t="n">
        <v>9202</v>
      </c>
      <c r="H785" s="115" t="n">
        <v>0.18</v>
      </c>
      <c r="I785" s="44">
        <f>D786*H786</f>
        <v/>
      </c>
      <c r="J785" s="113" t="n"/>
      <c r="K785" s="44" t="n">
        <v>20</v>
      </c>
      <c r="L785" s="48">
        <f>K786+J786+I786+F786+E786+D786</f>
        <v/>
      </c>
      <c r="M785" s="44">
        <f>D786*1%</f>
        <v/>
      </c>
      <c r="N785" s="49">
        <f>L786*8%</f>
        <v/>
      </c>
      <c r="O785" s="49">
        <f>L786*10%</f>
        <v/>
      </c>
      <c r="P785" s="49">
        <f>L786*5%</f>
        <v/>
      </c>
      <c r="Q785" s="49">
        <f>L786*2%</f>
        <v/>
      </c>
      <c r="R785" s="49">
        <f>AC786*0.5%</f>
        <v/>
      </c>
      <c r="S785" s="49">
        <f>L786*1%</f>
        <v/>
      </c>
      <c r="T785" s="50">
        <f>S786+Q786+P786+O786+N786+M786</f>
        <v/>
      </c>
      <c r="U785" s="44">
        <f>AC786*1%</f>
        <v/>
      </c>
      <c r="V785" s="44">
        <f>AC786*5%</f>
        <v/>
      </c>
      <c r="W785" s="44">
        <f>AC786*1%</f>
        <v/>
      </c>
      <c r="X785" s="44">
        <f>AC786*8%</f>
        <v/>
      </c>
      <c r="Y785" s="44">
        <f>U786+V786+W786+X786</f>
        <v/>
      </c>
      <c r="Z785" s="50">
        <f>Y786+T786+L786</f>
        <v/>
      </c>
      <c r="AA785" s="51">
        <f>Z786*20%</f>
        <v/>
      </c>
      <c r="AB785" s="49">
        <f>Z786+AA786</f>
        <v/>
      </c>
      <c r="AC785" s="44">
        <f>D786*2.1</f>
        <v/>
      </c>
      <c r="AD785" s="49">
        <f>AB786-AC786</f>
        <v/>
      </c>
      <c r="AE785" s="49">
        <f>AD786/AB786*100</f>
        <v/>
      </c>
      <c r="AF785" s="113" t="n">
        <v>250</v>
      </c>
      <c r="AG785" s="116">
        <f>((AF786-L786)/L786)*100</f>
        <v/>
      </c>
      <c r="AH785" s="54">
        <f>AJ786-AF786</f>
        <v/>
      </c>
      <c r="AI785" s="54">
        <f>AB786</f>
        <v/>
      </c>
      <c r="AJ785" s="54" t="n">
        <v>325</v>
      </c>
      <c r="AK785" s="55">
        <f>(AJ786-L786)/L786*100</f>
        <v/>
      </c>
      <c r="AL785" s="55" t="n"/>
      <c r="AM785" s="55">
        <f>AH786/AJ786%</f>
        <v/>
      </c>
      <c r="AN785" s="55">
        <f>AK786-AG786</f>
        <v/>
      </c>
      <c r="AO785" s="56">
        <f>AJ786/L786</f>
        <v/>
      </c>
      <c r="AP785" s="55">
        <f>(AJ786-AB786)/100</f>
        <v/>
      </c>
      <c r="AQ785" s="55">
        <f>(AJ786-AC786)/100</f>
        <v/>
      </c>
      <c r="AR785" s="57">
        <f>AI786/94</f>
        <v/>
      </c>
      <c r="AS785" s="57">
        <f>AJ786/94</f>
        <v/>
      </c>
      <c r="AT785" s="58">
        <f>AI786/24</f>
        <v/>
      </c>
      <c r="AU785" s="58">
        <f>AJ786/24</f>
        <v/>
      </c>
      <c r="AV785" s="58">
        <f>AI786/125</f>
        <v/>
      </c>
      <c r="AW785" s="58">
        <f>AJ786/125</f>
        <v/>
      </c>
      <c r="AX785" s="113" t="n"/>
      <c r="AY785" s="113" t="n"/>
    </row>
    <row r="786" ht="15.75" customHeight="1" s="258">
      <c r="A786" s="44" t="n"/>
      <c r="B786" s="44" t="inlineStr">
        <is>
          <t>Dark Blue</t>
        </is>
      </c>
      <c r="C786" s="111" t="inlineStr">
        <is>
          <t>MI-TFGF-D</t>
        </is>
      </c>
      <c r="D786" s="45" t="n">
        <v>80</v>
      </c>
      <c r="E786" s="44" t="n">
        <v>0</v>
      </c>
      <c r="F786" s="44" t="n">
        <v>50</v>
      </c>
      <c r="G786" s="45" t="n">
        <v>9202</v>
      </c>
      <c r="H786" s="115" t="n">
        <v>0.18</v>
      </c>
      <c r="I786" s="44">
        <f>D787*H787</f>
        <v/>
      </c>
      <c r="J786" s="113" t="n"/>
      <c r="K786" s="44" t="n">
        <v>20</v>
      </c>
      <c r="L786" s="48">
        <f>K787+J787+I787+F787+E787+D787</f>
        <v/>
      </c>
      <c r="M786" s="44">
        <f>D787*1%</f>
        <v/>
      </c>
      <c r="N786" s="49">
        <f>L787*8%</f>
        <v/>
      </c>
      <c r="O786" s="49">
        <f>L787*10%</f>
        <v/>
      </c>
      <c r="P786" s="49">
        <f>L787*5%</f>
        <v/>
      </c>
      <c r="Q786" s="49">
        <f>L787*2%</f>
        <v/>
      </c>
      <c r="R786" s="49">
        <f>AC787*0.5%</f>
        <v/>
      </c>
      <c r="S786" s="49">
        <f>L787*1%</f>
        <v/>
      </c>
      <c r="T786" s="50">
        <f>S787+Q787+P787+O787+N787+M787</f>
        <v/>
      </c>
      <c r="U786" s="44">
        <f>AC787*1%</f>
        <v/>
      </c>
      <c r="V786" s="44">
        <f>AC787*5%</f>
        <v/>
      </c>
      <c r="W786" s="44">
        <f>AC787*1%</f>
        <v/>
      </c>
      <c r="X786" s="44">
        <f>AC787*8%</f>
        <v/>
      </c>
      <c r="Y786" s="44">
        <f>U787+V787+W787+X787</f>
        <v/>
      </c>
      <c r="Z786" s="50">
        <f>Y787+T787+L787</f>
        <v/>
      </c>
      <c r="AA786" s="51">
        <f>Z787*20%</f>
        <v/>
      </c>
      <c r="AB786" s="49">
        <f>Z787+AA787</f>
        <v/>
      </c>
      <c r="AC786" s="44">
        <f>D787*2.1</f>
        <v/>
      </c>
      <c r="AD786" s="49">
        <f>AB787-AC787</f>
        <v/>
      </c>
      <c r="AE786" s="49">
        <f>AD787/AB787*100</f>
        <v/>
      </c>
      <c r="AF786" s="113" t="n">
        <v>250</v>
      </c>
      <c r="AG786" s="116">
        <f>((AF787-L787)/L787)*100</f>
        <v/>
      </c>
      <c r="AH786" s="54">
        <f>AJ787-AF787</f>
        <v/>
      </c>
      <c r="AI786" s="54">
        <f>AB787</f>
        <v/>
      </c>
      <c r="AJ786" s="54" t="n">
        <v>325</v>
      </c>
      <c r="AK786" s="55">
        <f>(AJ787-L787)/L787*100</f>
        <v/>
      </c>
      <c r="AL786" s="55" t="n"/>
      <c r="AM786" s="55">
        <f>AH787/AJ787%</f>
        <v/>
      </c>
      <c r="AN786" s="55">
        <f>AK787-AG787</f>
        <v/>
      </c>
      <c r="AO786" s="56">
        <f>AJ787/L787</f>
        <v/>
      </c>
      <c r="AP786" s="55">
        <f>(AJ787-AB787)/100</f>
        <v/>
      </c>
      <c r="AQ786" s="55">
        <f>(AJ787-AC787)/100</f>
        <v/>
      </c>
      <c r="AR786" s="57">
        <f>AI787/94</f>
        <v/>
      </c>
      <c r="AS786" s="57">
        <f>AJ787/94</f>
        <v/>
      </c>
      <c r="AT786" s="58">
        <f>AI787/24</f>
        <v/>
      </c>
      <c r="AU786" s="58">
        <f>AJ787/24</f>
        <v/>
      </c>
      <c r="AV786" s="58">
        <f>AI787/125</f>
        <v/>
      </c>
      <c r="AW786" s="58">
        <f>AJ787/125</f>
        <v/>
      </c>
      <c r="AX786" s="113" t="n"/>
      <c r="AY786" s="113" t="n"/>
    </row>
    <row r="787" ht="15.75" customHeight="1" s="258">
      <c r="A787" s="44" t="n"/>
      <c r="B787" s="44" t="inlineStr">
        <is>
          <t>Red</t>
        </is>
      </c>
      <c r="C787" s="111" t="inlineStr">
        <is>
          <t>MI-TFGF-R</t>
        </is>
      </c>
      <c r="D787" s="45" t="n">
        <v>80</v>
      </c>
      <c r="E787" s="44" t="n">
        <v>0</v>
      </c>
      <c r="F787" s="44" t="n">
        <v>50</v>
      </c>
      <c r="G787" s="45" t="n">
        <v>9202</v>
      </c>
      <c r="H787" s="115" t="n">
        <v>0.18</v>
      </c>
      <c r="I787" s="44">
        <f>D788*H788</f>
        <v/>
      </c>
      <c r="J787" s="113" t="n"/>
      <c r="K787" s="44" t="n">
        <v>20</v>
      </c>
      <c r="L787" s="48">
        <f>K788+J788+I788+F788+E788+D788</f>
        <v/>
      </c>
      <c r="M787" s="44">
        <f>D788*1%</f>
        <v/>
      </c>
      <c r="N787" s="49">
        <f>L788*8%</f>
        <v/>
      </c>
      <c r="O787" s="49">
        <f>L788*10%</f>
        <v/>
      </c>
      <c r="P787" s="49">
        <f>L788*5%</f>
        <v/>
      </c>
      <c r="Q787" s="49">
        <f>L788*2%</f>
        <v/>
      </c>
      <c r="R787" s="49">
        <f>AC788*0.5%</f>
        <v/>
      </c>
      <c r="S787" s="49">
        <f>L788*1%</f>
        <v/>
      </c>
      <c r="T787" s="50">
        <f>S788+Q788+P788+O788+N788+M788</f>
        <v/>
      </c>
      <c r="U787" s="44">
        <f>AC788*1%</f>
        <v/>
      </c>
      <c r="V787" s="44">
        <f>AC788*5%</f>
        <v/>
      </c>
      <c r="W787" s="44">
        <f>AC788*1%</f>
        <v/>
      </c>
      <c r="X787" s="44">
        <f>AC788*8%</f>
        <v/>
      </c>
      <c r="Y787" s="44">
        <f>U788+V788+W788+X788</f>
        <v/>
      </c>
      <c r="Z787" s="50">
        <f>Y788+T788+L788</f>
        <v/>
      </c>
      <c r="AA787" s="51">
        <f>Z788*20%</f>
        <v/>
      </c>
      <c r="AB787" s="49">
        <f>Z788+AA788</f>
        <v/>
      </c>
      <c r="AC787" s="44">
        <f>D788*2.1</f>
        <v/>
      </c>
      <c r="AD787" s="49">
        <f>AB788-AC788</f>
        <v/>
      </c>
      <c r="AE787" s="49">
        <f>AD788/AB788*100</f>
        <v/>
      </c>
      <c r="AF787" s="113" t="n">
        <v>250</v>
      </c>
      <c r="AG787" s="116">
        <f>((AF788-L788)/L788)*100</f>
        <v/>
      </c>
      <c r="AH787" s="54">
        <f>AJ788-AF788</f>
        <v/>
      </c>
      <c r="AI787" s="54">
        <f>AB788</f>
        <v/>
      </c>
      <c r="AJ787" s="54" t="n">
        <v>325</v>
      </c>
      <c r="AK787" s="55">
        <f>(AJ788-L788)/L788*100</f>
        <v/>
      </c>
      <c r="AL787" s="55" t="n"/>
      <c r="AM787" s="55">
        <f>AH788/AJ788%</f>
        <v/>
      </c>
      <c r="AN787" s="55">
        <f>AK788-AG788</f>
        <v/>
      </c>
      <c r="AO787" s="56">
        <f>AJ788/L788</f>
        <v/>
      </c>
      <c r="AP787" s="55">
        <f>(AJ788-AB788)/100</f>
        <v/>
      </c>
      <c r="AQ787" s="55">
        <f>(AJ788-AC788)/100</f>
        <v/>
      </c>
      <c r="AR787" s="57">
        <f>AI788/94</f>
        <v/>
      </c>
      <c r="AS787" s="57">
        <f>AJ788/94</f>
        <v/>
      </c>
      <c r="AT787" s="58">
        <f>AI788/24</f>
        <v/>
      </c>
      <c r="AU787" s="58">
        <f>AJ788/24</f>
        <v/>
      </c>
      <c r="AV787" s="58">
        <f>AI788/125</f>
        <v/>
      </c>
      <c r="AW787" s="58">
        <f>AJ788/125</f>
        <v/>
      </c>
      <c r="AX787" s="113" t="n"/>
      <c r="AY787" s="113" t="n"/>
    </row>
    <row r="788" ht="15.75" customHeight="1" s="258">
      <c r="A788" s="44" t="n"/>
      <c r="B788" s="44" t="inlineStr">
        <is>
          <t>Full Set</t>
        </is>
      </c>
      <c r="C788" s="111" t="inlineStr">
        <is>
          <t>MI-TFGF-F</t>
        </is>
      </c>
      <c r="D788" s="45" t="n">
        <v>500</v>
      </c>
      <c r="E788" s="44" t="n">
        <v>0</v>
      </c>
      <c r="F788" s="44" t="n">
        <v>75</v>
      </c>
      <c r="G788" s="45" t="n">
        <v>9202</v>
      </c>
      <c r="H788" s="115" t="n">
        <v>0.18</v>
      </c>
      <c r="I788" s="44">
        <f>D789*H789</f>
        <v/>
      </c>
      <c r="J788" s="113" t="n"/>
      <c r="K788" s="44" t="n">
        <v>140</v>
      </c>
      <c r="L788" s="48">
        <f>K789+J789+I789+F789+E789+D789</f>
        <v/>
      </c>
      <c r="M788" s="44">
        <f>D789*1%</f>
        <v/>
      </c>
      <c r="N788" s="49">
        <f>L789*8%</f>
        <v/>
      </c>
      <c r="O788" s="49">
        <f>L789*10%</f>
        <v/>
      </c>
      <c r="P788" s="49">
        <f>L789*5%</f>
        <v/>
      </c>
      <c r="Q788" s="49">
        <f>L789*2%</f>
        <v/>
      </c>
      <c r="R788" s="49">
        <f>AC789*0.5%</f>
        <v/>
      </c>
      <c r="S788" s="49">
        <f>L789*1%</f>
        <v/>
      </c>
      <c r="T788" s="50">
        <f>S789+Q789+P789+O789+N789+M789</f>
        <v/>
      </c>
      <c r="U788" s="44">
        <f>AC789*1%</f>
        <v/>
      </c>
      <c r="V788" s="44">
        <f>AC789*5%</f>
        <v/>
      </c>
      <c r="W788" s="44">
        <f>AC789*1%</f>
        <v/>
      </c>
      <c r="X788" s="44">
        <f>AC789*8%</f>
        <v/>
      </c>
      <c r="Y788" s="44">
        <f>U789+V789+W789+X789</f>
        <v/>
      </c>
      <c r="Z788" s="50">
        <f>Y789+T789+L789</f>
        <v/>
      </c>
      <c r="AA788" s="51">
        <f>Z789*20%</f>
        <v/>
      </c>
      <c r="AB788" s="49">
        <f>Z789+AA789</f>
        <v/>
      </c>
      <c r="AC788" s="44">
        <f>D789*2.1</f>
        <v/>
      </c>
      <c r="AD788" s="49">
        <f>AB789-AC789</f>
        <v/>
      </c>
      <c r="AE788" s="49">
        <f>AD789/AB789*100</f>
        <v/>
      </c>
      <c r="AF788" s="113" t="n">
        <v>1450</v>
      </c>
      <c r="AG788" s="116">
        <f>((AF789-L789)/L789)*100</f>
        <v/>
      </c>
      <c r="AH788" s="54">
        <f>AJ789-AF789</f>
        <v/>
      </c>
      <c r="AI788" s="54">
        <f>AB789</f>
        <v/>
      </c>
      <c r="AJ788" s="54" t="n">
        <v>1595</v>
      </c>
      <c r="AK788" s="55">
        <f>(AJ789-L789)/L789*100</f>
        <v/>
      </c>
      <c r="AL788" s="55" t="n"/>
      <c r="AM788" s="55">
        <f>AH789/AJ789%</f>
        <v/>
      </c>
      <c r="AN788" s="55">
        <f>AK789-AG789</f>
        <v/>
      </c>
      <c r="AO788" s="56">
        <f>AJ789/L789</f>
        <v/>
      </c>
      <c r="AP788" s="55">
        <f>(AJ789-AB789)/100</f>
        <v/>
      </c>
      <c r="AQ788" s="55">
        <f>(AJ789-AC789)/100</f>
        <v/>
      </c>
      <c r="AR788" s="57">
        <f>AI789/94</f>
        <v/>
      </c>
      <c r="AS788" s="57">
        <f>AJ789/94</f>
        <v/>
      </c>
      <c r="AT788" s="58">
        <f>AI789/24</f>
        <v/>
      </c>
      <c r="AU788" s="58">
        <f>AJ789/24</f>
        <v/>
      </c>
      <c r="AV788" s="58">
        <f>AI789/125</f>
        <v/>
      </c>
      <c r="AW788" s="58">
        <f>AJ789/125</f>
        <v/>
      </c>
      <c r="AX788" s="113" t="n"/>
      <c r="AY788" s="113" t="n"/>
    </row>
    <row r="789" ht="15.75" customHeight="1" s="258">
      <c r="A789" s="44" t="inlineStr">
        <is>
          <t>Tuning Forks Solfeggio Set</t>
        </is>
      </c>
      <c r="B789" s="44" t="inlineStr">
        <is>
          <t>Weighted</t>
        </is>
      </c>
      <c r="C789" s="111" t="inlineStr">
        <is>
          <t>MI-TFS-W</t>
        </is>
      </c>
      <c r="D789" s="45" t="n">
        <v>4160</v>
      </c>
      <c r="E789" s="44" t="n">
        <v>0</v>
      </c>
      <c r="F789" s="44" t="n">
        <v>80</v>
      </c>
      <c r="G789" s="45" t="n">
        <v>9202</v>
      </c>
      <c r="H789" s="115" t="n">
        <v>0.18</v>
      </c>
      <c r="I789" s="44">
        <f>D790*H790</f>
        <v/>
      </c>
      <c r="J789" s="113" t="n"/>
      <c r="K789" s="44" t="n">
        <v>200</v>
      </c>
      <c r="L789" s="48">
        <f>K790+J790+I790+F790+E790+D790</f>
        <v/>
      </c>
      <c r="M789" s="44">
        <f>D790*1%</f>
        <v/>
      </c>
      <c r="N789" s="49">
        <f>L790*8%</f>
        <v/>
      </c>
      <c r="O789" s="49">
        <f>L790*10%</f>
        <v/>
      </c>
      <c r="P789" s="49">
        <f>L790*5%</f>
        <v/>
      </c>
      <c r="Q789" s="49">
        <f>L790*2%</f>
        <v/>
      </c>
      <c r="R789" s="49">
        <f>AC790*0.5%</f>
        <v/>
      </c>
      <c r="S789" s="49">
        <f>L790*1%</f>
        <v/>
      </c>
      <c r="T789" s="50">
        <f>S790+Q790+P790+O790+N790+M790</f>
        <v/>
      </c>
      <c r="U789" s="44">
        <f>AC790*1%</f>
        <v/>
      </c>
      <c r="V789" s="44">
        <f>AC790*5%</f>
        <v/>
      </c>
      <c r="W789" s="44">
        <f>AC790*1%</f>
        <v/>
      </c>
      <c r="X789" s="44">
        <f>AC790*8%</f>
        <v/>
      </c>
      <c r="Y789" s="44">
        <f>U790+V790+W790+X790</f>
        <v/>
      </c>
      <c r="Z789" s="50">
        <f>Y790+T790+L790</f>
        <v/>
      </c>
      <c r="AA789" s="51">
        <f>Z790*20%</f>
        <v/>
      </c>
      <c r="AB789" s="49">
        <f>Z790+AA790</f>
        <v/>
      </c>
      <c r="AC789" s="44">
        <f>D790*2.1</f>
        <v/>
      </c>
      <c r="AD789" s="49">
        <f>AB790-AC790</f>
        <v/>
      </c>
      <c r="AE789" s="49">
        <f>AD790/AB790*100</f>
        <v/>
      </c>
      <c r="AF789" s="113" t="n">
        <v>11990</v>
      </c>
      <c r="AG789" s="116">
        <f>((AF790-L790)/L790)*100</f>
        <v/>
      </c>
      <c r="AH789" s="54">
        <f>AJ790-AF790</f>
        <v/>
      </c>
      <c r="AI789" s="54">
        <f>AB790</f>
        <v/>
      </c>
      <c r="AJ789" s="54" t="n">
        <v>9990</v>
      </c>
      <c r="AK789" s="55">
        <f>(AJ790-L790)/L790*100</f>
        <v/>
      </c>
      <c r="AL789" s="55" t="n"/>
      <c r="AM789" s="55">
        <f>AH790/AJ790%</f>
        <v/>
      </c>
      <c r="AN789" s="55">
        <f>AK790-AG790</f>
        <v/>
      </c>
      <c r="AO789" s="56">
        <f>AJ790/L790</f>
        <v/>
      </c>
      <c r="AP789" s="55">
        <f>(AJ790-AB790)/100</f>
        <v/>
      </c>
      <c r="AQ789" s="55">
        <f>(AJ790-AC790)/100</f>
        <v/>
      </c>
      <c r="AR789" s="57">
        <f>AI790/94</f>
        <v/>
      </c>
      <c r="AS789" s="57">
        <f>AJ790/94</f>
        <v/>
      </c>
      <c r="AT789" s="58">
        <f>AI790/24</f>
        <v/>
      </c>
      <c r="AU789" s="58">
        <f>AJ790/24</f>
        <v/>
      </c>
      <c r="AV789" s="58">
        <f>AI790/125</f>
        <v/>
      </c>
      <c r="AW789" s="58">
        <f>AJ790/125</f>
        <v/>
      </c>
      <c r="AX789" s="113" t="n"/>
      <c r="AY789" s="113" t="n"/>
    </row>
    <row r="790" ht="15" customHeight="1" s="258">
      <c r="A790" s="2" t="n"/>
      <c r="B790" s="2" t="inlineStr">
        <is>
          <t>Unweighted</t>
        </is>
      </c>
      <c r="C790" s="91" t="inlineStr">
        <is>
          <t>MI-TFS-U</t>
        </is>
      </c>
      <c r="D790" s="118" t="n">
        <v>2500</v>
      </c>
      <c r="E790" s="2" t="n">
        <v>0</v>
      </c>
      <c r="F790" s="2" t="n">
        <v>80</v>
      </c>
      <c r="G790" s="118" t="n">
        <v>9202</v>
      </c>
      <c r="H790" s="255" t="n">
        <v>0.18</v>
      </c>
      <c r="I790" s="2">
        <f>D791*H791</f>
        <v/>
      </c>
      <c r="K790" s="2" t="n">
        <v>200</v>
      </c>
      <c r="L790" s="123">
        <f>K791+J791+I791+F791+E791+D791</f>
        <v/>
      </c>
      <c r="M790" s="2">
        <f>D791*1%</f>
        <v/>
      </c>
      <c r="N790" s="12">
        <f>L791*8%</f>
        <v/>
      </c>
      <c r="O790" s="12">
        <f>L791*10%</f>
        <v/>
      </c>
      <c r="P790" s="12">
        <f>L791*5%</f>
        <v/>
      </c>
      <c r="Q790" s="12">
        <f>L791*2%</f>
        <v/>
      </c>
      <c r="R790" s="12">
        <f>AC791*0.5%</f>
        <v/>
      </c>
      <c r="S790" s="12">
        <f>L791*1%</f>
        <v/>
      </c>
      <c r="T790" s="124">
        <f>S791+Q791+P791+O791+N791+M791</f>
        <v/>
      </c>
      <c r="U790" s="2">
        <f>AC791*1%</f>
        <v/>
      </c>
      <c r="V790" s="44">
        <f>AC791*5%</f>
        <v/>
      </c>
      <c r="W790" s="2">
        <f>AC791*1%</f>
        <v/>
      </c>
      <c r="X790" s="2">
        <f>AC791*8%</f>
        <v/>
      </c>
      <c r="Y790" s="2">
        <f>U791+V791+W791+X791</f>
        <v/>
      </c>
      <c r="Z790" s="124">
        <f>Y791+T791+L791</f>
        <v/>
      </c>
      <c r="AA790" s="125">
        <f>Z791*20%</f>
        <v/>
      </c>
      <c r="AB790" s="12">
        <f>Z791+AA791</f>
        <v/>
      </c>
      <c r="AC790" s="2">
        <f>D791*2.1</f>
        <v/>
      </c>
      <c r="AD790" s="12">
        <f>AB791-AC791</f>
        <v/>
      </c>
      <c r="AE790" s="12">
        <f>AD791/AB791*100</f>
        <v/>
      </c>
      <c r="AF790" s="92" t="n">
        <v>9990</v>
      </c>
      <c r="AG790" s="126">
        <f>((AF791-L791)/L791)*100</f>
        <v/>
      </c>
      <c r="AH790" s="132">
        <f>AJ791-AF791</f>
        <v/>
      </c>
      <c r="AI790" s="132">
        <f>AB791</f>
        <v/>
      </c>
      <c r="AJ790" s="132" t="n">
        <v>7290</v>
      </c>
      <c r="AK790" s="128">
        <f>(AJ791-L791)/L791*100</f>
        <v/>
      </c>
      <c r="AL790" s="128" t="n"/>
      <c r="AM790" s="128">
        <f>AH791/AJ791%</f>
        <v/>
      </c>
      <c r="AN790" s="128">
        <f>AK791-AG791</f>
        <v/>
      </c>
      <c r="AO790" s="129">
        <f>AJ791/L791</f>
        <v/>
      </c>
      <c r="AP790" s="128">
        <f>(AJ791-AB791)/100</f>
        <v/>
      </c>
      <c r="AQ790" s="128">
        <f>(AJ791-AC791)/100</f>
        <v/>
      </c>
      <c r="AR790" s="130">
        <f>AI791/94</f>
        <v/>
      </c>
      <c r="AS790" s="130">
        <f>AJ791/94</f>
        <v/>
      </c>
      <c r="AT790" s="131">
        <f>AI791/24</f>
        <v/>
      </c>
      <c r="AU790" s="131">
        <f>AJ791/24</f>
        <v/>
      </c>
      <c r="AV790" s="131">
        <f>AI791/125</f>
        <v/>
      </c>
      <c r="AW790" s="131">
        <f>AJ791/125</f>
        <v/>
      </c>
    </row>
    <row r="791" ht="15.75" customHeight="1" s="258">
      <c r="A791" s="2" t="inlineStr">
        <is>
          <t>Wooden Stand for Tuning Forks</t>
        </is>
      </c>
      <c r="B791" s="2" t="inlineStr">
        <is>
          <t>Three</t>
        </is>
      </c>
      <c r="C791" s="91" t="inlineStr">
        <is>
          <t>MI-WSTF-T</t>
        </is>
      </c>
      <c r="D791" s="253" t="n">
        <v>300</v>
      </c>
      <c r="F791" s="2" t="n">
        <v>50</v>
      </c>
      <c r="G791" s="118" t="n">
        <v>9023</v>
      </c>
      <c r="H791" s="255" t="n">
        <v>0.18</v>
      </c>
      <c r="I791" s="2">
        <f>D792*H792</f>
        <v/>
      </c>
      <c r="K791" s="2" t="n">
        <v>50</v>
      </c>
      <c r="L791" s="123">
        <f>K792+J792+I792+F792+E792+D792</f>
        <v/>
      </c>
      <c r="M791" s="2">
        <f>D792*1%</f>
        <v/>
      </c>
      <c r="N791" s="12">
        <f>L792*8%</f>
        <v/>
      </c>
      <c r="O791" s="12">
        <f>L792*10%</f>
        <v/>
      </c>
      <c r="P791" s="12">
        <f>L792*5%</f>
        <v/>
      </c>
      <c r="Q791" s="12">
        <f>L792*2%</f>
        <v/>
      </c>
      <c r="R791" s="12">
        <f>AC792*0.5%</f>
        <v/>
      </c>
      <c r="S791" s="12">
        <f>L792*1%</f>
        <v/>
      </c>
      <c r="T791" s="124">
        <f>S792+Q792+P792+O792+N792+M792</f>
        <v/>
      </c>
      <c r="U791" s="2">
        <f>AC792*1%</f>
        <v/>
      </c>
      <c r="V791" s="44">
        <f>AC792*5%</f>
        <v/>
      </c>
      <c r="W791" s="2">
        <f>AC792*1%</f>
        <v/>
      </c>
      <c r="X791" s="2">
        <f>AC792*8%</f>
        <v/>
      </c>
      <c r="Y791" s="2">
        <f>U792+V792+W792+X792</f>
        <v/>
      </c>
      <c r="Z791" s="124">
        <f>Y792+T792+L792</f>
        <v/>
      </c>
      <c r="AA791" s="125">
        <f>Z792*20%</f>
        <v/>
      </c>
      <c r="AB791" s="12">
        <f>Z792+AA792</f>
        <v/>
      </c>
      <c r="AC791" s="2">
        <f>D792*2.1</f>
        <v/>
      </c>
      <c r="AD791" s="12">
        <f>AB792-AC792</f>
        <v/>
      </c>
      <c r="AE791" s="12">
        <f>AD792/AB792*100</f>
        <v/>
      </c>
      <c r="AF791" s="92" t="n">
        <v>650</v>
      </c>
      <c r="AG791" s="126">
        <f>((AF792-L792)/L792)*100</f>
        <v/>
      </c>
      <c r="AH791" s="132">
        <f>AJ792-AF792</f>
        <v/>
      </c>
      <c r="AI791" s="132">
        <f>AB792</f>
        <v/>
      </c>
      <c r="AJ791" s="92" t="n">
        <v>650</v>
      </c>
      <c r="AK791" s="128">
        <f>(AJ792-L792)/L792*100</f>
        <v/>
      </c>
      <c r="AL791" s="128" t="n"/>
      <c r="AM791" s="128">
        <f>AH792/AJ792%</f>
        <v/>
      </c>
      <c r="AN791" s="128">
        <f>AK792-AG792</f>
        <v/>
      </c>
      <c r="AO791" s="129">
        <f>AJ792/L792</f>
        <v/>
      </c>
      <c r="AP791" s="128">
        <f>(AJ792-AB792)/100</f>
        <v/>
      </c>
      <c r="AQ791" s="128">
        <f>(AJ792-AC792)/100</f>
        <v/>
      </c>
      <c r="AR791" s="130">
        <f>AI792/94</f>
        <v/>
      </c>
      <c r="AS791" s="130">
        <f>AJ792/94</f>
        <v/>
      </c>
      <c r="AT791" s="131">
        <f>AI792/24</f>
        <v/>
      </c>
      <c r="AU791" s="131">
        <f>AJ792/24</f>
        <v/>
      </c>
      <c r="AV791" s="131">
        <f>AI792/125</f>
        <v/>
      </c>
      <c r="AW791" s="131">
        <f>AJ792/125</f>
        <v/>
      </c>
    </row>
    <row r="792" ht="15" customHeight="1" s="258">
      <c r="A792" s="2" t="n"/>
      <c r="B792" s="2" t="inlineStr">
        <is>
          <t>Five</t>
        </is>
      </c>
      <c r="C792" s="91" t="inlineStr">
        <is>
          <t>MI-WSTF-F</t>
        </is>
      </c>
      <c r="D792" s="253" t="n">
        <v>350</v>
      </c>
      <c r="F792" s="2" t="n">
        <v>50</v>
      </c>
      <c r="G792" s="118" t="n">
        <v>9023</v>
      </c>
      <c r="H792" s="255" t="n">
        <v>0.18</v>
      </c>
      <c r="I792" s="2">
        <f>D793*H793</f>
        <v/>
      </c>
      <c r="K792" s="2" t="n">
        <v>50</v>
      </c>
      <c r="L792" s="123">
        <f>K793+J793+I793+F793+E793+D793</f>
        <v/>
      </c>
      <c r="M792" s="2">
        <f>D793*1%</f>
        <v/>
      </c>
      <c r="N792" s="12">
        <f>L793*8%</f>
        <v/>
      </c>
      <c r="O792" s="12">
        <f>L793*10%</f>
        <v/>
      </c>
      <c r="P792" s="12">
        <f>L793*5%</f>
        <v/>
      </c>
      <c r="Q792" s="12">
        <f>L793*2%</f>
        <v/>
      </c>
      <c r="R792" s="12">
        <f>AC793*0.5%</f>
        <v/>
      </c>
      <c r="S792" s="12">
        <f>L793*1%</f>
        <v/>
      </c>
      <c r="T792" s="124">
        <f>S793+Q793+P793+O793+N793+M793</f>
        <v/>
      </c>
      <c r="U792" s="2">
        <f>AC793*1%</f>
        <v/>
      </c>
      <c r="V792" s="44">
        <f>AC793*5%</f>
        <v/>
      </c>
      <c r="W792" s="2">
        <f>AC793*1%</f>
        <v/>
      </c>
      <c r="X792" s="2">
        <f>AC793*8%</f>
        <v/>
      </c>
      <c r="Y792" s="2">
        <f>U793+V793+W793+X793</f>
        <v/>
      </c>
      <c r="Z792" s="124">
        <f>Y793+T793+L793</f>
        <v/>
      </c>
      <c r="AA792" s="125">
        <f>Z793*20%</f>
        <v/>
      </c>
      <c r="AB792" s="12">
        <f>Z793+AA793</f>
        <v/>
      </c>
      <c r="AC792" s="2">
        <f>D793*2.1</f>
        <v/>
      </c>
      <c r="AD792" s="12">
        <f>AB793-AC793</f>
        <v/>
      </c>
      <c r="AE792" s="12">
        <f>AD793/AB793*100</f>
        <v/>
      </c>
      <c r="AF792" s="92" t="n">
        <v>750</v>
      </c>
      <c r="AG792" s="126">
        <f>((AF793-L793)/L793)*100</f>
        <v/>
      </c>
      <c r="AH792" s="132">
        <f>AJ793-AF793</f>
        <v/>
      </c>
      <c r="AI792" s="132">
        <f>AB793</f>
        <v/>
      </c>
      <c r="AJ792" s="92" t="n">
        <v>750</v>
      </c>
      <c r="AK792" s="128">
        <f>(AJ793-L793)/L793*100</f>
        <v/>
      </c>
      <c r="AL792" s="128" t="n"/>
      <c r="AM792" s="128">
        <f>AH793/AJ793%</f>
        <v/>
      </c>
      <c r="AN792" s="128">
        <f>AK793-AG793</f>
        <v/>
      </c>
      <c r="AO792" s="129">
        <f>AJ793/L793</f>
        <v/>
      </c>
      <c r="AP792" s="128">
        <f>(AJ793-AB793)/100</f>
        <v/>
      </c>
      <c r="AQ792" s="128">
        <f>(AJ793-AC793)/100</f>
        <v/>
      </c>
      <c r="AR792" s="130">
        <f>AI793/94</f>
        <v/>
      </c>
      <c r="AS792" s="130">
        <f>AJ793/94</f>
        <v/>
      </c>
      <c r="AT792" s="131">
        <f>AI793/24</f>
        <v/>
      </c>
      <c r="AU792" s="131">
        <f>AJ793/24</f>
        <v/>
      </c>
      <c r="AV792" s="131">
        <f>AI793/125</f>
        <v/>
      </c>
      <c r="AW792" s="131">
        <f>AJ793/125</f>
        <v/>
      </c>
    </row>
    <row r="793" ht="15.75" customHeight="1" s="258">
      <c r="A793" s="2" t="n"/>
      <c r="B793" s="2" t="inlineStr">
        <is>
          <t>Seven</t>
        </is>
      </c>
      <c r="C793" s="91" t="inlineStr">
        <is>
          <t>MI-WSTF-S</t>
        </is>
      </c>
      <c r="D793" s="253" t="n">
        <v>450</v>
      </c>
      <c r="F793" s="2" t="n">
        <v>50</v>
      </c>
      <c r="G793" s="118" t="n">
        <v>9023</v>
      </c>
      <c r="H793" s="255" t="n">
        <v>0.18</v>
      </c>
      <c r="I793" s="2">
        <f>D793*H794</f>
        <v/>
      </c>
      <c r="K793" s="2" t="n">
        <v>50</v>
      </c>
      <c r="L793" s="123">
        <f>K794+J794+I794+F794+E794+D794</f>
        <v/>
      </c>
      <c r="M793" s="2">
        <f>D793*1%</f>
        <v/>
      </c>
      <c r="N793" s="12">
        <f>L794*8%</f>
        <v/>
      </c>
      <c r="O793" s="12">
        <f>L794*10%</f>
        <v/>
      </c>
      <c r="P793" s="12">
        <f>L794*5%</f>
        <v/>
      </c>
      <c r="Q793" s="12">
        <f>L794*2%</f>
        <v/>
      </c>
      <c r="R793" s="12">
        <f>AC794*0.5%</f>
        <v/>
      </c>
      <c r="S793" s="12">
        <f>L794*1%</f>
        <v/>
      </c>
      <c r="T793" s="124">
        <f>S794+Q794+P794+O794+N794+M794</f>
        <v/>
      </c>
      <c r="U793" s="2">
        <f>AC794*1%</f>
        <v/>
      </c>
      <c r="V793" s="44">
        <f>AC794*5%</f>
        <v/>
      </c>
      <c r="W793" s="2">
        <f>AC794*1%</f>
        <v/>
      </c>
      <c r="X793" s="2">
        <f>AC794*8%</f>
        <v/>
      </c>
      <c r="Y793" s="2">
        <f>U794+V794+W794+X794</f>
        <v/>
      </c>
      <c r="Z793" s="124">
        <f>Y794+T794+L794</f>
        <v/>
      </c>
      <c r="AA793" s="125">
        <f>Z794*20%</f>
        <v/>
      </c>
      <c r="AB793" s="12">
        <f>Z794+AA794</f>
        <v/>
      </c>
      <c r="AC793" s="2">
        <f>D794*2.1</f>
        <v/>
      </c>
      <c r="AD793" s="12">
        <f>AB794-AC794</f>
        <v/>
      </c>
      <c r="AE793" s="12">
        <f>AD794/AB794*100</f>
        <v/>
      </c>
      <c r="AF793" s="92" t="n">
        <v>850</v>
      </c>
      <c r="AG793" s="126">
        <f>((AF794-L794)/L794)*100</f>
        <v/>
      </c>
      <c r="AH793" s="132">
        <f>AJ794-AF794</f>
        <v/>
      </c>
      <c r="AI793" s="132">
        <f>AB794</f>
        <v/>
      </c>
      <c r="AJ793" s="92" t="n">
        <v>850</v>
      </c>
      <c r="AK793" s="128">
        <f>(AJ794-L794)/L794*100</f>
        <v/>
      </c>
      <c r="AL793" s="128" t="n"/>
      <c r="AM793" s="128">
        <f>AH794/AJ794%</f>
        <v/>
      </c>
      <c r="AN793" s="128">
        <f>AK794-AG794</f>
        <v/>
      </c>
      <c r="AO793" s="129">
        <f>AJ794/L794</f>
        <v/>
      </c>
      <c r="AP793" s="128">
        <f>(AJ794-AB794)/100</f>
        <v/>
      </c>
      <c r="AQ793" s="128">
        <f>(AJ794-AC794)/100</f>
        <v/>
      </c>
      <c r="AR793" s="130">
        <f>AI794/94</f>
        <v/>
      </c>
      <c r="AS793" s="130">
        <f>AJ794/94</f>
        <v/>
      </c>
      <c r="AT793" s="131">
        <f>AI794/24</f>
        <v/>
      </c>
      <c r="AU793" s="131">
        <f>AJ794/24</f>
        <v/>
      </c>
      <c r="AV793" s="131">
        <f>AI794/125</f>
        <v/>
      </c>
      <c r="AW793" s="131">
        <f>AJ794/125</f>
        <v/>
      </c>
    </row>
    <row r="794" ht="15.75" customHeight="1" s="258">
      <c r="A794" s="2" t="n"/>
      <c r="B794" s="2" t="inlineStr">
        <is>
          <t>Nine</t>
        </is>
      </c>
      <c r="C794" s="91" t="inlineStr">
        <is>
          <t>MI-WSTF-N</t>
        </is>
      </c>
      <c r="D794" s="118" t="n">
        <v>475</v>
      </c>
      <c r="F794" s="2" t="n">
        <v>50</v>
      </c>
      <c r="G794" s="118" t="n">
        <v>9023</v>
      </c>
      <c r="H794" s="255" t="n">
        <v>0.18</v>
      </c>
      <c r="I794" s="2">
        <f>D795*H795</f>
        <v/>
      </c>
      <c r="K794" s="2" t="n">
        <v>50</v>
      </c>
      <c r="L794" s="123">
        <f>K795+J795+I795+F795+E795+D795</f>
        <v/>
      </c>
      <c r="M794" s="2">
        <f>D795*1%</f>
        <v/>
      </c>
      <c r="N794" s="12">
        <f>L795*8%</f>
        <v/>
      </c>
      <c r="O794" s="12">
        <f>L795*10%</f>
        <v/>
      </c>
      <c r="P794" s="12">
        <f>L795*5%</f>
        <v/>
      </c>
      <c r="Q794" s="12">
        <f>L795*2%</f>
        <v/>
      </c>
      <c r="R794" s="12">
        <f>AC795*0.5%</f>
        <v/>
      </c>
      <c r="S794" s="12">
        <f>L795*1%</f>
        <v/>
      </c>
      <c r="T794" s="124">
        <f>S795+Q795+P795+O795+N795+M795</f>
        <v/>
      </c>
      <c r="U794" s="2">
        <f>AC795*1%</f>
        <v/>
      </c>
      <c r="V794" s="44">
        <f>AC795*5%</f>
        <v/>
      </c>
      <c r="W794" s="2">
        <f>AC795*1%</f>
        <v/>
      </c>
      <c r="X794" s="2">
        <f>AC795*8%</f>
        <v/>
      </c>
      <c r="Y794" s="2">
        <f>U795+V795+W795+X795</f>
        <v/>
      </c>
      <c r="Z794" s="124">
        <f>Y795+T795+L795</f>
        <v/>
      </c>
      <c r="AA794" s="125">
        <f>Z795*20%</f>
        <v/>
      </c>
      <c r="AB794" s="12">
        <f>Z795+AA795</f>
        <v/>
      </c>
      <c r="AC794" s="2">
        <f>D795*2.1</f>
        <v/>
      </c>
      <c r="AD794" s="12">
        <f>AB795-AC795</f>
        <v/>
      </c>
      <c r="AE794" s="12">
        <f>AD795/AB795*100</f>
        <v/>
      </c>
      <c r="AF794" s="92" t="n">
        <v>950</v>
      </c>
      <c r="AG794" s="126">
        <f>((AF795-L795)/L795)*100</f>
        <v/>
      </c>
      <c r="AH794" s="132">
        <f>AJ795-AF795</f>
        <v/>
      </c>
      <c r="AI794" s="132">
        <f>AB795</f>
        <v/>
      </c>
      <c r="AJ794" s="92" t="n">
        <v>950</v>
      </c>
      <c r="AK794" s="128">
        <f>(AJ795-L795)/L795*100</f>
        <v/>
      </c>
      <c r="AL794" s="128" t="n"/>
      <c r="AM794" s="128">
        <f>AH795/AJ795%</f>
        <v/>
      </c>
      <c r="AN794" s="128">
        <f>AK795-AG795</f>
        <v/>
      </c>
      <c r="AO794" s="129">
        <f>AJ795/L795</f>
        <v/>
      </c>
      <c r="AP794" s="128">
        <f>(AJ795-AB795)/100</f>
        <v/>
      </c>
      <c r="AQ794" s="128">
        <f>(AJ795-AC795)/100</f>
        <v/>
      </c>
      <c r="AR794" s="130">
        <f>AI795/94</f>
        <v/>
      </c>
      <c r="AS794" s="130">
        <f>AJ795/94</f>
        <v/>
      </c>
      <c r="AT794" s="131">
        <f>AI795/24</f>
        <v/>
      </c>
      <c r="AU794" s="131">
        <f>AJ795/24</f>
        <v/>
      </c>
      <c r="AV794" s="131">
        <f>AI795/125</f>
        <v/>
      </c>
      <c r="AW794" s="131">
        <f>AJ795/125</f>
        <v/>
      </c>
    </row>
    <row r="795" ht="15.75" customHeight="1" s="258">
      <c r="A795" s="2" t="n"/>
      <c r="B795" s="2" t="n"/>
      <c r="D795" s="118" t="n"/>
      <c r="F795" s="2" t="n"/>
      <c r="G795" s="118" t="n"/>
      <c r="H795" s="255" t="n"/>
      <c r="I795" s="2" t="n"/>
      <c r="K795" s="2" t="n"/>
      <c r="L795" s="123" t="n"/>
      <c r="M795" s="2" t="n"/>
      <c r="N795" s="12" t="n"/>
      <c r="O795" s="12" t="n"/>
      <c r="P795" s="12" t="n"/>
      <c r="Q795" s="12" t="n"/>
      <c r="R795" s="12" t="n"/>
      <c r="S795" s="12" t="n"/>
      <c r="T795" s="124" t="n"/>
      <c r="U795" s="2" t="n"/>
      <c r="V795" s="44">
        <f>AC796*5%</f>
        <v/>
      </c>
      <c r="W795" s="2" t="n"/>
      <c r="X795" s="2" t="n"/>
      <c r="Y795" s="2" t="n"/>
      <c r="Z795" s="124" t="n"/>
      <c r="AA795" s="125" t="n"/>
      <c r="AB795" s="12" t="n"/>
      <c r="AC795" s="2" t="n"/>
      <c r="AD795" s="12" t="n"/>
      <c r="AE795" s="12" t="n"/>
      <c r="AG795" s="126" t="n"/>
      <c r="AH795" s="132" t="n"/>
      <c r="AI795" s="132" t="n"/>
      <c r="AJ795" s="132" t="n"/>
      <c r="AK795" s="128" t="n"/>
      <c r="AL795" s="128" t="n"/>
      <c r="AM795" s="128" t="n"/>
      <c r="AN795" s="128" t="n"/>
      <c r="AO795" s="129" t="n"/>
      <c r="AP795" s="128" t="n"/>
      <c r="AQ795" s="128" t="n"/>
      <c r="AR795" s="130" t="n"/>
      <c r="AS795" s="130" t="n"/>
      <c r="AT795" s="131" t="n"/>
      <c r="AU795" s="131" t="n"/>
      <c r="AV795" s="131" t="n"/>
      <c r="AW795" s="131" t="n"/>
    </row>
    <row r="796" ht="15.75" customHeight="1" s="258">
      <c r="A796" s="2" t="inlineStr">
        <is>
          <t>Vibroacoustic Therapy Bowls - Universal, Belly and Head</t>
        </is>
      </c>
      <c r="B796" s="2" t="inlineStr">
        <is>
          <t>Universal Bowl</t>
        </is>
      </c>
      <c r="C796" s="2" t="inlineStr">
        <is>
          <t>Mi-SB-Z-8</t>
        </is>
      </c>
      <c r="D796" s="253" t="n">
        <v>4850</v>
      </c>
      <c r="E796" s="2" t="n">
        <v>500</v>
      </c>
      <c r="F796" s="2" t="n">
        <v>145</v>
      </c>
      <c r="G796" s="118" t="n">
        <v>83061000</v>
      </c>
      <c r="H796" s="255" t="n">
        <v>0.05</v>
      </c>
      <c r="I796" s="2">
        <f>D797*H797</f>
        <v/>
      </c>
      <c r="K796" s="2" t="n">
        <v>150</v>
      </c>
      <c r="L796" s="123">
        <f>K797+J797+I797+F797+E797+D797</f>
        <v/>
      </c>
      <c r="M796" s="2">
        <f>D797*1%</f>
        <v/>
      </c>
      <c r="N796" s="12">
        <f>L797*8%</f>
        <v/>
      </c>
      <c r="O796" s="12">
        <f>L797*10%</f>
        <v/>
      </c>
      <c r="P796" s="12">
        <f>L797*5%</f>
        <v/>
      </c>
      <c r="Q796" s="12">
        <f>L797*2%</f>
        <v/>
      </c>
      <c r="R796" s="12">
        <f>AC797*0.5%</f>
        <v/>
      </c>
      <c r="S796" s="12">
        <f>L797*1%</f>
        <v/>
      </c>
      <c r="T796" s="124">
        <f>S797+Q797+P797+O797+N797+M797</f>
        <v/>
      </c>
      <c r="U796" s="2">
        <f>AC797*1%</f>
        <v/>
      </c>
      <c r="V796" s="44">
        <f>AC797*5%</f>
        <v/>
      </c>
      <c r="W796" s="2">
        <f>AC797*1%</f>
        <v/>
      </c>
      <c r="X796" s="2">
        <f>AC797*8%</f>
        <v/>
      </c>
      <c r="Y796" s="2">
        <f>U797+V797+W797+X797</f>
        <v/>
      </c>
      <c r="Z796" s="124">
        <f>Y797+T797+L797</f>
        <v/>
      </c>
      <c r="AA796" s="125">
        <f>Z797*20%</f>
        <v/>
      </c>
      <c r="AB796" s="12">
        <f>Z797+AA797</f>
        <v/>
      </c>
      <c r="AC796" s="2">
        <f>D797*2.1</f>
        <v/>
      </c>
      <c r="AD796" s="12">
        <f>AB797-AC797</f>
        <v/>
      </c>
      <c r="AE796" s="12">
        <f>AD797/AB797*100</f>
        <v/>
      </c>
      <c r="AF796" s="92" t="n">
        <v>8990</v>
      </c>
      <c r="AG796" s="126">
        <f>((AF797-L797)/L797)*100</f>
        <v/>
      </c>
      <c r="AH796" s="132">
        <f>AJ797-AF797</f>
        <v/>
      </c>
      <c r="AI796" s="132">
        <f>AB797</f>
        <v/>
      </c>
      <c r="AJ796" s="132" t="n">
        <v>9450</v>
      </c>
      <c r="AK796" s="128">
        <f>(AJ797-L797)/L797*100</f>
        <v/>
      </c>
      <c r="AL796" s="128" t="n"/>
      <c r="AM796" s="128">
        <f>AH797/AJ797%</f>
        <v/>
      </c>
      <c r="AN796" s="128">
        <f>AK797-AG797</f>
        <v/>
      </c>
      <c r="AO796" s="129">
        <f>AJ797/L797</f>
        <v/>
      </c>
      <c r="AP796" s="128">
        <f>(AJ797-AB797)/100</f>
        <v/>
      </c>
      <c r="AQ796" s="128">
        <f>(AJ797-AC797)/100</f>
        <v/>
      </c>
      <c r="AR796" s="130">
        <f>AI797/94</f>
        <v/>
      </c>
      <c r="AS796" s="130">
        <f>AJ797/94</f>
        <v/>
      </c>
      <c r="AT796" s="131">
        <f>AI797/24</f>
        <v/>
      </c>
      <c r="AU796" s="131">
        <f>AJ797/24</f>
        <v/>
      </c>
      <c r="AV796" s="131">
        <f>AI797/125</f>
        <v/>
      </c>
      <c r="AW796" s="131">
        <f>AJ797/125</f>
        <v/>
      </c>
    </row>
    <row r="797" ht="15" customHeight="1" s="258">
      <c r="A797" s="2" t="n"/>
      <c r="B797" s="2" t="inlineStr">
        <is>
          <t>Head Bowl</t>
        </is>
      </c>
      <c r="C797" s="2" t="inlineStr">
        <is>
          <t>Mi-SB-Z-10</t>
        </is>
      </c>
      <c r="D797" s="253" t="n">
        <v>6600</v>
      </c>
      <c r="E797" s="2" t="n">
        <v>500</v>
      </c>
      <c r="F797" s="2" t="n">
        <v>145</v>
      </c>
      <c r="G797" s="118" t="n">
        <v>83061000</v>
      </c>
      <c r="H797" s="255" t="n">
        <v>0.05</v>
      </c>
      <c r="I797" s="2">
        <f>D798*H798</f>
        <v/>
      </c>
      <c r="K797" s="2" t="n">
        <v>200</v>
      </c>
      <c r="L797" s="123">
        <f>K798+J798+I798+F798+E798+D798</f>
        <v/>
      </c>
      <c r="M797" s="2">
        <f>D798*1%</f>
        <v/>
      </c>
      <c r="N797" s="12">
        <f>L798*8%</f>
        <v/>
      </c>
      <c r="O797" s="12">
        <f>L798*10%</f>
        <v/>
      </c>
      <c r="P797" s="12">
        <f>L798*5%</f>
        <v/>
      </c>
      <c r="Q797" s="12">
        <f>L798*2%</f>
        <v/>
      </c>
      <c r="R797" s="12">
        <f>AC798*0.5%</f>
        <v/>
      </c>
      <c r="S797" s="12">
        <f>L798*1%</f>
        <v/>
      </c>
      <c r="T797" s="124">
        <f>S798+Q798+P798+O798+N798+M798</f>
        <v/>
      </c>
      <c r="U797" s="2">
        <f>AC798*1%</f>
        <v/>
      </c>
      <c r="V797" s="44">
        <f>AC798*5%</f>
        <v/>
      </c>
      <c r="W797" s="2">
        <f>AC798*1%</f>
        <v/>
      </c>
      <c r="X797" s="2">
        <f>AC798*8%</f>
        <v/>
      </c>
      <c r="Y797" s="2">
        <f>U798+V798+W798+X798</f>
        <v/>
      </c>
      <c r="Z797" s="124">
        <f>Y798+T798+L798</f>
        <v/>
      </c>
      <c r="AA797" s="125">
        <f>Z798*20%</f>
        <v/>
      </c>
      <c r="AB797" s="12">
        <f>Z798+AA798</f>
        <v/>
      </c>
      <c r="AC797" s="2">
        <f>D798*2.1</f>
        <v/>
      </c>
      <c r="AD797" s="12">
        <f>AB798-AC798</f>
        <v/>
      </c>
      <c r="AE797" s="12">
        <f>AD798/AB798*100</f>
        <v/>
      </c>
      <c r="AF797" s="92" t="n">
        <v>11990</v>
      </c>
      <c r="AG797" s="126">
        <f>((AF798-L798)/L798)*100</f>
        <v/>
      </c>
      <c r="AH797" s="132">
        <f>AJ798-AF798</f>
        <v/>
      </c>
      <c r="AI797" s="132">
        <f>AB798</f>
        <v/>
      </c>
      <c r="AJ797" s="132" t="n">
        <v>12450</v>
      </c>
      <c r="AK797" s="128">
        <f>(AJ798-L798)/L798*100</f>
        <v/>
      </c>
      <c r="AL797" s="128" t="n"/>
      <c r="AM797" s="128">
        <f>AH798/AJ798%</f>
        <v/>
      </c>
      <c r="AN797" s="128">
        <f>AK798-AG798</f>
        <v/>
      </c>
      <c r="AO797" s="129">
        <f>AJ798/L798</f>
        <v/>
      </c>
      <c r="AP797" s="128">
        <f>(AJ798-AB798)/100</f>
        <v/>
      </c>
      <c r="AQ797" s="128">
        <f>(AJ798-AC798)/100</f>
        <v/>
      </c>
      <c r="AR797" s="130">
        <f>AI798/94</f>
        <v/>
      </c>
      <c r="AS797" s="130">
        <f>AJ798/94</f>
        <v/>
      </c>
      <c r="AT797" s="131">
        <f>AI798/24</f>
        <v/>
      </c>
      <c r="AU797" s="131">
        <f>AJ798/24</f>
        <v/>
      </c>
      <c r="AV797" s="131">
        <f>AI798/125</f>
        <v/>
      </c>
      <c r="AW797" s="131">
        <f>AJ798/125</f>
        <v/>
      </c>
    </row>
    <row r="798" ht="15.75" customHeight="1" s="258">
      <c r="A798" s="2" t="n"/>
      <c r="B798" s="2" t="inlineStr">
        <is>
          <t>Belly Bowl</t>
        </is>
      </c>
      <c r="C798" s="2" t="inlineStr">
        <is>
          <t>Mi-SB-Z-9</t>
        </is>
      </c>
      <c r="D798" s="253" t="n">
        <v>6000</v>
      </c>
      <c r="E798" s="2" t="n">
        <v>500</v>
      </c>
      <c r="F798" s="2" t="n">
        <v>145</v>
      </c>
      <c r="G798" s="118" t="n">
        <v>83061000</v>
      </c>
      <c r="H798" s="255" t="n">
        <v>0.05</v>
      </c>
      <c r="I798" s="2">
        <f>D799*H799</f>
        <v/>
      </c>
      <c r="K798" s="2" t="n">
        <v>200</v>
      </c>
      <c r="L798" s="123">
        <f>K799+J799+I799+F799+E799+D799</f>
        <v/>
      </c>
      <c r="M798" s="2">
        <f>D799*1%</f>
        <v/>
      </c>
      <c r="N798" s="12">
        <f>L799*8%</f>
        <v/>
      </c>
      <c r="O798" s="12">
        <f>L799*10%</f>
        <v/>
      </c>
      <c r="P798" s="12">
        <f>L799*5%</f>
        <v/>
      </c>
      <c r="Q798" s="12">
        <f>L799*2%</f>
        <v/>
      </c>
      <c r="R798" s="12">
        <f>AC799*0.5%</f>
        <v/>
      </c>
      <c r="S798" s="12">
        <f>L799*1%</f>
        <v/>
      </c>
      <c r="T798" s="124">
        <f>S799+Q799+P799+O799+N799+M799</f>
        <v/>
      </c>
      <c r="U798" s="2">
        <f>AC799*1%</f>
        <v/>
      </c>
      <c r="V798" s="44">
        <f>AC799*5%</f>
        <v/>
      </c>
      <c r="W798" s="2">
        <f>AC799*1%</f>
        <v/>
      </c>
      <c r="X798" s="2">
        <f>AC799*8%</f>
        <v/>
      </c>
      <c r="Y798" s="2">
        <f>U799+V799+W799+X799</f>
        <v/>
      </c>
      <c r="Z798" s="124">
        <f>Y799+T799+L799</f>
        <v/>
      </c>
      <c r="AA798" s="125">
        <f>Z799*20%</f>
        <v/>
      </c>
      <c r="AB798" s="12">
        <f>Z799+AA799</f>
        <v/>
      </c>
      <c r="AC798" s="2">
        <f>D799*2.1</f>
        <v/>
      </c>
      <c r="AD798" s="12">
        <f>AB799-AC799</f>
        <v/>
      </c>
      <c r="AE798" s="12">
        <f>AD799/AB799*100</f>
        <v/>
      </c>
      <c r="AF798" s="92" t="n">
        <v>9900</v>
      </c>
      <c r="AG798" s="126">
        <f>((AF799-L799)/L799)*100</f>
        <v/>
      </c>
      <c r="AH798" s="132">
        <f>AJ799-AF799</f>
        <v/>
      </c>
      <c r="AI798" s="132">
        <f>AB799</f>
        <v/>
      </c>
      <c r="AJ798" s="132" t="n">
        <v>11450</v>
      </c>
      <c r="AK798" s="128">
        <f>(AJ799-L799)/L799*100</f>
        <v/>
      </c>
      <c r="AL798" s="128" t="n"/>
      <c r="AM798" s="128">
        <f>AH799/AJ799%</f>
        <v/>
      </c>
      <c r="AN798" s="128">
        <f>AK799-AG799</f>
        <v/>
      </c>
      <c r="AO798" s="129">
        <f>AJ799/L799</f>
        <v/>
      </c>
      <c r="AP798" s="128">
        <f>(AJ799-AB799)/100</f>
        <v/>
      </c>
      <c r="AQ798" s="128">
        <f>(AJ799-AC799)/100</f>
        <v/>
      </c>
      <c r="AR798" s="130">
        <f>AI799/94</f>
        <v/>
      </c>
      <c r="AS798" s="130">
        <f>AJ799/94</f>
        <v/>
      </c>
      <c r="AT798" s="131">
        <f>AI799/24</f>
        <v/>
      </c>
      <c r="AU798" s="131">
        <f>AJ799/24</f>
        <v/>
      </c>
      <c r="AV798" s="131">
        <f>AI799/125</f>
        <v/>
      </c>
      <c r="AW798" s="131">
        <f>AJ799/125</f>
        <v/>
      </c>
    </row>
    <row r="799" ht="15.75" customHeight="1" s="258">
      <c r="A799" s="2" t="n"/>
      <c r="B799" s="2" t="inlineStr">
        <is>
          <t>Set of 3</t>
        </is>
      </c>
      <c r="C799" s="91" t="inlineStr">
        <is>
          <t>MI-SB-Z-S3</t>
        </is>
      </c>
      <c r="D799" s="118" t="n">
        <v>17450</v>
      </c>
      <c r="E799" s="2" t="n">
        <v>500</v>
      </c>
      <c r="F799" s="2" t="n">
        <v>145</v>
      </c>
      <c r="G799" s="118" t="n">
        <v>9202</v>
      </c>
      <c r="H799" s="255" t="n">
        <v>0.18</v>
      </c>
      <c r="I799" s="2">
        <f>D800*H800</f>
        <v/>
      </c>
      <c r="K799" s="2" t="n">
        <v>600</v>
      </c>
      <c r="L799" s="123">
        <f>K800+J800+I800+F800+E800+D800</f>
        <v/>
      </c>
      <c r="M799" s="2">
        <f>D800*1%</f>
        <v/>
      </c>
      <c r="N799" s="12">
        <f>L800*8%</f>
        <v/>
      </c>
      <c r="O799" s="12">
        <f>L800*10%</f>
        <v/>
      </c>
      <c r="P799" s="12">
        <f>L800*5%</f>
        <v/>
      </c>
      <c r="Q799" s="12">
        <f>L800*2%</f>
        <v/>
      </c>
      <c r="R799" s="12">
        <f>AC800*0.5%</f>
        <v/>
      </c>
      <c r="S799" s="12">
        <f>L800*1%</f>
        <v/>
      </c>
      <c r="T799" s="124">
        <f>S800+Q800+P800+O800+N800+M800</f>
        <v/>
      </c>
      <c r="U799" s="2">
        <f>AC800*1%</f>
        <v/>
      </c>
      <c r="V799" s="44">
        <f>AC800*5%</f>
        <v/>
      </c>
      <c r="W799" s="2">
        <f>AC800*1%</f>
        <v/>
      </c>
      <c r="X799" s="2">
        <f>AC800*8%</f>
        <v/>
      </c>
      <c r="Y799" s="2">
        <f>U800+V800+W800+X800</f>
        <v/>
      </c>
      <c r="Z799" s="124">
        <f>Y800+T800+L800</f>
        <v/>
      </c>
      <c r="AA799" s="125">
        <f>Z800*20%</f>
        <v/>
      </c>
      <c r="AB799" s="12">
        <f>Z800+AA800</f>
        <v/>
      </c>
      <c r="AC799" s="2">
        <f>D800*2.1</f>
        <v/>
      </c>
      <c r="AD799" s="12">
        <f>AB800-AC800</f>
        <v/>
      </c>
      <c r="AE799" s="12">
        <f>AD800/AB800*100</f>
        <v/>
      </c>
      <c r="AF799" s="92" t="n">
        <v>26900</v>
      </c>
      <c r="AG799" s="126">
        <f>((AF800-L800)/L800)*100</f>
        <v/>
      </c>
      <c r="AH799" s="132">
        <f>AJ800-AF800</f>
        <v/>
      </c>
      <c r="AI799" s="132">
        <f>AB800</f>
        <v/>
      </c>
      <c r="AJ799" s="132" t="n">
        <v>28450</v>
      </c>
      <c r="AK799" s="128">
        <f>(AJ800-L800)/L800*100</f>
        <v/>
      </c>
      <c r="AL799" s="128" t="n"/>
      <c r="AM799" s="128">
        <f>AH800/AJ800%</f>
        <v/>
      </c>
      <c r="AN799" s="128">
        <f>AK800-AG800</f>
        <v/>
      </c>
      <c r="AO799" s="129">
        <f>AJ800/L800</f>
        <v/>
      </c>
      <c r="AP799" s="128">
        <f>(AJ800-AB800)/100</f>
        <v/>
      </c>
      <c r="AQ799" s="128">
        <f>(AJ800-AC800)/100</f>
        <v/>
      </c>
      <c r="AR799" s="130">
        <f>AI800/94</f>
        <v/>
      </c>
      <c r="AS799" s="130">
        <f>AJ800/94</f>
        <v/>
      </c>
      <c r="AT799" s="131">
        <f>AI800/24</f>
        <v/>
      </c>
      <c r="AU799" s="131">
        <f>AJ800/24</f>
        <v/>
      </c>
      <c r="AV799" s="131">
        <f>AI800/125</f>
        <v/>
      </c>
      <c r="AW799" s="131">
        <f>AJ800/125</f>
        <v/>
      </c>
    </row>
    <row r="800" ht="15.75" customHeight="1" s="258">
      <c r="A800" s="2" t="n"/>
      <c r="B800" s="2" t="n"/>
      <c r="D800" s="121" t="n"/>
      <c r="E800" s="2" t="n"/>
      <c r="F800" s="2" t="n"/>
      <c r="G800" s="118" t="n"/>
      <c r="H800" s="255" t="n"/>
      <c r="I800" s="2" t="n"/>
      <c r="K800" s="2" t="n"/>
      <c r="L800" s="123" t="n"/>
      <c r="M800" s="2" t="n"/>
      <c r="N800" s="12" t="n"/>
      <c r="O800" s="12" t="n"/>
      <c r="P800" s="12" t="n"/>
      <c r="Q800" s="12" t="n"/>
      <c r="R800" s="12" t="n"/>
      <c r="S800" s="12" t="n"/>
      <c r="T800" s="123" t="n"/>
      <c r="U800" s="2" t="n"/>
      <c r="V800" s="44">
        <f>AC801*5%</f>
        <v/>
      </c>
      <c r="W800" s="2" t="n"/>
      <c r="X800" s="2" t="n"/>
      <c r="Y800" s="2" t="n"/>
      <c r="Z800" s="124" t="n"/>
      <c r="AA800" s="125" t="n"/>
      <c r="AB800" s="2" t="n"/>
      <c r="AC800" s="2" t="n"/>
      <c r="AD800" s="12" t="n"/>
      <c r="AE800" s="12" t="n"/>
      <c r="AG800" s="126" t="n"/>
      <c r="AH800" s="132" t="n"/>
      <c r="AI800" s="132" t="n"/>
      <c r="AJ800" s="132" t="n"/>
      <c r="AK800" s="128" t="n"/>
      <c r="AL800" s="128" t="n"/>
      <c r="AM800" s="128" t="n"/>
      <c r="AN800" s="128" t="n"/>
      <c r="AO800" s="129" t="n"/>
      <c r="AP800" s="128" t="n"/>
      <c r="AQ800" s="128" t="n"/>
      <c r="AR800" s="130" t="n"/>
      <c r="AS800" s="130" t="n"/>
      <c r="AT800" s="131" t="n"/>
      <c r="AU800" s="131" t="n"/>
      <c r="AV800" s="131" t="n"/>
      <c r="AW800" s="131" t="n"/>
    </row>
    <row r="801" ht="15.75" customHeight="1" s="258">
      <c r="A801" s="2" t="inlineStr">
        <is>
          <t>Wooden Mallets for Singing Bowls</t>
        </is>
      </c>
      <c r="B801" s="2" t="inlineStr">
        <is>
          <t>Red / Long Firm-Standard</t>
        </is>
      </c>
      <c r="C801" s="92" t="inlineStr">
        <is>
          <t>MI-SB-M-L-F-ST</t>
        </is>
      </c>
      <c r="D801" s="118" t="n">
        <v>170</v>
      </c>
      <c r="F801" s="2" t="n">
        <v>50</v>
      </c>
      <c r="G801" s="118" t="n">
        <v>9202</v>
      </c>
      <c r="H801" s="255" t="n">
        <v>0.18</v>
      </c>
      <c r="I801" s="2">
        <f>D802*H802</f>
        <v/>
      </c>
      <c r="K801" s="2" t="n">
        <v>20</v>
      </c>
      <c r="L801" s="123">
        <f>K802+J802+I802+F802+E802+D802</f>
        <v/>
      </c>
      <c r="M801" s="2">
        <f>D802*1%</f>
        <v/>
      </c>
      <c r="N801" s="12">
        <f>L802*8%</f>
        <v/>
      </c>
      <c r="O801" s="12">
        <f>L802*10%</f>
        <v/>
      </c>
      <c r="P801" s="12">
        <f>L802*5%</f>
        <v/>
      </c>
      <c r="Q801" s="12">
        <f>L802*2%</f>
        <v/>
      </c>
      <c r="R801" s="12">
        <f>AC802*0.5%</f>
        <v/>
      </c>
      <c r="S801" s="12">
        <f>L802*1%</f>
        <v/>
      </c>
      <c r="T801" s="124">
        <f>S802+Q802+P802+O802+N802+M802</f>
        <v/>
      </c>
      <c r="U801" s="2">
        <f>AC802*1%</f>
        <v/>
      </c>
      <c r="V801" s="44">
        <f>AC802*5%</f>
        <v/>
      </c>
      <c r="W801" s="2">
        <f>AC802*1%</f>
        <v/>
      </c>
      <c r="X801" s="2">
        <f>AC802*8%</f>
        <v/>
      </c>
      <c r="Y801" s="2">
        <f>U802+V802+W802+X802</f>
        <v/>
      </c>
      <c r="Z801" s="124">
        <f>Y802+T802+L802</f>
        <v/>
      </c>
      <c r="AA801" s="125">
        <f>Z802*20%</f>
        <v/>
      </c>
      <c r="AB801" s="12">
        <f>Z802+AA802</f>
        <v/>
      </c>
      <c r="AC801" s="2">
        <f>D802*2.1</f>
        <v/>
      </c>
      <c r="AD801" s="12">
        <f>AB802-AC802</f>
        <v/>
      </c>
      <c r="AE801" s="12">
        <f>AD802/AB802*100</f>
        <v/>
      </c>
      <c r="AF801" s="92" t="n">
        <v>645</v>
      </c>
      <c r="AG801" s="126">
        <f>((AF802-L802)/L802)*100</f>
        <v/>
      </c>
      <c r="AH801" s="132">
        <f>AJ802-AF802</f>
        <v/>
      </c>
      <c r="AI801" s="132">
        <f>AB802</f>
        <v/>
      </c>
      <c r="AJ801" s="92" t="n">
        <v>645</v>
      </c>
      <c r="AK801" s="128">
        <f>(AJ802-L802)/L802*100</f>
        <v/>
      </c>
      <c r="AL801" s="128" t="n"/>
      <c r="AM801" s="128">
        <f>AH802/AJ802%</f>
        <v/>
      </c>
      <c r="AN801" s="128">
        <f>AK802-AG802</f>
        <v/>
      </c>
      <c r="AO801" s="129">
        <f>AJ802/L802</f>
        <v/>
      </c>
      <c r="AP801" s="128">
        <f>(AJ802-AB802)/100</f>
        <v/>
      </c>
      <c r="AQ801" s="128">
        <f>(AJ802-AC802)/100</f>
        <v/>
      </c>
      <c r="AR801" s="130">
        <f>AI802/94</f>
        <v/>
      </c>
      <c r="AS801" s="130">
        <f>AJ802/94</f>
        <v/>
      </c>
      <c r="AT801" s="131">
        <f>AI802/24</f>
        <v/>
      </c>
      <c r="AU801" s="131">
        <f>AJ802/24</f>
        <v/>
      </c>
      <c r="AV801" s="131">
        <f>AI802/125</f>
        <v/>
      </c>
      <c r="AW801" s="131">
        <f>AJ802/125</f>
        <v/>
      </c>
    </row>
    <row r="802" ht="15" customHeight="1" s="258">
      <c r="A802" s="2" t="n"/>
      <c r="B802" s="2" t="inlineStr">
        <is>
          <t>Red / Long Firm-Small</t>
        </is>
      </c>
      <c r="C802" s="92" t="inlineStr">
        <is>
          <t>MI-SB-M-L-F-S</t>
        </is>
      </c>
      <c r="D802" s="118" t="n">
        <v>150</v>
      </c>
      <c r="F802" s="2" t="n">
        <v>50</v>
      </c>
      <c r="G802" s="118" t="n">
        <v>9202</v>
      </c>
      <c r="H802" s="255" t="n">
        <v>0.18</v>
      </c>
      <c r="I802" s="2">
        <f>D803*H803</f>
        <v/>
      </c>
      <c r="K802" s="2" t="n">
        <v>20</v>
      </c>
      <c r="L802" s="123">
        <f>K803+J803+I803+F803+E803+D803</f>
        <v/>
      </c>
      <c r="M802" s="2">
        <f>D803*1%</f>
        <v/>
      </c>
      <c r="N802" s="12">
        <f>L803*8%</f>
        <v/>
      </c>
      <c r="O802" s="12">
        <f>L803*10%</f>
        <v/>
      </c>
      <c r="P802" s="12">
        <f>L803*5%</f>
        <v/>
      </c>
      <c r="Q802" s="12">
        <f>L803*2%</f>
        <v/>
      </c>
      <c r="R802" s="12">
        <f>AC803*0.5%</f>
        <v/>
      </c>
      <c r="S802" s="12">
        <f>L803*1%</f>
        <v/>
      </c>
      <c r="T802" s="124">
        <f>S803+Q803+P803+O803+N803+M803</f>
        <v/>
      </c>
      <c r="U802" s="2">
        <f>AC803*1%</f>
        <v/>
      </c>
      <c r="V802" s="44">
        <f>AC803*5%</f>
        <v/>
      </c>
      <c r="W802" s="2">
        <f>AC803*1%</f>
        <v/>
      </c>
      <c r="X802" s="2">
        <f>AC803*8%</f>
        <v/>
      </c>
      <c r="Y802" s="2">
        <f>U803+V803+W803+X803</f>
        <v/>
      </c>
      <c r="Z802" s="124">
        <f>Y803+T803+L803</f>
        <v/>
      </c>
      <c r="AA802" s="125">
        <f>Z803*20%</f>
        <v/>
      </c>
      <c r="AB802" s="12">
        <f>Z803+AA803</f>
        <v/>
      </c>
      <c r="AC802" s="2">
        <f>D803*2.1</f>
        <v/>
      </c>
      <c r="AD802" s="12">
        <f>AB803-AC803</f>
        <v/>
      </c>
      <c r="AE802" s="12">
        <f>AD803/AB803*100</f>
        <v/>
      </c>
      <c r="AF802" s="92" t="n">
        <v>545</v>
      </c>
      <c r="AG802" s="126">
        <f>((AF803-L803)/L803)*100</f>
        <v/>
      </c>
      <c r="AH802" s="132">
        <f>AJ803-AF803</f>
        <v/>
      </c>
      <c r="AI802" s="132">
        <f>AB803</f>
        <v/>
      </c>
      <c r="AJ802" s="92" t="n">
        <v>545</v>
      </c>
      <c r="AK802" s="128">
        <f>(AJ803-L803)/L803*100</f>
        <v/>
      </c>
      <c r="AL802" s="128" t="n"/>
      <c r="AM802" s="128">
        <f>AH803/AJ803%</f>
        <v/>
      </c>
      <c r="AN802" s="128">
        <f>AK803-AG803</f>
        <v/>
      </c>
      <c r="AO802" s="129">
        <f>AJ803/L803</f>
        <v/>
      </c>
      <c r="AP802" s="128">
        <f>(AJ803-AB803)/100</f>
        <v/>
      </c>
      <c r="AQ802" s="128">
        <f>(AJ803-AC803)/100</f>
        <v/>
      </c>
      <c r="AR802" s="130">
        <f>AI803/94</f>
        <v/>
      </c>
      <c r="AS802" s="130">
        <f>AJ803/94</f>
        <v/>
      </c>
      <c r="AT802" s="131">
        <f>AI803/24</f>
        <v/>
      </c>
      <c r="AU802" s="131">
        <f>AJ803/24</f>
        <v/>
      </c>
      <c r="AV802" s="131">
        <f>AI803/125</f>
        <v/>
      </c>
      <c r="AW802" s="131">
        <f>AJ803/125</f>
        <v/>
      </c>
    </row>
    <row r="803" ht="15.75" customHeight="1" s="258">
      <c r="A803" s="2" t="n"/>
      <c r="B803" s="2" t="inlineStr">
        <is>
          <t>White / Long Firm-Standard</t>
        </is>
      </c>
      <c r="C803" s="92" t="inlineStr">
        <is>
          <t>MI-SB-M-W-L-F-ST</t>
        </is>
      </c>
      <c r="D803" s="118" t="n">
        <v>170</v>
      </c>
      <c r="F803" s="2" t="n">
        <v>50</v>
      </c>
      <c r="G803" s="118" t="n">
        <v>9202</v>
      </c>
      <c r="H803" s="255" t="n">
        <v>0.18</v>
      </c>
      <c r="I803" s="2">
        <f>D804*H804</f>
        <v/>
      </c>
      <c r="K803" s="2" t="n">
        <v>20</v>
      </c>
      <c r="L803" s="123">
        <f>K804+J804+I804+F804+E804+D804</f>
        <v/>
      </c>
      <c r="M803" s="2">
        <f>D804*1%</f>
        <v/>
      </c>
      <c r="N803" s="12">
        <f>L804*8%</f>
        <v/>
      </c>
      <c r="O803" s="12">
        <f>L804*10%</f>
        <v/>
      </c>
      <c r="P803" s="12">
        <f>L804*5%</f>
        <v/>
      </c>
      <c r="Q803" s="12">
        <f>L804*2%</f>
        <v/>
      </c>
      <c r="R803" s="12">
        <f>AC804*0.5%</f>
        <v/>
      </c>
      <c r="S803" s="12">
        <f>L804*1%</f>
        <v/>
      </c>
      <c r="T803" s="124">
        <f>S804+Q804+P804+O804+N804+M804</f>
        <v/>
      </c>
      <c r="U803" s="2">
        <f>AC804*1%</f>
        <v/>
      </c>
      <c r="V803" s="44">
        <f>AC804*5%</f>
        <v/>
      </c>
      <c r="W803" s="2">
        <f>AC804*1%</f>
        <v/>
      </c>
      <c r="X803" s="2">
        <f>AC804*8%</f>
        <v/>
      </c>
      <c r="Y803" s="2">
        <f>U804+V804+W804+X804</f>
        <v/>
      </c>
      <c r="Z803" s="124">
        <f>Y804+T804+L804</f>
        <v/>
      </c>
      <c r="AA803" s="125">
        <f>Z804*20%</f>
        <v/>
      </c>
      <c r="AB803" s="12">
        <f>Z804+AA804</f>
        <v/>
      </c>
      <c r="AC803" s="2">
        <f>D804*2.1</f>
        <v/>
      </c>
      <c r="AD803" s="12">
        <f>AB804-AC804</f>
        <v/>
      </c>
      <c r="AE803" s="12">
        <f>AD804/AB804*100</f>
        <v/>
      </c>
      <c r="AF803" s="92" t="n">
        <v>645</v>
      </c>
      <c r="AG803" s="126">
        <f>((AF804-L804)/L804)*100</f>
        <v/>
      </c>
      <c r="AH803" s="132">
        <f>AJ804-AF804</f>
        <v/>
      </c>
      <c r="AI803" s="132">
        <f>AB804</f>
        <v/>
      </c>
      <c r="AJ803" s="92" t="n">
        <v>645</v>
      </c>
      <c r="AK803" s="128">
        <f>(AJ804-L804)/L804*100</f>
        <v/>
      </c>
      <c r="AL803" s="128" t="n"/>
      <c r="AM803" s="128">
        <f>AH804/AJ804%</f>
        <v/>
      </c>
      <c r="AN803" s="128">
        <f>AK804-AG804</f>
        <v/>
      </c>
      <c r="AO803" s="129">
        <f>AJ804/L804</f>
        <v/>
      </c>
      <c r="AP803" s="128">
        <f>(AJ804-AB804)/100</f>
        <v/>
      </c>
      <c r="AQ803" s="128">
        <f>(AJ804-AC804)/100</f>
        <v/>
      </c>
      <c r="AR803" s="130">
        <f>AI804/94</f>
        <v/>
      </c>
      <c r="AS803" s="130">
        <f>AJ804/94</f>
        <v/>
      </c>
      <c r="AT803" s="131">
        <f>AI804/24</f>
        <v/>
      </c>
      <c r="AU803" s="131">
        <f>AJ804/24</f>
        <v/>
      </c>
      <c r="AV803" s="131">
        <f>AI804/125</f>
        <v/>
      </c>
      <c r="AW803" s="131">
        <f>AJ804/125</f>
        <v/>
      </c>
    </row>
    <row r="804" ht="15.75" customHeight="1" s="258">
      <c r="A804" s="2" t="n"/>
      <c r="B804" s="2" t="inlineStr">
        <is>
          <t>White / Long Firm-Small</t>
        </is>
      </c>
      <c r="C804" s="92" t="inlineStr">
        <is>
          <t>MI-SB-M-W-L-F-S</t>
        </is>
      </c>
      <c r="D804" s="118" t="n">
        <v>150</v>
      </c>
      <c r="F804" s="2" t="n">
        <v>50</v>
      </c>
      <c r="G804" s="118" t="n">
        <v>9202</v>
      </c>
      <c r="H804" s="255" t="n">
        <v>0.18</v>
      </c>
      <c r="I804" s="2">
        <f>D805*H805</f>
        <v/>
      </c>
      <c r="K804" s="2" t="n">
        <v>20</v>
      </c>
      <c r="L804" s="123">
        <f>K805+J805+I805+F805+E805+D805</f>
        <v/>
      </c>
      <c r="M804" s="2">
        <f>D805*1%</f>
        <v/>
      </c>
      <c r="N804" s="12">
        <f>L805*8%</f>
        <v/>
      </c>
      <c r="O804" s="12">
        <f>L805*10%</f>
        <v/>
      </c>
      <c r="P804" s="12">
        <f>L805*5%</f>
        <v/>
      </c>
      <c r="Q804" s="12">
        <f>L805*2%</f>
        <v/>
      </c>
      <c r="R804" s="12">
        <f>AC805*0.5%</f>
        <v/>
      </c>
      <c r="S804" s="12">
        <f>L805*1%</f>
        <v/>
      </c>
      <c r="T804" s="124">
        <f>S805+Q805+P805+O805+N805+M805</f>
        <v/>
      </c>
      <c r="U804" s="2">
        <f>AC805*1%</f>
        <v/>
      </c>
      <c r="V804" s="44">
        <f>AC805*5%</f>
        <v/>
      </c>
      <c r="W804" s="2">
        <f>AC805*1%</f>
        <v/>
      </c>
      <c r="X804" s="2">
        <f>AC805*8%</f>
        <v/>
      </c>
      <c r="Y804" s="2">
        <f>U805+V805+W805+X805</f>
        <v/>
      </c>
      <c r="Z804" s="124">
        <f>Y805+T805+L805</f>
        <v/>
      </c>
      <c r="AA804" s="125">
        <f>Z805*20%</f>
        <v/>
      </c>
      <c r="AB804" s="12">
        <f>Z805+AA805</f>
        <v/>
      </c>
      <c r="AC804" s="2">
        <f>D805*2.1</f>
        <v/>
      </c>
      <c r="AD804" s="12">
        <f>AB805-AC805</f>
        <v/>
      </c>
      <c r="AE804" s="12">
        <f>AD805/AB805*100</f>
        <v/>
      </c>
      <c r="AF804" s="92" t="n">
        <v>545</v>
      </c>
      <c r="AG804" s="126">
        <f>((AF805-L805)/L805)*100</f>
        <v/>
      </c>
      <c r="AH804" s="132">
        <f>AJ805-AF805</f>
        <v/>
      </c>
      <c r="AI804" s="132">
        <f>AB805</f>
        <v/>
      </c>
      <c r="AJ804" s="92" t="n">
        <v>545</v>
      </c>
      <c r="AK804" s="128">
        <f>(AJ805-L805)/L805*100</f>
        <v/>
      </c>
      <c r="AL804" s="128" t="n"/>
      <c r="AM804" s="128">
        <f>AH805/AJ805%</f>
        <v/>
      </c>
      <c r="AN804" s="128">
        <f>AK805-AG805</f>
        <v/>
      </c>
      <c r="AO804" s="129">
        <f>AJ805/L805</f>
        <v/>
      </c>
      <c r="AP804" s="128">
        <f>(AJ805-AB805)/100</f>
        <v/>
      </c>
      <c r="AQ804" s="128">
        <f>(AJ805-AC805)/100</f>
        <v/>
      </c>
      <c r="AR804" s="130">
        <f>AI805/94</f>
        <v/>
      </c>
      <c r="AS804" s="130">
        <f>AJ805/94</f>
        <v/>
      </c>
      <c r="AT804" s="131">
        <f>AI805/24</f>
        <v/>
      </c>
      <c r="AU804" s="131">
        <f>AJ805/24</f>
        <v/>
      </c>
      <c r="AV804" s="131">
        <f>AI805/125</f>
        <v/>
      </c>
      <c r="AW804" s="131">
        <f>AJ805/125</f>
        <v/>
      </c>
    </row>
    <row r="805" ht="15.75" customHeight="1" s="258">
      <c r="A805" s="2" t="n"/>
      <c r="B805" s="2" t="inlineStr">
        <is>
          <t>Red / Long Soft-13"</t>
        </is>
      </c>
      <c r="C805" s="2" t="inlineStr">
        <is>
          <t>MI-SB-M-L-R-13</t>
        </is>
      </c>
      <c r="D805" s="118" t="n">
        <v>175</v>
      </c>
      <c r="F805" s="2" t="n">
        <v>50</v>
      </c>
      <c r="G805" s="118" t="n">
        <v>9202</v>
      </c>
      <c r="H805" s="255" t="n">
        <v>0.18</v>
      </c>
      <c r="I805" s="2">
        <f>D806*H806</f>
        <v/>
      </c>
      <c r="K805" s="2" t="n">
        <v>20</v>
      </c>
      <c r="L805" s="123">
        <f>K806+J806+I806+F806+E806+D806</f>
        <v/>
      </c>
      <c r="M805" s="2">
        <f>D806*1%</f>
        <v/>
      </c>
      <c r="N805" s="12">
        <f>L806*8%</f>
        <v/>
      </c>
      <c r="O805" s="12">
        <f>L806*10%</f>
        <v/>
      </c>
      <c r="P805" s="12">
        <f>L806*5%</f>
        <v/>
      </c>
      <c r="Q805" s="12">
        <f>L806*2%</f>
        <v/>
      </c>
      <c r="R805" s="12">
        <f>AC806*0.5%</f>
        <v/>
      </c>
      <c r="S805" s="12">
        <f>L806*1%</f>
        <v/>
      </c>
      <c r="T805" s="124">
        <f>S806+Q806+P806+O806+N806+M806</f>
        <v/>
      </c>
      <c r="U805" s="2">
        <f>AC806*1%</f>
        <v/>
      </c>
      <c r="V805" s="44">
        <f>AC806*5%</f>
        <v/>
      </c>
      <c r="W805" s="2">
        <f>AC806*1%</f>
        <v/>
      </c>
      <c r="X805" s="2">
        <f>AC806*8%</f>
        <v/>
      </c>
      <c r="Y805" s="2">
        <f>U806+V806+W806+X806</f>
        <v/>
      </c>
      <c r="Z805" s="124">
        <f>Y806+T806+L806</f>
        <v/>
      </c>
      <c r="AA805" s="125">
        <f>Z806*20%</f>
        <v/>
      </c>
      <c r="AB805" s="12">
        <f>Z806+AA806</f>
        <v/>
      </c>
      <c r="AC805" s="2">
        <f>D806*2.1</f>
        <v/>
      </c>
      <c r="AD805" s="12">
        <f>AB806-AC806</f>
        <v/>
      </c>
      <c r="AE805" s="12">
        <f>AD806/AB806*100</f>
        <v/>
      </c>
      <c r="AF805" s="92" t="n">
        <v>850</v>
      </c>
      <c r="AG805" s="126">
        <f>((AF806-L806)/L806)*100</f>
        <v/>
      </c>
      <c r="AH805" s="132">
        <f>AJ806-AF806</f>
        <v/>
      </c>
      <c r="AI805" s="132">
        <f>AB806</f>
        <v/>
      </c>
      <c r="AJ805" s="92" t="n">
        <v>745</v>
      </c>
      <c r="AK805" s="128">
        <f>(AJ806-L806)/L806*100</f>
        <v/>
      </c>
      <c r="AL805" s="128" t="n"/>
      <c r="AM805" s="128">
        <f>AH806/AJ806%</f>
        <v/>
      </c>
      <c r="AN805" s="128">
        <f>AK806-AG806</f>
        <v/>
      </c>
      <c r="AO805" s="129">
        <f>AJ806/L806</f>
        <v/>
      </c>
      <c r="AP805" s="128">
        <f>(AJ806-AB806)/100</f>
        <v/>
      </c>
      <c r="AQ805" s="128">
        <f>(AJ806-AC806)/100</f>
        <v/>
      </c>
      <c r="AR805" s="130">
        <f>AI806/94</f>
        <v/>
      </c>
      <c r="AS805" s="130">
        <f>AJ806/94</f>
        <v/>
      </c>
      <c r="AT805" s="131">
        <f>AI806/24</f>
        <v/>
      </c>
      <c r="AU805" s="131">
        <f>AJ806/24</f>
        <v/>
      </c>
      <c r="AV805" s="131">
        <f>AI806/125</f>
        <v/>
      </c>
      <c r="AW805" s="131">
        <f>AJ806/125</f>
        <v/>
      </c>
    </row>
    <row r="806" ht="15.75" customHeight="1" s="258">
      <c r="A806" s="2" t="n"/>
      <c r="B806" s="2" t="inlineStr">
        <is>
          <t>Red / Long Soft-11"</t>
        </is>
      </c>
      <c r="C806" s="2" t="inlineStr">
        <is>
          <t>MI-SB-M-L-R-11</t>
        </is>
      </c>
      <c r="D806" s="118" t="n">
        <v>150</v>
      </c>
      <c r="F806" s="2" t="n">
        <v>50</v>
      </c>
      <c r="G806" s="118" t="n">
        <v>9202</v>
      </c>
      <c r="H806" s="255" t="n">
        <v>0.18</v>
      </c>
      <c r="I806" s="2">
        <f>D807*H807</f>
        <v/>
      </c>
      <c r="K806" s="2" t="n">
        <v>20</v>
      </c>
      <c r="L806" s="123">
        <f>K807+J807+I807+F807+E807+D807</f>
        <v/>
      </c>
      <c r="M806" s="2">
        <f>D807*1%</f>
        <v/>
      </c>
      <c r="N806" s="12">
        <f>L807*8%</f>
        <v/>
      </c>
      <c r="O806" s="12">
        <f>L807*10%</f>
        <v/>
      </c>
      <c r="P806" s="12">
        <f>L807*5%</f>
        <v/>
      </c>
      <c r="Q806" s="12">
        <f>L807*2%</f>
        <v/>
      </c>
      <c r="R806" s="12">
        <f>AC807*0.5%</f>
        <v/>
      </c>
      <c r="S806" s="12">
        <f>L807*1%</f>
        <v/>
      </c>
      <c r="T806" s="124">
        <f>S807+Q807+P807+O807+N807+M807</f>
        <v/>
      </c>
      <c r="U806" s="2">
        <f>AC807*1%</f>
        <v/>
      </c>
      <c r="V806" s="44">
        <f>AC807*5%</f>
        <v/>
      </c>
      <c r="W806" s="2">
        <f>AC807*1%</f>
        <v/>
      </c>
      <c r="X806" s="2">
        <f>AC807*8%</f>
        <v/>
      </c>
      <c r="Y806" s="2">
        <f>U807+V807+W807+X807</f>
        <v/>
      </c>
      <c r="Z806" s="124">
        <f>Y807+T807+L807</f>
        <v/>
      </c>
      <c r="AA806" s="125">
        <f>Z807*20%</f>
        <v/>
      </c>
      <c r="AB806" s="12">
        <f>Z807+AA807</f>
        <v/>
      </c>
      <c r="AC806" s="2">
        <f>D807*2.1</f>
        <v/>
      </c>
      <c r="AD806" s="12">
        <f>AB807-AC807</f>
        <v/>
      </c>
      <c r="AE806" s="12">
        <f>AD807/AB807*100</f>
        <v/>
      </c>
      <c r="AF806" s="92" t="n">
        <v>695</v>
      </c>
      <c r="AG806" s="126">
        <f>((AF807-L807)/L807)*100</f>
        <v/>
      </c>
      <c r="AH806" s="132">
        <f>AJ807-AF807</f>
        <v/>
      </c>
      <c r="AI806" s="132">
        <f>AB807</f>
        <v/>
      </c>
      <c r="AJ806" s="92" t="n">
        <v>695</v>
      </c>
      <c r="AK806" s="128">
        <f>(AJ807-L807)/L807*100</f>
        <v/>
      </c>
      <c r="AL806" s="128" t="n"/>
      <c r="AM806" s="128">
        <f>AH807/AJ807%</f>
        <v/>
      </c>
      <c r="AN806" s="128">
        <f>AK807-AG807</f>
        <v/>
      </c>
      <c r="AO806" s="129">
        <f>AJ807/L807</f>
        <v/>
      </c>
      <c r="AP806" s="128">
        <f>(AJ807-AB807)/100</f>
        <v/>
      </c>
      <c r="AQ806" s="128">
        <f>(AJ807-AC807)/100</f>
        <v/>
      </c>
      <c r="AR806" s="130">
        <f>AI807/94</f>
        <v/>
      </c>
      <c r="AS806" s="130">
        <f>AJ807/94</f>
        <v/>
      </c>
      <c r="AT806" s="131">
        <f>AI807/24</f>
        <v/>
      </c>
      <c r="AU806" s="131">
        <f>AJ807/24</f>
        <v/>
      </c>
      <c r="AV806" s="131">
        <f>AI807/125</f>
        <v/>
      </c>
      <c r="AW806" s="131">
        <f>AJ807/125</f>
        <v/>
      </c>
    </row>
    <row r="807" ht="15.75" customHeight="1" s="258">
      <c r="A807" s="2" t="n"/>
      <c r="B807" s="2" t="inlineStr">
        <is>
          <t>Red / Long Soft-9"</t>
        </is>
      </c>
      <c r="C807" s="2" t="inlineStr">
        <is>
          <t>MI-SB-M-L-R-9</t>
        </is>
      </c>
      <c r="D807" s="118" t="n">
        <v>125</v>
      </c>
      <c r="F807" s="2" t="n">
        <v>50</v>
      </c>
      <c r="G807" s="118" t="n">
        <v>9202</v>
      </c>
      <c r="H807" s="255" t="n">
        <v>0.18</v>
      </c>
      <c r="I807" s="2">
        <f>D808*H808</f>
        <v/>
      </c>
      <c r="K807" s="2" t="n">
        <v>20</v>
      </c>
      <c r="L807" s="123">
        <f>K808+J808+I808+F808+E808+D808</f>
        <v/>
      </c>
      <c r="M807" s="2">
        <f>D808*1%</f>
        <v/>
      </c>
      <c r="N807" s="12">
        <f>L808*8%</f>
        <v/>
      </c>
      <c r="O807" s="12">
        <f>L808*10%</f>
        <v/>
      </c>
      <c r="P807" s="12">
        <f>L808*5%</f>
        <v/>
      </c>
      <c r="Q807" s="12">
        <f>L808*2%</f>
        <v/>
      </c>
      <c r="R807" s="12">
        <f>AC808*0.5%</f>
        <v/>
      </c>
      <c r="S807" s="12">
        <f>L808*1%</f>
        <v/>
      </c>
      <c r="T807" s="124">
        <f>S808+Q808+P808+O808+N808+M808</f>
        <v/>
      </c>
      <c r="U807" s="2">
        <f>AC808*1%</f>
        <v/>
      </c>
      <c r="V807" s="44">
        <f>AC808*5%</f>
        <v/>
      </c>
      <c r="W807" s="2">
        <f>AC808*1%</f>
        <v/>
      </c>
      <c r="X807" s="2">
        <f>AC808*8%</f>
        <v/>
      </c>
      <c r="Y807" s="2">
        <f>U808+V808+W808+X808</f>
        <v/>
      </c>
      <c r="Z807" s="124">
        <f>Y808+T808+L808</f>
        <v/>
      </c>
      <c r="AA807" s="125">
        <f>Z808*20%</f>
        <v/>
      </c>
      <c r="AB807" s="12">
        <f>Z808+AA808</f>
        <v/>
      </c>
      <c r="AC807" s="2">
        <f>D808*2.1</f>
        <v/>
      </c>
      <c r="AD807" s="12">
        <f>AB808-AC808</f>
        <v/>
      </c>
      <c r="AE807" s="12">
        <f>AD808/AB808*100</f>
        <v/>
      </c>
      <c r="AF807" s="92" t="n">
        <v>645</v>
      </c>
      <c r="AG807" s="126">
        <f>((AF808-L808)/L808)*100</f>
        <v/>
      </c>
      <c r="AH807" s="132">
        <f>AJ808-AF808</f>
        <v/>
      </c>
      <c r="AI807" s="132">
        <f>AB808</f>
        <v/>
      </c>
      <c r="AJ807" s="92" t="n">
        <v>645</v>
      </c>
      <c r="AK807" s="128">
        <f>(AJ808-L808)/L808*100</f>
        <v/>
      </c>
      <c r="AL807" s="128" t="n"/>
      <c r="AM807" s="128">
        <f>AH808/AJ808%</f>
        <v/>
      </c>
      <c r="AN807" s="128">
        <f>AK808-AG808</f>
        <v/>
      </c>
      <c r="AO807" s="129">
        <f>AJ808/L808</f>
        <v/>
      </c>
      <c r="AP807" s="128">
        <f>(AJ808-AB808)/100</f>
        <v/>
      </c>
      <c r="AQ807" s="128">
        <f>(AJ808-AC808)/100</f>
        <v/>
      </c>
      <c r="AR807" s="130">
        <f>AI808/94</f>
        <v/>
      </c>
      <c r="AS807" s="130">
        <f>AJ808/94</f>
        <v/>
      </c>
      <c r="AT807" s="131">
        <f>AI808/24</f>
        <v/>
      </c>
      <c r="AU807" s="131">
        <f>AJ808/24</f>
        <v/>
      </c>
      <c r="AV807" s="131">
        <f>AI808/125</f>
        <v/>
      </c>
      <c r="AW807" s="131">
        <f>AJ808/125</f>
        <v/>
      </c>
    </row>
    <row r="808" ht="15.75" customHeight="1" s="258">
      <c r="A808" s="2" t="n"/>
      <c r="B808" s="2" t="inlineStr">
        <is>
          <t>White / Long Soft-13"</t>
        </is>
      </c>
      <c r="C808" s="2" t="inlineStr">
        <is>
          <t>MI-SB-M-L-W-13</t>
        </is>
      </c>
      <c r="D808" s="118" t="n">
        <v>175</v>
      </c>
      <c r="F808" s="2" t="n">
        <v>50</v>
      </c>
      <c r="G808" s="118" t="n">
        <v>9202</v>
      </c>
      <c r="H808" s="255" t="n">
        <v>0.18</v>
      </c>
      <c r="I808" s="2">
        <f>D809*H809</f>
        <v/>
      </c>
      <c r="K808" s="2" t="n">
        <v>20</v>
      </c>
      <c r="L808" s="123">
        <f>K809+J809+I809+F809+E809+D809</f>
        <v/>
      </c>
      <c r="M808" s="2">
        <f>D809*1%</f>
        <v/>
      </c>
      <c r="N808" s="12">
        <f>L809*8%</f>
        <v/>
      </c>
      <c r="O808" s="12">
        <f>L809*10%</f>
        <v/>
      </c>
      <c r="P808" s="12">
        <f>L809*5%</f>
        <v/>
      </c>
      <c r="Q808" s="12">
        <f>L809*2%</f>
        <v/>
      </c>
      <c r="R808" s="12">
        <f>AC809*0.5%</f>
        <v/>
      </c>
      <c r="S808" s="12">
        <f>L809*1%</f>
        <v/>
      </c>
      <c r="T808" s="124">
        <f>S809+Q809+P809+O809+N809+M809</f>
        <v/>
      </c>
      <c r="U808" s="2">
        <f>AC809*1%</f>
        <v/>
      </c>
      <c r="V808" s="44">
        <f>AC809*5%</f>
        <v/>
      </c>
      <c r="W808" s="2">
        <f>AC809*1%</f>
        <v/>
      </c>
      <c r="X808" s="2">
        <f>AC809*8%</f>
        <v/>
      </c>
      <c r="Y808" s="2">
        <f>U809+V809+W809+X809</f>
        <v/>
      </c>
      <c r="Z808" s="124">
        <f>Y809+T809+L809</f>
        <v/>
      </c>
      <c r="AA808" s="125">
        <f>Z809*20%</f>
        <v/>
      </c>
      <c r="AB808" s="12">
        <f>Z809+AA809</f>
        <v/>
      </c>
      <c r="AC808" s="2">
        <f>D809*2.1</f>
        <v/>
      </c>
      <c r="AD808" s="12">
        <f>AB809-AC809</f>
        <v/>
      </c>
      <c r="AE808" s="12">
        <f>AD809/AB809*100</f>
        <v/>
      </c>
      <c r="AF808" s="92" t="n">
        <v>850</v>
      </c>
      <c r="AG808" s="126">
        <f>((AF809-L809)/L809)*100</f>
        <v/>
      </c>
      <c r="AH808" s="132">
        <f>AJ809-AF809</f>
        <v/>
      </c>
      <c r="AI808" s="132">
        <f>AB809</f>
        <v/>
      </c>
      <c r="AJ808" s="92" t="n">
        <v>745</v>
      </c>
      <c r="AK808" s="128">
        <f>(AJ809-L809)/L809*100</f>
        <v/>
      </c>
      <c r="AL808" s="128" t="n"/>
      <c r="AM808" s="128">
        <f>AH809/AJ809%</f>
        <v/>
      </c>
      <c r="AN808" s="128">
        <f>AK809-AG809</f>
        <v/>
      </c>
      <c r="AO808" s="129">
        <f>AJ809/L809</f>
        <v/>
      </c>
      <c r="AP808" s="128">
        <f>(AJ809-AB809)/100</f>
        <v/>
      </c>
      <c r="AQ808" s="128">
        <f>(AJ809-AC809)/100</f>
        <v/>
      </c>
      <c r="AR808" s="130">
        <f>AI809/94</f>
        <v/>
      </c>
      <c r="AS808" s="130">
        <f>AJ809/94</f>
        <v/>
      </c>
      <c r="AT808" s="131">
        <f>AI809/24</f>
        <v/>
      </c>
      <c r="AU808" s="131">
        <f>AJ809/24</f>
        <v/>
      </c>
      <c r="AV808" s="131">
        <f>AI809/125</f>
        <v/>
      </c>
      <c r="AW808" s="131">
        <f>AJ809/125</f>
        <v/>
      </c>
    </row>
    <row r="809" ht="15.75" customHeight="1" s="258">
      <c r="A809" s="2" t="n"/>
      <c r="B809" s="2" t="inlineStr">
        <is>
          <t>White / Long Soft-11"</t>
        </is>
      </c>
      <c r="C809" s="2" t="inlineStr">
        <is>
          <t>MI-SB-M-L-W-11</t>
        </is>
      </c>
      <c r="D809" s="118" t="n">
        <v>150</v>
      </c>
      <c r="F809" s="2" t="n">
        <v>50</v>
      </c>
      <c r="G809" s="118" t="n">
        <v>9202</v>
      </c>
      <c r="H809" s="255" t="n">
        <v>0.18</v>
      </c>
      <c r="I809" s="2">
        <f>D810*H810</f>
        <v/>
      </c>
      <c r="K809" s="2" t="n">
        <v>20</v>
      </c>
      <c r="L809" s="123">
        <f>K810+J810+I810+F810+E810+D810</f>
        <v/>
      </c>
      <c r="M809" s="2">
        <f>D810*1%</f>
        <v/>
      </c>
      <c r="N809" s="12">
        <f>L810*8%</f>
        <v/>
      </c>
      <c r="O809" s="12">
        <f>L810*10%</f>
        <v/>
      </c>
      <c r="P809" s="12">
        <f>L810*5%</f>
        <v/>
      </c>
      <c r="Q809" s="12">
        <f>L810*2%</f>
        <v/>
      </c>
      <c r="R809" s="12">
        <f>AC810*0.5%</f>
        <v/>
      </c>
      <c r="S809" s="12">
        <f>L810*1%</f>
        <v/>
      </c>
      <c r="T809" s="124">
        <f>S810+Q810+P810+O810+N810+M810</f>
        <v/>
      </c>
      <c r="U809" s="2">
        <f>AC810*1%</f>
        <v/>
      </c>
      <c r="V809" s="44">
        <f>AC810*5%</f>
        <v/>
      </c>
      <c r="W809" s="2">
        <f>AC810*1%</f>
        <v/>
      </c>
      <c r="X809" s="2">
        <f>AC810*8%</f>
        <v/>
      </c>
      <c r="Y809" s="2">
        <f>U810+V810+W810+X810</f>
        <v/>
      </c>
      <c r="Z809" s="124">
        <f>Y810+T810+L810</f>
        <v/>
      </c>
      <c r="AA809" s="125">
        <f>Z810*20%</f>
        <v/>
      </c>
      <c r="AB809" s="12">
        <f>Z810+AA810</f>
        <v/>
      </c>
      <c r="AC809" s="2">
        <f>D810*2.1</f>
        <v/>
      </c>
      <c r="AD809" s="12">
        <f>AB810-AC810</f>
        <v/>
      </c>
      <c r="AE809" s="12">
        <f>AD810/AB810*100</f>
        <v/>
      </c>
      <c r="AF809" s="92" t="n">
        <v>695</v>
      </c>
      <c r="AG809" s="126">
        <f>((AF810-L810)/L810)*100</f>
        <v/>
      </c>
      <c r="AH809" s="132">
        <f>AJ810-AF810</f>
        <v/>
      </c>
      <c r="AI809" s="132">
        <f>AB810</f>
        <v/>
      </c>
      <c r="AJ809" s="92" t="n">
        <v>695</v>
      </c>
      <c r="AK809" s="128">
        <f>(AJ810-L810)/L810*100</f>
        <v/>
      </c>
      <c r="AL809" s="128" t="n"/>
      <c r="AM809" s="128">
        <f>AH810/AJ810%</f>
        <v/>
      </c>
      <c r="AN809" s="128">
        <f>AK810-AG810</f>
        <v/>
      </c>
      <c r="AO809" s="129">
        <f>AJ810/L810</f>
        <v/>
      </c>
      <c r="AP809" s="128">
        <f>(AJ810-AB810)/100</f>
        <v/>
      </c>
      <c r="AQ809" s="128">
        <f>(AJ810-AC810)/100</f>
        <v/>
      </c>
      <c r="AR809" s="130">
        <f>AI810/94</f>
        <v/>
      </c>
      <c r="AS809" s="130">
        <f>AJ810/94</f>
        <v/>
      </c>
      <c r="AT809" s="131">
        <f>AI810/24</f>
        <v/>
      </c>
      <c r="AU809" s="131">
        <f>AJ810/24</f>
        <v/>
      </c>
      <c r="AV809" s="131">
        <f>AI810/125</f>
        <v/>
      </c>
      <c r="AW809" s="131">
        <f>AJ810/125</f>
        <v/>
      </c>
    </row>
    <row r="810" ht="15.75" customHeight="1" s="258">
      <c r="A810" s="2" t="n"/>
      <c r="B810" s="2" t="inlineStr">
        <is>
          <t>White / Long Soft-9"</t>
        </is>
      </c>
      <c r="C810" s="2" t="inlineStr">
        <is>
          <t>MI-SB-M-L-W-9</t>
        </is>
      </c>
      <c r="D810" s="118" t="n">
        <v>125</v>
      </c>
      <c r="F810" s="2" t="n">
        <v>50</v>
      </c>
      <c r="G810" s="118" t="n">
        <v>9202</v>
      </c>
      <c r="H810" s="255" t="n">
        <v>0.18</v>
      </c>
      <c r="I810" s="2">
        <f>D811*H811</f>
        <v/>
      </c>
      <c r="K810" s="2" t="n">
        <v>20</v>
      </c>
      <c r="L810" s="123">
        <f>K811+J811+I811+F811+E811+D811</f>
        <v/>
      </c>
      <c r="M810" s="2">
        <f>D811*1%</f>
        <v/>
      </c>
      <c r="N810" s="12">
        <f>L811*8%</f>
        <v/>
      </c>
      <c r="O810" s="12">
        <f>L811*10%</f>
        <v/>
      </c>
      <c r="P810" s="12">
        <f>L811*5%</f>
        <v/>
      </c>
      <c r="Q810" s="12">
        <f>L811*2%</f>
        <v/>
      </c>
      <c r="R810" s="12">
        <f>AC811*0.5%</f>
        <v/>
      </c>
      <c r="S810" s="12">
        <f>L811*1%</f>
        <v/>
      </c>
      <c r="T810" s="124">
        <f>S811+Q811+P811+O811+N811+M811</f>
        <v/>
      </c>
      <c r="U810" s="2">
        <f>AC811*1%</f>
        <v/>
      </c>
      <c r="V810" s="44">
        <f>AC811*5%</f>
        <v/>
      </c>
      <c r="W810" s="2">
        <f>AC811*1%</f>
        <v/>
      </c>
      <c r="X810" s="2">
        <f>AC811*8%</f>
        <v/>
      </c>
      <c r="Y810" s="2">
        <f>U811+V811+W811+X811</f>
        <v/>
      </c>
      <c r="Z810" s="124">
        <f>Y811+T811+L811</f>
        <v/>
      </c>
      <c r="AA810" s="125">
        <f>Z811*20%</f>
        <v/>
      </c>
      <c r="AB810" s="12">
        <f>Z811+AA811</f>
        <v/>
      </c>
      <c r="AC810" s="2">
        <f>D811*2.1</f>
        <v/>
      </c>
      <c r="AD810" s="12">
        <f>AB811-AC811</f>
        <v/>
      </c>
      <c r="AE810" s="12">
        <f>AD811/AB811*100</f>
        <v/>
      </c>
      <c r="AF810" s="92" t="n">
        <v>645</v>
      </c>
      <c r="AG810" s="126">
        <f>((AF811-L811)/L811)*100</f>
        <v/>
      </c>
      <c r="AH810" s="132">
        <f>AJ811-AF811</f>
        <v/>
      </c>
      <c r="AI810" s="132">
        <f>AB811</f>
        <v/>
      </c>
      <c r="AJ810" s="92" t="n">
        <v>645</v>
      </c>
      <c r="AK810" s="128">
        <f>(AJ811-L811)/L811*100</f>
        <v/>
      </c>
      <c r="AL810" s="128" t="n"/>
      <c r="AM810" s="128">
        <f>AH811/AJ811%</f>
        <v/>
      </c>
      <c r="AN810" s="128">
        <f>AK811-AG811</f>
        <v/>
      </c>
      <c r="AO810" s="129">
        <f>AJ811/L811</f>
        <v/>
      </c>
      <c r="AP810" s="128">
        <f>(AJ811-AB811)/100</f>
        <v/>
      </c>
      <c r="AQ810" s="128">
        <f>(AJ811-AC811)/100</f>
        <v/>
      </c>
      <c r="AR810" s="130">
        <f>AI811/94</f>
        <v/>
      </c>
      <c r="AS810" s="130">
        <f>AJ811/94</f>
        <v/>
      </c>
      <c r="AT810" s="131">
        <f>AI811/24</f>
        <v/>
      </c>
      <c r="AU810" s="131">
        <f>AJ811/24</f>
        <v/>
      </c>
      <c r="AV810" s="131">
        <f>AI811/125</f>
        <v/>
      </c>
      <c r="AW810" s="131">
        <f>AJ811/125</f>
        <v/>
      </c>
    </row>
    <row r="811" ht="15.75" customHeight="1" s="258">
      <c r="A811" s="2" t="n"/>
      <c r="B811" s="2" t="inlineStr">
        <is>
          <t>Black / Curved</t>
        </is>
      </c>
      <c r="C811" s="2" t="inlineStr">
        <is>
          <t>MI-SB-M-B-C</t>
        </is>
      </c>
      <c r="D811" s="118" t="n">
        <v>50</v>
      </c>
      <c r="F811" s="2" t="n">
        <v>50</v>
      </c>
      <c r="G811" s="118" t="n">
        <v>9202</v>
      </c>
      <c r="H811" s="255" t="n">
        <v>0.18</v>
      </c>
      <c r="I811" s="2">
        <f>D812*H812</f>
        <v/>
      </c>
      <c r="K811" s="2" t="n">
        <v>20</v>
      </c>
      <c r="L811" s="123">
        <f>K812+J812+I812+F812+E812+D812</f>
        <v/>
      </c>
      <c r="M811" s="2">
        <f>D812*1%</f>
        <v/>
      </c>
      <c r="N811" s="12">
        <f>L812*8%</f>
        <v/>
      </c>
      <c r="O811" s="12">
        <f>L812*10%</f>
        <v/>
      </c>
      <c r="P811" s="12">
        <f>L812*5%</f>
        <v/>
      </c>
      <c r="Q811" s="12">
        <f>L812*2%</f>
        <v/>
      </c>
      <c r="R811" s="12">
        <f>AC812*0.5%</f>
        <v/>
      </c>
      <c r="S811" s="12">
        <f>L812*1%</f>
        <v/>
      </c>
      <c r="T811" s="124">
        <f>S812+Q812+P812+O812+N812+M812</f>
        <v/>
      </c>
      <c r="U811" s="2">
        <f>AC812*1%</f>
        <v/>
      </c>
      <c r="V811" s="44">
        <f>AC812*5%</f>
        <v/>
      </c>
      <c r="W811" s="2">
        <f>AC812*1%</f>
        <v/>
      </c>
      <c r="X811" s="2">
        <f>AC812*8%</f>
        <v/>
      </c>
      <c r="Y811" s="2">
        <f>U812+V812+W812+X812</f>
        <v/>
      </c>
      <c r="Z811" s="124">
        <f>Y812+T812+L812</f>
        <v/>
      </c>
      <c r="AA811" s="125">
        <f>Z812*20%</f>
        <v/>
      </c>
      <c r="AB811" s="12">
        <f>Z812+AA812</f>
        <v/>
      </c>
      <c r="AC811" s="2">
        <f>D812*2.1</f>
        <v/>
      </c>
      <c r="AD811" s="12">
        <f>AB812-AC812</f>
        <v/>
      </c>
      <c r="AE811" s="12">
        <f>AD812/AB812*100</f>
        <v/>
      </c>
      <c r="AF811" s="92" t="n">
        <v>235</v>
      </c>
      <c r="AG811" s="126">
        <f>((AF812-L812)/L812)*100</f>
        <v/>
      </c>
      <c r="AH811" s="132">
        <f>AJ812-AF812</f>
        <v/>
      </c>
      <c r="AI811" s="132">
        <f>AB812</f>
        <v/>
      </c>
      <c r="AJ811" s="92" t="n">
        <v>225</v>
      </c>
      <c r="AK811" s="128">
        <f>(AJ812-L812)/L812*100</f>
        <v/>
      </c>
      <c r="AL811" s="128" t="n"/>
      <c r="AM811" s="128">
        <f>AH812/AJ812%</f>
        <v/>
      </c>
      <c r="AN811" s="128">
        <f>AK812-AG812</f>
        <v/>
      </c>
      <c r="AO811" s="129">
        <f>AJ812/L812</f>
        <v/>
      </c>
      <c r="AP811" s="128">
        <f>(AJ812-AB812)/100</f>
        <v/>
      </c>
      <c r="AQ811" s="128">
        <f>(AJ812-AC812)/100</f>
        <v/>
      </c>
      <c r="AR811" s="130">
        <f>AI812/94</f>
        <v/>
      </c>
      <c r="AS811" s="130">
        <f>AJ812/94</f>
        <v/>
      </c>
      <c r="AT811" s="131">
        <f>AI812/24</f>
        <v/>
      </c>
      <c r="AU811" s="131">
        <f>AJ812/24</f>
        <v/>
      </c>
      <c r="AV811" s="131">
        <f>AI812/125</f>
        <v/>
      </c>
      <c r="AW811" s="131">
        <f>AJ812/125</f>
        <v/>
      </c>
    </row>
    <row r="812" ht="15.75" customHeight="1" s="258">
      <c r="A812" s="2" t="n"/>
      <c r="B812" s="2" t="inlineStr">
        <is>
          <t>Black / Thick Wide</t>
        </is>
      </c>
      <c r="C812" s="2" t="inlineStr">
        <is>
          <t>MI-SB-M-TW-B</t>
        </is>
      </c>
      <c r="D812" s="118" t="n">
        <v>110</v>
      </c>
      <c r="F812" s="2" t="n">
        <v>50</v>
      </c>
      <c r="G812" s="118" t="n">
        <v>9202</v>
      </c>
      <c r="H812" s="255" t="n">
        <v>0.18</v>
      </c>
      <c r="I812" s="2">
        <f>D813*H813</f>
        <v/>
      </c>
      <c r="K812" s="2" t="n">
        <v>20</v>
      </c>
      <c r="L812" s="123">
        <f>K813+J813+I813+F813+E813+D813</f>
        <v/>
      </c>
      <c r="M812" s="2">
        <f>D813*1%</f>
        <v/>
      </c>
      <c r="N812" s="12">
        <f>L813*8%</f>
        <v/>
      </c>
      <c r="O812" s="12">
        <f>L813*10%</f>
        <v/>
      </c>
      <c r="P812" s="12">
        <f>L813*5%</f>
        <v/>
      </c>
      <c r="Q812" s="12">
        <f>L813*2%</f>
        <v/>
      </c>
      <c r="R812" s="12">
        <f>AC813*0.5%</f>
        <v/>
      </c>
      <c r="S812" s="12">
        <f>L813*1%</f>
        <v/>
      </c>
      <c r="T812" s="124">
        <f>S813+Q813+P813+O813+N813+M813</f>
        <v/>
      </c>
      <c r="U812" s="2">
        <f>AC813*1%</f>
        <v/>
      </c>
      <c r="V812" s="44">
        <f>AC813*5%</f>
        <v/>
      </c>
      <c r="W812" s="2">
        <f>AC813*1%</f>
        <v/>
      </c>
      <c r="X812" s="2">
        <f>AC813*8%</f>
        <v/>
      </c>
      <c r="Y812" s="2">
        <f>U813+V813+W813+X813</f>
        <v/>
      </c>
      <c r="Z812" s="124">
        <f>Y813+T813+L813</f>
        <v/>
      </c>
      <c r="AA812" s="125">
        <f>Z813*20%</f>
        <v/>
      </c>
      <c r="AB812" s="12">
        <f>Z813+AA813</f>
        <v/>
      </c>
      <c r="AC812" s="2">
        <f>D813*2.1</f>
        <v/>
      </c>
      <c r="AD812" s="12">
        <f>AB813-AC813</f>
        <v/>
      </c>
      <c r="AE812" s="12">
        <f>AD813/AB813*100</f>
        <v/>
      </c>
      <c r="AF812" s="92" t="n">
        <v>285</v>
      </c>
      <c r="AG812" s="126">
        <f>((AF813-L813)/L813)*100</f>
        <v/>
      </c>
      <c r="AH812" s="132">
        <f>AJ813-AF813</f>
        <v/>
      </c>
      <c r="AI812" s="132">
        <f>AB813</f>
        <v/>
      </c>
      <c r="AJ812" s="92" t="n">
        <v>385</v>
      </c>
      <c r="AK812" s="128">
        <f>(AJ813-L813)/L813*100</f>
        <v/>
      </c>
      <c r="AL812" s="128" t="n"/>
      <c r="AM812" s="128">
        <f>AH813/AJ813%</f>
        <v/>
      </c>
      <c r="AN812" s="128">
        <f>AK813-AG813</f>
        <v/>
      </c>
      <c r="AO812" s="129">
        <f>AJ813/L813</f>
        <v/>
      </c>
      <c r="AP812" s="128">
        <f>(AJ813-AB813)/100</f>
        <v/>
      </c>
      <c r="AQ812" s="128">
        <f>(AJ813-AC813)/100</f>
        <v/>
      </c>
      <c r="AR812" s="130">
        <f>AI813/94</f>
        <v/>
      </c>
      <c r="AS812" s="130">
        <f>AJ813/94</f>
        <v/>
      </c>
      <c r="AT812" s="131">
        <f>AI813/24</f>
        <v/>
      </c>
      <c r="AU812" s="131">
        <f>AJ813/24</f>
        <v/>
      </c>
      <c r="AV812" s="131">
        <f>AI813/125</f>
        <v/>
      </c>
      <c r="AW812" s="131">
        <f>AJ813/125</f>
        <v/>
      </c>
    </row>
    <row r="813" ht="15.75" customHeight="1" s="258">
      <c r="A813" s="2" t="n"/>
      <c r="B813" s="2" t="inlineStr">
        <is>
          <t>Red / Thick Wide</t>
        </is>
      </c>
      <c r="C813" s="2" t="inlineStr">
        <is>
          <t>MI-SB-M-TW-R</t>
        </is>
      </c>
      <c r="D813" s="118" t="n">
        <v>110</v>
      </c>
      <c r="F813" s="2" t="n">
        <v>50</v>
      </c>
      <c r="G813" s="118" t="n">
        <v>9202</v>
      </c>
      <c r="H813" s="255" t="n">
        <v>0.18</v>
      </c>
      <c r="I813" s="2">
        <f>D814*H814</f>
        <v/>
      </c>
      <c r="K813" s="2" t="n">
        <v>20</v>
      </c>
      <c r="L813" s="123">
        <f>K814+J814+I814+F814+E814+D814</f>
        <v/>
      </c>
      <c r="M813" s="2">
        <f>D814*1%</f>
        <v/>
      </c>
      <c r="N813" s="12">
        <f>L814*8%</f>
        <v/>
      </c>
      <c r="O813" s="12">
        <f>L814*10%</f>
        <v/>
      </c>
      <c r="P813" s="12">
        <f>L814*5%</f>
        <v/>
      </c>
      <c r="Q813" s="12">
        <f>L814*2%</f>
        <v/>
      </c>
      <c r="R813" s="12">
        <f>AC814*0.5%</f>
        <v/>
      </c>
      <c r="S813" s="12">
        <f>L814*1%</f>
        <v/>
      </c>
      <c r="T813" s="124">
        <f>S814+Q814+P814+O814+N814+M814</f>
        <v/>
      </c>
      <c r="U813" s="2">
        <f>AC814*1%</f>
        <v/>
      </c>
      <c r="V813" s="44">
        <f>AC814*5%</f>
        <v/>
      </c>
      <c r="W813" s="2">
        <f>AC814*1%</f>
        <v/>
      </c>
      <c r="X813" s="2">
        <f>AC814*8%</f>
        <v/>
      </c>
      <c r="Y813" s="2">
        <f>U814+V814+W814+X814</f>
        <v/>
      </c>
      <c r="Z813" s="124">
        <f>Y814+T814+L814</f>
        <v/>
      </c>
      <c r="AA813" s="125">
        <f>Z814*20%</f>
        <v/>
      </c>
      <c r="AB813" s="12">
        <f>Z814+AA814</f>
        <v/>
      </c>
      <c r="AC813" s="2">
        <f>D814*2.1</f>
        <v/>
      </c>
      <c r="AD813" s="12">
        <f>AB814-AC814</f>
        <v/>
      </c>
      <c r="AE813" s="12">
        <f>AD814/AB814*100</f>
        <v/>
      </c>
      <c r="AF813" s="92" t="n">
        <v>285</v>
      </c>
      <c r="AG813" s="126">
        <f>((AF814-L814)/L814)*100</f>
        <v/>
      </c>
      <c r="AH813" s="132">
        <f>AJ814-AF814</f>
        <v/>
      </c>
      <c r="AI813" s="132">
        <f>AB814</f>
        <v/>
      </c>
      <c r="AJ813" s="92" t="n">
        <v>385</v>
      </c>
      <c r="AK813" s="128">
        <f>(AJ814-L814)/L814*100</f>
        <v/>
      </c>
      <c r="AL813" s="128" t="n"/>
      <c r="AM813" s="128">
        <f>AH814/AJ814%</f>
        <v/>
      </c>
      <c r="AN813" s="128">
        <f>AK814-AG814</f>
        <v/>
      </c>
      <c r="AO813" s="129">
        <f>AJ814/L814</f>
        <v/>
      </c>
      <c r="AP813" s="128">
        <f>(AJ814-AB814)/100</f>
        <v/>
      </c>
      <c r="AQ813" s="128">
        <f>(AJ814-AC814)/100</f>
        <v/>
      </c>
      <c r="AR813" s="130">
        <f>AI814/94</f>
        <v/>
      </c>
      <c r="AS813" s="130">
        <f>AJ814/94</f>
        <v/>
      </c>
      <c r="AT813" s="131">
        <f>AI814/24</f>
        <v/>
      </c>
      <c r="AU813" s="131">
        <f>AJ814/24</f>
        <v/>
      </c>
      <c r="AV813" s="131">
        <f>AI814/125</f>
        <v/>
      </c>
      <c r="AW813" s="131">
        <f>AJ814/125</f>
        <v/>
      </c>
    </row>
    <row r="814" ht="15.75" customHeight="1" s="258">
      <c r="A814" s="2" t="n"/>
      <c r="B814" s="2" t="inlineStr">
        <is>
          <t>Black / Standard Wide</t>
        </is>
      </c>
      <c r="C814" s="2" t="inlineStr">
        <is>
          <t>MI-SB-M-ST-B</t>
        </is>
      </c>
      <c r="D814" s="118" t="n">
        <v>85</v>
      </c>
      <c r="F814" s="2" t="n">
        <v>50</v>
      </c>
      <c r="G814" s="118" t="n">
        <v>9202</v>
      </c>
      <c r="H814" s="255" t="n">
        <v>0.18</v>
      </c>
      <c r="I814" s="2">
        <f>D815*H815</f>
        <v/>
      </c>
      <c r="K814" s="2" t="n">
        <v>20</v>
      </c>
      <c r="L814" s="123">
        <f>K815+J815+I815+F815+E815+D815</f>
        <v/>
      </c>
      <c r="M814" s="2">
        <f>D815*1%</f>
        <v/>
      </c>
      <c r="N814" s="12">
        <f>L815*8%</f>
        <v/>
      </c>
      <c r="O814" s="12">
        <f>L815*10%</f>
        <v/>
      </c>
      <c r="P814" s="12">
        <f>L815*5%</f>
        <v/>
      </c>
      <c r="Q814" s="12">
        <f>L815*2%</f>
        <v/>
      </c>
      <c r="R814" s="12">
        <f>AC815*0.5%</f>
        <v/>
      </c>
      <c r="S814" s="12">
        <f>L815*1%</f>
        <v/>
      </c>
      <c r="T814" s="124">
        <f>S815+Q815+P815+O815+N815+M815</f>
        <v/>
      </c>
      <c r="U814" s="2">
        <f>AC815*1%</f>
        <v/>
      </c>
      <c r="V814" s="44">
        <f>AC815*5%</f>
        <v/>
      </c>
      <c r="W814" s="2">
        <f>AC815*1%</f>
        <v/>
      </c>
      <c r="X814" s="2">
        <f>AC815*8%</f>
        <v/>
      </c>
      <c r="Y814" s="2">
        <f>U815+V815+W815+X815</f>
        <v/>
      </c>
      <c r="Z814" s="124">
        <f>Y815+T815+L815</f>
        <v/>
      </c>
      <c r="AA814" s="125">
        <f>Z815*20%</f>
        <v/>
      </c>
      <c r="AB814" s="12">
        <f>Z815+AA815</f>
        <v/>
      </c>
      <c r="AC814" s="2">
        <f>D815*2.1</f>
        <v/>
      </c>
      <c r="AD814" s="12">
        <f>AB815-AC815</f>
        <v/>
      </c>
      <c r="AE814" s="12">
        <f>AD815/AB815*100</f>
        <v/>
      </c>
      <c r="AF814" s="92" t="n">
        <v>255</v>
      </c>
      <c r="AG814" s="126">
        <f>((AF815-L815)/L815)*100</f>
        <v/>
      </c>
      <c r="AH814" s="132">
        <f>AJ815-AF815</f>
        <v/>
      </c>
      <c r="AI814" s="132">
        <f>AB815</f>
        <v/>
      </c>
      <c r="AJ814" s="92" t="n">
        <v>325</v>
      </c>
      <c r="AK814" s="128">
        <f>(AJ815-L815)/L815*100</f>
        <v/>
      </c>
      <c r="AL814" s="128" t="n"/>
      <c r="AM814" s="128">
        <f>AH815/AJ815%</f>
        <v/>
      </c>
      <c r="AN814" s="128">
        <f>AK815-AG815</f>
        <v/>
      </c>
      <c r="AO814" s="129">
        <f>AJ815/L815</f>
        <v/>
      </c>
      <c r="AP814" s="128">
        <f>(AJ815-AB815)/100</f>
        <v/>
      </c>
      <c r="AQ814" s="128">
        <f>(AJ815-AC815)/100</f>
        <v/>
      </c>
      <c r="AR814" s="130">
        <f>AI815/94</f>
        <v/>
      </c>
      <c r="AS814" s="130">
        <f>AJ815/94</f>
        <v/>
      </c>
      <c r="AT814" s="131">
        <f>AI815/24</f>
        <v/>
      </c>
      <c r="AU814" s="131">
        <f>AJ815/24</f>
        <v/>
      </c>
      <c r="AV814" s="131">
        <f>AI815/125</f>
        <v/>
      </c>
      <c r="AW814" s="131">
        <f>AJ815/125</f>
        <v/>
      </c>
    </row>
    <row r="815" ht="15.75" customHeight="1" s="258">
      <c r="A815" s="2" t="n"/>
      <c r="B815" s="2" t="inlineStr">
        <is>
          <t>Red / Standard Wide</t>
        </is>
      </c>
      <c r="C815" s="2" t="inlineStr">
        <is>
          <t>MI-SB-M-ST-R</t>
        </is>
      </c>
      <c r="D815" s="118" t="n">
        <v>85</v>
      </c>
      <c r="F815" s="2" t="n">
        <v>50</v>
      </c>
      <c r="G815" s="118" t="n">
        <v>9202</v>
      </c>
      <c r="H815" s="255" t="n">
        <v>0.18</v>
      </c>
      <c r="I815" s="2">
        <f>D816*H816</f>
        <v/>
      </c>
      <c r="K815" s="2" t="n">
        <v>20</v>
      </c>
      <c r="L815" s="123">
        <f>K816+J816+I816+F816+E816+D816</f>
        <v/>
      </c>
      <c r="M815" s="2">
        <f>D816*1%</f>
        <v/>
      </c>
      <c r="N815" s="12">
        <f>L816*8%</f>
        <v/>
      </c>
      <c r="O815" s="12">
        <f>L816*10%</f>
        <v/>
      </c>
      <c r="P815" s="12">
        <f>L816*5%</f>
        <v/>
      </c>
      <c r="Q815" s="12">
        <f>L816*2%</f>
        <v/>
      </c>
      <c r="R815" s="12">
        <f>AC816*0.5%</f>
        <v/>
      </c>
      <c r="S815" s="12">
        <f>L816*1%</f>
        <v/>
      </c>
      <c r="T815" s="124">
        <f>S816+Q816+P816+O816+N816+M816</f>
        <v/>
      </c>
      <c r="U815" s="2">
        <f>AC816*1%</f>
        <v/>
      </c>
      <c r="V815" s="44">
        <f>AC816*5%</f>
        <v/>
      </c>
      <c r="W815" s="2">
        <f>AC816*1%</f>
        <v/>
      </c>
      <c r="X815" s="2">
        <f>AC816*8%</f>
        <v/>
      </c>
      <c r="Y815" s="2">
        <f>U816+V816+W816+X816</f>
        <v/>
      </c>
      <c r="Z815" s="124">
        <f>Y816+T816+L816</f>
        <v/>
      </c>
      <c r="AA815" s="125">
        <f>Z816*20%</f>
        <v/>
      </c>
      <c r="AB815" s="12">
        <f>Z816+AA816</f>
        <v/>
      </c>
      <c r="AC815" s="2">
        <f>D816*2.1</f>
        <v/>
      </c>
      <c r="AD815" s="12">
        <f>AB816-AC816</f>
        <v/>
      </c>
      <c r="AE815" s="12">
        <f>AD816/AB816*100</f>
        <v/>
      </c>
      <c r="AF815" s="92" t="n">
        <v>255</v>
      </c>
      <c r="AG815" s="126">
        <f>((AF816-L816)/L816)*100</f>
        <v/>
      </c>
      <c r="AH815" s="132">
        <f>AJ816-AF816</f>
        <v/>
      </c>
      <c r="AI815" s="132">
        <f>AB816</f>
        <v/>
      </c>
      <c r="AJ815" s="92" t="n">
        <v>325</v>
      </c>
      <c r="AK815" s="128">
        <f>(AJ816-L816)/L816*100</f>
        <v/>
      </c>
      <c r="AL815" s="128" t="n"/>
      <c r="AM815" s="128">
        <f>AH816/AJ816%</f>
        <v/>
      </c>
      <c r="AN815" s="128">
        <f>AK816-AG816</f>
        <v/>
      </c>
      <c r="AO815" s="129">
        <f>AJ816/L816</f>
        <v/>
      </c>
      <c r="AP815" s="128">
        <f>(AJ816-AB816)/100</f>
        <v/>
      </c>
      <c r="AQ815" s="128">
        <f>(AJ816-AC816)/100</f>
        <v/>
      </c>
      <c r="AR815" s="130">
        <f>AI816/94</f>
        <v/>
      </c>
      <c r="AS815" s="130">
        <f>AJ816/94</f>
        <v/>
      </c>
      <c r="AT815" s="131">
        <f>AI816/24</f>
        <v/>
      </c>
      <c r="AU815" s="131">
        <f>AJ816/24</f>
        <v/>
      </c>
      <c r="AV815" s="131">
        <f>AI816/125</f>
        <v/>
      </c>
      <c r="AW815" s="131">
        <f>AJ816/125</f>
        <v/>
      </c>
    </row>
    <row r="816" ht="15.75" customHeight="1" s="258">
      <c r="A816" s="2" t="n"/>
      <c r="B816" s="2" t="inlineStr">
        <is>
          <t>Black / Straight</t>
        </is>
      </c>
      <c r="C816" s="2" t="inlineStr">
        <is>
          <t>MI-SB-M-B-S</t>
        </is>
      </c>
      <c r="D816" s="118" t="n">
        <v>65</v>
      </c>
      <c r="F816" s="2" t="n">
        <v>50</v>
      </c>
      <c r="G816" s="118" t="n">
        <v>9202</v>
      </c>
      <c r="H816" s="255" t="n">
        <v>0.18</v>
      </c>
      <c r="I816" s="2">
        <f>D817*H817</f>
        <v/>
      </c>
      <c r="K816" s="2" t="n">
        <v>20</v>
      </c>
      <c r="L816" s="123">
        <f>K817+J817+I817+F817+E817+D817</f>
        <v/>
      </c>
      <c r="M816" s="2">
        <f>D817*1%</f>
        <v/>
      </c>
      <c r="N816" s="12">
        <f>L817*8%</f>
        <v/>
      </c>
      <c r="O816" s="12">
        <f>L817*10%</f>
        <v/>
      </c>
      <c r="P816" s="12">
        <f>L817*5%</f>
        <v/>
      </c>
      <c r="Q816" s="12">
        <f>L817*2%</f>
        <v/>
      </c>
      <c r="R816" s="12">
        <f>AC817*0.5%</f>
        <v/>
      </c>
      <c r="S816" s="12">
        <f>L817*1%</f>
        <v/>
      </c>
      <c r="T816" s="124">
        <f>S817+Q817+P817+O817+N817+M817</f>
        <v/>
      </c>
      <c r="U816" s="2">
        <f>AC817*1%</f>
        <v/>
      </c>
      <c r="V816" s="44">
        <f>AC817*5%</f>
        <v/>
      </c>
      <c r="W816" s="2">
        <f>AC817*1%</f>
        <v/>
      </c>
      <c r="X816" s="2">
        <f>AC817*8%</f>
        <v/>
      </c>
      <c r="Y816" s="2">
        <f>U817+V817+W817+X817</f>
        <v/>
      </c>
      <c r="Z816" s="124">
        <f>Y817+T817+L817</f>
        <v/>
      </c>
      <c r="AA816" s="125">
        <f>Z817*20%</f>
        <v/>
      </c>
      <c r="AB816" s="12">
        <f>Z817+AA817</f>
        <v/>
      </c>
      <c r="AC816" s="2">
        <f>D817*2.1</f>
        <v/>
      </c>
      <c r="AD816" s="12">
        <f>AB817-AC817</f>
        <v/>
      </c>
      <c r="AE816" s="12">
        <f>AD817/AB817*100</f>
        <v/>
      </c>
      <c r="AF816" s="92" t="n">
        <v>200</v>
      </c>
      <c r="AG816" s="126">
        <f>((AF817-L817)/L817)*100</f>
        <v/>
      </c>
      <c r="AH816" s="132">
        <f>AJ817-AF817</f>
        <v/>
      </c>
      <c r="AI816" s="132">
        <f>AB817</f>
        <v/>
      </c>
      <c r="AJ816" s="92" t="n">
        <v>225</v>
      </c>
      <c r="AK816" s="128">
        <f>(AJ817-L817)/L817*100</f>
        <v/>
      </c>
      <c r="AL816" s="128" t="n"/>
      <c r="AM816" s="128">
        <f>AH817/AJ817%</f>
        <v/>
      </c>
      <c r="AN816" s="128">
        <f>AK817-AG817</f>
        <v/>
      </c>
      <c r="AO816" s="129">
        <f>AJ817/L817</f>
        <v/>
      </c>
      <c r="AP816" s="128">
        <f>(AJ817-AB817)/100</f>
        <v/>
      </c>
      <c r="AQ816" s="128">
        <f>(AJ817-AC817)/100</f>
        <v/>
      </c>
      <c r="AR816" s="130">
        <f>AI817/94</f>
        <v/>
      </c>
      <c r="AS816" s="130">
        <f>AJ817/94</f>
        <v/>
      </c>
      <c r="AT816" s="131">
        <f>AI817/24</f>
        <v/>
      </c>
      <c r="AU816" s="131">
        <f>AJ817/24</f>
        <v/>
      </c>
      <c r="AV816" s="131">
        <f>AI817/125</f>
        <v/>
      </c>
      <c r="AW816" s="131">
        <f>AJ817/125</f>
        <v/>
      </c>
    </row>
    <row r="817" ht="15.75" customHeight="1" s="258">
      <c r="A817" s="2" t="n"/>
      <c r="B817" s="2" t="inlineStr">
        <is>
          <t>Red / Straight</t>
        </is>
      </c>
      <c r="C817" s="2" t="inlineStr">
        <is>
          <t>MI-SB-M-R-S</t>
        </is>
      </c>
      <c r="D817" s="118" t="n">
        <v>65</v>
      </c>
      <c r="F817" s="2" t="n">
        <v>50</v>
      </c>
      <c r="G817" s="118" t="n">
        <v>9202</v>
      </c>
      <c r="H817" s="255" t="n">
        <v>0.18</v>
      </c>
      <c r="I817" s="2">
        <f>D818*H818</f>
        <v/>
      </c>
      <c r="K817" s="2" t="n">
        <v>20</v>
      </c>
      <c r="L817" s="123">
        <f>K818+J818+I818+F818+E818+D818</f>
        <v/>
      </c>
      <c r="M817" s="2">
        <f>D818*1%</f>
        <v/>
      </c>
      <c r="N817" s="12">
        <f>L818*8%</f>
        <v/>
      </c>
      <c r="O817" s="12">
        <f>L818*10%</f>
        <v/>
      </c>
      <c r="P817" s="12">
        <f>L818*5%</f>
        <v/>
      </c>
      <c r="Q817" s="12">
        <f>L818*2%</f>
        <v/>
      </c>
      <c r="R817" s="12">
        <f>AC818*0.5%</f>
        <v/>
      </c>
      <c r="S817" s="12">
        <f>L818*1%</f>
        <v/>
      </c>
      <c r="T817" s="124">
        <f>S818+Q818+P818+O818+N818+M818</f>
        <v/>
      </c>
      <c r="U817" s="2">
        <f>AC818*1%</f>
        <v/>
      </c>
      <c r="V817" s="44">
        <f>AC818*5%</f>
        <v/>
      </c>
      <c r="W817" s="2">
        <f>AC818*1%</f>
        <v/>
      </c>
      <c r="X817" s="2">
        <f>AC818*8%</f>
        <v/>
      </c>
      <c r="Y817" s="2">
        <f>U818+V818+W818+X818</f>
        <v/>
      </c>
      <c r="Z817" s="124">
        <f>Y818+T818+L818</f>
        <v/>
      </c>
      <c r="AA817" s="125">
        <f>Z818*20%</f>
        <v/>
      </c>
      <c r="AB817" s="12">
        <f>Z818+AA818</f>
        <v/>
      </c>
      <c r="AC817" s="2">
        <f>D818*2.1</f>
        <v/>
      </c>
      <c r="AD817" s="12">
        <f>AB818-AC818</f>
        <v/>
      </c>
      <c r="AE817" s="12">
        <f>AD818/AB818*100</f>
        <v/>
      </c>
      <c r="AF817" s="92" t="n">
        <v>200</v>
      </c>
      <c r="AG817" s="126">
        <f>((AF818-L818)/L818)*100</f>
        <v/>
      </c>
      <c r="AH817" s="132">
        <f>AJ818-AF818</f>
        <v/>
      </c>
      <c r="AI817" s="132">
        <f>AB818</f>
        <v/>
      </c>
      <c r="AJ817" s="92" t="n">
        <v>225</v>
      </c>
      <c r="AK817" s="128">
        <f>(AJ818-L818)/L818*100</f>
        <v/>
      </c>
      <c r="AL817" s="128" t="n"/>
      <c r="AM817" s="128">
        <f>AH818/AJ818%</f>
        <v/>
      </c>
      <c r="AN817" s="128">
        <f>AK818-AG818</f>
        <v/>
      </c>
      <c r="AO817" s="129">
        <f>AJ818/L818</f>
        <v/>
      </c>
      <c r="AP817" s="128">
        <f>(AJ818-AB818)/100</f>
        <v/>
      </c>
      <c r="AQ817" s="128">
        <f>(AJ818-AC818)/100</f>
        <v/>
      </c>
      <c r="AR817" s="130">
        <f>AI818/94</f>
        <v/>
      </c>
      <c r="AS817" s="130">
        <f>AJ818/94</f>
        <v/>
      </c>
      <c r="AT817" s="131">
        <f>AI818/24</f>
        <v/>
      </c>
      <c r="AU817" s="131">
        <f>AJ818/24</f>
        <v/>
      </c>
      <c r="AV817" s="131">
        <f>AI818/125</f>
        <v/>
      </c>
      <c r="AW817" s="131">
        <f>AJ818/125</f>
        <v/>
      </c>
    </row>
    <row r="818" ht="15.75" customHeight="1" s="258">
      <c r="A818" s="2" t="inlineStr">
        <is>
          <t>Wooden Maracas Shakers | Plain &amp; Dot Painted</t>
        </is>
      </c>
      <c r="B818" s="2" t="inlineStr">
        <is>
          <t>Plain</t>
        </is>
      </c>
      <c r="C818" s="91" t="inlineStr">
        <is>
          <t>MI-WMS-P</t>
        </is>
      </c>
      <c r="D818" s="253" t="n">
        <v>200</v>
      </c>
      <c r="F818" s="2" t="n">
        <v>50</v>
      </c>
      <c r="G818" s="118" t="n">
        <v>44201900</v>
      </c>
      <c r="H818" s="255" t="n">
        <v>0.05</v>
      </c>
      <c r="I818" s="2">
        <f>D819*H819</f>
        <v/>
      </c>
      <c r="K818" s="2" t="n">
        <v>200</v>
      </c>
      <c r="L818" s="123">
        <f>K819+J819+I819+F819+E819+D819</f>
        <v/>
      </c>
      <c r="M818" s="2">
        <f>D819*1%</f>
        <v/>
      </c>
      <c r="N818" s="12">
        <f>L819*8%</f>
        <v/>
      </c>
      <c r="O818" s="12">
        <f>L819*10%</f>
        <v/>
      </c>
      <c r="P818" s="12">
        <f>L819*5%</f>
        <v/>
      </c>
      <c r="Q818" s="12">
        <f>L819*2%</f>
        <v/>
      </c>
      <c r="R818" s="12">
        <f>AC819*0.5%</f>
        <v/>
      </c>
      <c r="S818" s="12">
        <f>L819*1%</f>
        <v/>
      </c>
      <c r="T818" s="124">
        <f>S819+Q819+P819+O819+N819+M819</f>
        <v/>
      </c>
      <c r="U818" s="2">
        <f>AC819*1%</f>
        <v/>
      </c>
      <c r="V818" s="44">
        <f>AC819*5%</f>
        <v/>
      </c>
      <c r="W818" s="2">
        <f>AC819*1%</f>
        <v/>
      </c>
      <c r="X818" s="2">
        <f>AC819*8%</f>
        <v/>
      </c>
      <c r="Y818" s="2">
        <f>U819+V819+W819+X819</f>
        <v/>
      </c>
      <c r="Z818" s="124">
        <f>Y819+T819+L819</f>
        <v/>
      </c>
      <c r="AA818" s="125">
        <f>Z819*20%</f>
        <v/>
      </c>
      <c r="AB818" s="12">
        <f>Z819+AA819</f>
        <v/>
      </c>
      <c r="AC818" s="2">
        <f>D819*2.1</f>
        <v/>
      </c>
      <c r="AD818" s="12">
        <f>AB819-AC819</f>
        <v/>
      </c>
      <c r="AE818" s="12">
        <f>AD819/AB819*100</f>
        <v/>
      </c>
      <c r="AF818" s="92" t="n">
        <v>985</v>
      </c>
      <c r="AG818" s="126">
        <f>((AF819-L819)/L819)*100</f>
        <v/>
      </c>
      <c r="AH818" s="132">
        <f>AJ819-AF819</f>
        <v/>
      </c>
      <c r="AI818" s="132">
        <f>AB819</f>
        <v/>
      </c>
      <c r="AJ818" s="92" t="n">
        <v>985</v>
      </c>
      <c r="AK818" s="128">
        <f>(AJ819-L819)/L819*100</f>
        <v/>
      </c>
      <c r="AL818" s="128" t="n"/>
      <c r="AM818" s="128">
        <f>AH819/AJ819%</f>
        <v/>
      </c>
      <c r="AN818" s="128">
        <f>AK819-AG819</f>
        <v/>
      </c>
      <c r="AO818" s="129">
        <f>AJ819/L819</f>
        <v/>
      </c>
      <c r="AP818" s="128">
        <f>(AJ819-AB819)/100</f>
        <v/>
      </c>
      <c r="AQ818" s="128">
        <f>(AJ819-AC819)/100</f>
        <v/>
      </c>
      <c r="AR818" s="130">
        <f>AI819/94</f>
        <v/>
      </c>
      <c r="AS818" s="130">
        <f>AJ819/94</f>
        <v/>
      </c>
      <c r="AT818" s="131">
        <f>AI819/24</f>
        <v/>
      </c>
      <c r="AU818" s="131">
        <f>AJ819/24</f>
        <v/>
      </c>
      <c r="AV818" s="131">
        <f>AI819/125</f>
        <v/>
      </c>
      <c r="AW818" s="131">
        <f>AJ819/125</f>
        <v/>
      </c>
    </row>
    <row r="819" ht="15" customHeight="1" s="258">
      <c r="A819" s="2" t="n"/>
      <c r="B819" s="2" t="inlineStr">
        <is>
          <t>Dot Painted</t>
        </is>
      </c>
      <c r="C819" s="91" t="inlineStr">
        <is>
          <t>MI-WMS-D</t>
        </is>
      </c>
      <c r="D819" s="253" t="n">
        <v>250</v>
      </c>
      <c r="F819" s="2" t="n">
        <v>50</v>
      </c>
      <c r="G819" s="118" t="n">
        <v>44201900</v>
      </c>
      <c r="H819" s="255" t="n">
        <v>0.05</v>
      </c>
      <c r="I819" s="2">
        <f>D820*H820</f>
        <v/>
      </c>
      <c r="K819" s="2" t="n">
        <v>200</v>
      </c>
      <c r="L819" s="123">
        <f>K820+J820+I820+F820+E820+D820</f>
        <v/>
      </c>
      <c r="M819" s="2">
        <f>D820*1%</f>
        <v/>
      </c>
      <c r="N819" s="12">
        <f>L820*8%</f>
        <v/>
      </c>
      <c r="O819" s="12">
        <f>L820*10%</f>
        <v/>
      </c>
      <c r="P819" s="12">
        <f>L820*5%</f>
        <v/>
      </c>
      <c r="Q819" s="12">
        <f>L820*2%</f>
        <v/>
      </c>
      <c r="R819" s="12">
        <f>AC820*0.5%</f>
        <v/>
      </c>
      <c r="S819" s="12">
        <f>L820*1%</f>
        <v/>
      </c>
      <c r="T819" s="124">
        <f>S820+Q820+P820+O820+N820+M820</f>
        <v/>
      </c>
      <c r="U819" s="2">
        <f>AC820*1%</f>
        <v/>
      </c>
      <c r="V819" s="44">
        <f>AC820*5%</f>
        <v/>
      </c>
      <c r="W819" s="2">
        <f>AC820*1%</f>
        <v/>
      </c>
      <c r="X819" s="2">
        <f>AC820*8%</f>
        <v/>
      </c>
      <c r="Y819" s="2">
        <f>U820+V820+W820+X820</f>
        <v/>
      </c>
      <c r="Z819" s="124">
        <f>Y820+T820+L820</f>
        <v/>
      </c>
      <c r="AA819" s="125">
        <f>Z820*20%</f>
        <v/>
      </c>
      <c r="AB819" s="12">
        <f>Z820+AA820</f>
        <v/>
      </c>
      <c r="AC819" s="2">
        <f>D820*2.1</f>
        <v/>
      </c>
      <c r="AD819" s="12">
        <f>AB820-AC820</f>
        <v/>
      </c>
      <c r="AE819" s="12">
        <f>AD820/AB820*100</f>
        <v/>
      </c>
      <c r="AF819" s="92" t="n">
        <v>1045</v>
      </c>
      <c r="AG819" s="126">
        <f>((AF820-L820)/L820)*100</f>
        <v/>
      </c>
      <c r="AH819" s="132">
        <f>AJ820-AF820</f>
        <v/>
      </c>
      <c r="AI819" s="132">
        <f>AB820</f>
        <v/>
      </c>
      <c r="AJ819" s="92" t="n">
        <v>1045</v>
      </c>
      <c r="AK819" s="128">
        <f>(AJ820-L820)/L820*100</f>
        <v/>
      </c>
      <c r="AL819" s="128" t="n"/>
      <c r="AM819" s="128">
        <f>AH820/AJ820%</f>
        <v/>
      </c>
      <c r="AN819" s="128">
        <f>AK820-AG820</f>
        <v/>
      </c>
      <c r="AO819" s="129">
        <f>AJ820/L820</f>
        <v/>
      </c>
      <c r="AP819" s="128">
        <f>(AJ820-AB820)/100</f>
        <v/>
      </c>
      <c r="AQ819" s="128">
        <f>(AJ820-AC820)/100</f>
        <v/>
      </c>
      <c r="AR819" s="130">
        <f>AI820/94</f>
        <v/>
      </c>
      <c r="AS819" s="130">
        <f>AJ820/94</f>
        <v/>
      </c>
      <c r="AT819" s="131">
        <f>AI820/24</f>
        <v/>
      </c>
      <c r="AU819" s="131">
        <f>AJ820/24</f>
        <v/>
      </c>
      <c r="AV819" s="131">
        <f>AI820/125</f>
        <v/>
      </c>
      <c r="AW819" s="131">
        <f>AJ820/125</f>
        <v/>
      </c>
    </row>
    <row r="820" ht="15.75" customHeight="1" s="258">
      <c r="A820" s="2" t="inlineStr">
        <is>
          <t>Wooden Tambourines</t>
        </is>
      </c>
      <c r="B820" s="2" t="inlineStr">
        <is>
          <t>Half-Moon</t>
        </is>
      </c>
      <c r="C820" s="91" t="inlineStr">
        <is>
          <t>MI-WT-H-M</t>
        </is>
      </c>
      <c r="D820" s="118" t="n">
        <v>250</v>
      </c>
      <c r="F820" s="2" t="n">
        <v>50</v>
      </c>
      <c r="G820" s="118" t="n">
        <v>44201900</v>
      </c>
      <c r="H820" s="255" t="n">
        <v>0.05</v>
      </c>
      <c r="I820" s="2">
        <f>D821*H821</f>
        <v/>
      </c>
      <c r="K820" s="2" t="n">
        <v>300</v>
      </c>
      <c r="L820" s="123">
        <f>K821+J821+I821+F821+E821+D821</f>
        <v/>
      </c>
      <c r="M820" s="2">
        <f>D821*1%</f>
        <v/>
      </c>
      <c r="N820" s="12">
        <f>L821*8%</f>
        <v/>
      </c>
      <c r="O820" s="12">
        <f>L821*10%</f>
        <v/>
      </c>
      <c r="P820" s="12">
        <f>L821*5%</f>
        <v/>
      </c>
      <c r="Q820" s="12">
        <f>L821*2%</f>
        <v/>
      </c>
      <c r="R820" s="12">
        <f>AC821*0.5%</f>
        <v/>
      </c>
      <c r="S820" s="12">
        <f>L821*1%</f>
        <v/>
      </c>
      <c r="T820" s="124">
        <f>S821+Q821+P821+O821+N821+M821</f>
        <v/>
      </c>
      <c r="U820" s="2">
        <f>AC821*1%</f>
        <v/>
      </c>
      <c r="V820" s="44">
        <f>AC821*5%</f>
        <v/>
      </c>
      <c r="W820" s="2">
        <f>AC821*1%</f>
        <v/>
      </c>
      <c r="X820" s="2">
        <f>AC821*8%</f>
        <v/>
      </c>
      <c r="Y820" s="2">
        <f>U821+V821+W821+X821</f>
        <v/>
      </c>
      <c r="Z820" s="124">
        <f>Y821+T821+L821</f>
        <v/>
      </c>
      <c r="AA820" s="125">
        <f>Z821*20%</f>
        <v/>
      </c>
      <c r="AB820" s="12">
        <f>Z821+AA821</f>
        <v/>
      </c>
      <c r="AC820" s="2">
        <f>D821*2.1</f>
        <v/>
      </c>
      <c r="AD820" s="12">
        <f>AB821-AC821</f>
        <v/>
      </c>
      <c r="AE820" s="12">
        <f>AD821/AB821*100</f>
        <v/>
      </c>
      <c r="AF820" s="92" t="n">
        <v>1250</v>
      </c>
      <c r="AG820" s="126">
        <f>((AF821-L821)/L821)*100</f>
        <v/>
      </c>
      <c r="AH820" s="132">
        <f>AJ821-AF821</f>
        <v/>
      </c>
      <c r="AI820" s="132">
        <f>AB821</f>
        <v/>
      </c>
      <c r="AJ820" s="92" t="n">
        <v>1250</v>
      </c>
      <c r="AK820" s="128">
        <f>(AJ821-L821)/L821*100</f>
        <v/>
      </c>
      <c r="AL820" s="128" t="n"/>
      <c r="AM820" s="128">
        <f>AH821/AJ821%</f>
        <v/>
      </c>
      <c r="AN820" s="128">
        <f>AK821-AG821</f>
        <v/>
      </c>
      <c r="AO820" s="129">
        <f>AJ821/L821</f>
        <v/>
      </c>
      <c r="AP820" s="128">
        <f>(AJ821-AB821)/100</f>
        <v/>
      </c>
      <c r="AQ820" s="128">
        <f>(AJ821-AC821)/100</f>
        <v/>
      </c>
      <c r="AR820" s="130">
        <f>AI821/94</f>
        <v/>
      </c>
      <c r="AS820" s="130">
        <f>AJ821/94</f>
        <v/>
      </c>
      <c r="AT820" s="131">
        <f>AI821/24</f>
        <v/>
      </c>
      <c r="AU820" s="131">
        <f>AJ821/24</f>
        <v/>
      </c>
      <c r="AV820" s="131">
        <f>AI821/125</f>
        <v/>
      </c>
      <c r="AW820" s="131">
        <f>AJ821/125</f>
        <v/>
      </c>
    </row>
    <row r="821" ht="15" customHeight="1" s="258">
      <c r="A821" s="2" t="n"/>
      <c r="B821" s="2" t="inlineStr">
        <is>
          <t>Circular</t>
        </is>
      </c>
      <c r="C821" s="91" t="inlineStr">
        <is>
          <t>MI-WT-C</t>
        </is>
      </c>
      <c r="D821" s="253" t="n">
        <v>300</v>
      </c>
      <c r="F821" s="2" t="n">
        <v>50</v>
      </c>
      <c r="G821" s="118" t="n">
        <v>44201900</v>
      </c>
      <c r="H821" s="255" t="n">
        <v>0.05</v>
      </c>
      <c r="I821" s="2">
        <f>D822*H822</f>
        <v/>
      </c>
      <c r="K821" s="2" t="n">
        <v>300</v>
      </c>
      <c r="L821" s="123">
        <f>K822+J822+I822+F822+E822+D822</f>
        <v/>
      </c>
      <c r="M821" s="2">
        <f>D822*1%</f>
        <v/>
      </c>
      <c r="N821" s="12">
        <f>L822*8%</f>
        <v/>
      </c>
      <c r="O821" s="12">
        <f>L822*10%</f>
        <v/>
      </c>
      <c r="P821" s="12">
        <f>L822*5%</f>
        <v/>
      </c>
      <c r="Q821" s="12">
        <f>L822*2%</f>
        <v/>
      </c>
      <c r="R821" s="12">
        <f>AC822*0.5%</f>
        <v/>
      </c>
      <c r="S821" s="12">
        <f>L822*1%</f>
        <v/>
      </c>
      <c r="T821" s="124">
        <f>S822+Q822+P822+O822+N822+M822</f>
        <v/>
      </c>
      <c r="U821" s="2">
        <f>AC822*1%</f>
        <v/>
      </c>
      <c r="V821" s="44">
        <f>AC822*5%</f>
        <v/>
      </c>
      <c r="W821" s="2">
        <f>AC822*1%</f>
        <v/>
      </c>
      <c r="X821" s="2">
        <f>AC822*8%</f>
        <v/>
      </c>
      <c r="Y821" s="2">
        <f>U822+V822+W822+X822</f>
        <v/>
      </c>
      <c r="Z821" s="124">
        <f>Y822+T822+L822</f>
        <v/>
      </c>
      <c r="AA821" s="125">
        <f>Z822*20%</f>
        <v/>
      </c>
      <c r="AB821" s="12">
        <f>Z822+AA822</f>
        <v/>
      </c>
      <c r="AC821" s="2">
        <f>D822*2.1</f>
        <v/>
      </c>
      <c r="AD821" s="12">
        <f>AB822-AC822</f>
        <v/>
      </c>
      <c r="AE821" s="12">
        <f>AD822/AB822*100</f>
        <v/>
      </c>
      <c r="AF821" s="92" t="n">
        <v>1150</v>
      </c>
      <c r="AG821" s="126">
        <f>((AF822-L822)/L822)*100</f>
        <v/>
      </c>
      <c r="AH821" s="132">
        <f>AJ822-AF822</f>
        <v/>
      </c>
      <c r="AI821" s="132">
        <f>AB822</f>
        <v/>
      </c>
      <c r="AJ821" s="92" t="n">
        <v>1150</v>
      </c>
      <c r="AK821" s="128">
        <f>(AJ822-L822)/L822*100</f>
        <v/>
      </c>
      <c r="AL821" s="128" t="n"/>
      <c r="AM821" s="128">
        <f>AH822/AJ822%</f>
        <v/>
      </c>
      <c r="AN821" s="128">
        <f>AK822-AG822</f>
        <v/>
      </c>
      <c r="AO821" s="129">
        <f>AJ822/L822</f>
        <v/>
      </c>
      <c r="AP821" s="128">
        <f>(AJ822-AB822)/100</f>
        <v/>
      </c>
      <c r="AQ821" s="128">
        <f>(AJ822-AC822)/100</f>
        <v/>
      </c>
      <c r="AR821" s="130">
        <f>AI822/94</f>
        <v/>
      </c>
      <c r="AS821" s="130">
        <f>AJ822/94</f>
        <v/>
      </c>
      <c r="AT821" s="131">
        <f>AI822/24</f>
        <v/>
      </c>
      <c r="AU821" s="131">
        <f>AJ822/24</f>
        <v/>
      </c>
      <c r="AV821" s="131">
        <f>AI822/125</f>
        <v/>
      </c>
      <c r="AW821" s="131">
        <f>AJ822/125</f>
        <v/>
      </c>
    </row>
    <row r="822" ht="15.75" customHeight="1" s="258">
      <c r="A822" s="254" t="inlineStr">
        <is>
          <t>Bamboo Rainstick with Bag</t>
        </is>
      </c>
      <c r="B822" s="2" t="n"/>
      <c r="C822" s="91" t="inlineStr">
        <is>
          <t>MI-BR-WB</t>
        </is>
      </c>
      <c r="D822" s="118" t="n">
        <v>1450</v>
      </c>
      <c r="E822" s="92" t="n">
        <v>150</v>
      </c>
      <c r="F822" s="2" t="n">
        <v>85</v>
      </c>
      <c r="G822" s="118" t="n"/>
      <c r="H822" s="255" t="n">
        <v>0.18</v>
      </c>
      <c r="I822" s="2">
        <f>D823*H823</f>
        <v/>
      </c>
      <c r="K822" s="2" t="n">
        <v>100</v>
      </c>
      <c r="L822" s="123">
        <f>K823+J823+I823+F823+E823+D823</f>
        <v/>
      </c>
      <c r="N822" s="12" t="n"/>
      <c r="O822" s="12" t="n"/>
      <c r="P822" s="12" t="n"/>
      <c r="Q822" s="12" t="n"/>
      <c r="R822" s="12" t="n"/>
      <c r="S822" s="12" t="n"/>
      <c r="T822" s="123" t="n"/>
      <c r="V822" s="44">
        <f>AC823*5%</f>
        <v/>
      </c>
      <c r="Y822" s="2" t="n"/>
      <c r="Z822" s="124">
        <f>Y823+T823+L823</f>
        <v/>
      </c>
      <c r="AA822" s="125" t="n"/>
      <c r="AB822" s="12">
        <f>Z823+AA823</f>
        <v/>
      </c>
      <c r="AD822" s="12" t="n"/>
      <c r="AE822" s="12" t="n"/>
      <c r="AF822" s="92" t="n">
        <v>2950</v>
      </c>
      <c r="AG822" s="126">
        <f>((AF823-L823)/L823)*100</f>
        <v/>
      </c>
      <c r="AH822" s="132" t="n"/>
      <c r="AI822" s="132" t="n"/>
      <c r="AJ822" s="132" t="n">
        <v>3450</v>
      </c>
      <c r="AK822" s="128">
        <f>(AJ823-L823)/L823*100</f>
        <v/>
      </c>
      <c r="AL822" s="128" t="n"/>
      <c r="AM822" s="128" t="n"/>
      <c r="AN822" s="128">
        <f>AK823-AG823</f>
        <v/>
      </c>
      <c r="AO822" s="128" t="n"/>
      <c r="AP822" s="128">
        <f> (AB823-AJ823)/100</f>
        <v/>
      </c>
      <c r="AQ822" s="128">
        <f>(AC823-AJ823)/100</f>
        <v/>
      </c>
      <c r="AR822" s="130" t="n"/>
      <c r="AS822" s="130" t="n"/>
      <c r="AT822" s="131" t="n"/>
      <c r="AU822" s="131" t="n"/>
      <c r="AV822" s="131" t="n"/>
      <c r="AW822" s="131" t="n"/>
    </row>
    <row r="823" ht="15.75" customHeight="1" s="258">
      <c r="A823" s="44" t="inlineStr">
        <is>
          <t>Wind chimes</t>
        </is>
      </c>
      <c r="B823" s="113" t="inlineStr">
        <is>
          <t>Gold-Small</t>
        </is>
      </c>
      <c r="C823" s="111" t="inlineStr">
        <is>
          <t>MI-WC-GO-S</t>
        </is>
      </c>
      <c r="D823" s="114" t="n">
        <v>940</v>
      </c>
      <c r="E823" s="113" t="n">
        <v>100</v>
      </c>
      <c r="F823" s="44" t="n">
        <v>100</v>
      </c>
      <c r="G823" s="45" t="n">
        <v>83061000</v>
      </c>
      <c r="H823" s="255" t="n">
        <v>0.05</v>
      </c>
      <c r="I823" s="2">
        <f>D824*H824</f>
        <v/>
      </c>
      <c r="J823" s="113" t="n"/>
      <c r="K823" s="113" t="n">
        <v>100</v>
      </c>
      <c r="L823" s="123">
        <f>K824+J824+I824+F824+E824+D824</f>
        <v/>
      </c>
      <c r="M823" s="113" t="n"/>
      <c r="N823" s="49" t="n"/>
      <c r="O823" s="49" t="n"/>
      <c r="P823" s="49" t="n"/>
      <c r="Q823" s="49" t="n"/>
      <c r="R823" s="49" t="n"/>
      <c r="S823" s="49" t="n"/>
      <c r="T823" s="48" t="n"/>
      <c r="U823" s="113" t="n"/>
      <c r="V823" s="44">
        <f>AC824*5%</f>
        <v/>
      </c>
      <c r="W823" s="113" t="n"/>
      <c r="X823" s="113" t="n"/>
      <c r="Y823" s="44" t="n"/>
      <c r="Z823" s="50" t="n"/>
      <c r="AA823" s="51" t="n"/>
      <c r="AB823" s="113" t="n"/>
      <c r="AC823" s="113" t="n"/>
      <c r="AD823" s="49" t="n"/>
      <c r="AE823" s="49" t="n"/>
      <c r="AF823" s="113" t="n">
        <v>1950</v>
      </c>
      <c r="AG823" s="126">
        <f>((AF824-L824)/L824)*100</f>
        <v/>
      </c>
      <c r="AH823" s="132" t="n"/>
      <c r="AI823" s="132" t="n"/>
      <c r="AJ823" s="113" t="n">
        <v>1950</v>
      </c>
      <c r="AK823" s="128">
        <f>(AJ824-L824)/L824*100</f>
        <v/>
      </c>
      <c r="AL823" s="55" t="n"/>
      <c r="AM823" s="55" t="n"/>
      <c r="AN823" s="55" t="n"/>
      <c r="AO823" s="55" t="n"/>
      <c r="AP823" s="55" t="n"/>
      <c r="AQ823" s="55" t="n"/>
      <c r="AR823" s="57" t="n"/>
      <c r="AS823" s="57" t="n"/>
      <c r="AT823" s="58" t="n"/>
      <c r="AU823" s="58" t="n"/>
      <c r="AV823" s="58" t="n"/>
      <c r="AW823" s="58" t="n"/>
      <c r="AX823" s="113" t="n"/>
      <c r="AY823" s="113" t="n"/>
    </row>
    <row r="824" ht="15.75" customHeight="1" s="258">
      <c r="A824" s="44" t="n"/>
      <c r="B824" s="113" t="inlineStr">
        <is>
          <t>Gold-Large</t>
        </is>
      </c>
      <c r="C824" s="111" t="inlineStr">
        <is>
          <t>MI-WC-GO-L</t>
        </is>
      </c>
      <c r="D824" s="114" t="n">
        <v>1300</v>
      </c>
      <c r="E824" s="113" t="n">
        <v>100</v>
      </c>
      <c r="F824" s="44" t="n">
        <v>100</v>
      </c>
      <c r="G824" s="45" t="n">
        <v>83061000</v>
      </c>
      <c r="H824" s="255" t="n">
        <v>0.05</v>
      </c>
      <c r="I824" s="2">
        <f>D825*H825</f>
        <v/>
      </c>
      <c r="J824" s="113" t="n"/>
      <c r="K824" s="113" t="n">
        <v>100</v>
      </c>
      <c r="L824" s="123">
        <f>K825+J825+I825+F825+E825+D825</f>
        <v/>
      </c>
      <c r="M824" s="113" t="n"/>
      <c r="N824" s="49" t="n"/>
      <c r="O824" s="49" t="n"/>
      <c r="P824" s="49" t="n"/>
      <c r="Q824" s="49" t="n"/>
      <c r="R824" s="49" t="n"/>
      <c r="S824" s="49" t="n"/>
      <c r="T824" s="48" t="n"/>
      <c r="U824" s="113" t="n"/>
      <c r="V824" s="44">
        <f>AC825*5%</f>
        <v/>
      </c>
      <c r="W824" s="113" t="n"/>
      <c r="X824" s="113" t="n"/>
      <c r="Y824" s="44" t="n"/>
      <c r="Z824" s="50" t="n"/>
      <c r="AA824" s="51" t="n"/>
      <c r="AB824" s="113" t="n"/>
      <c r="AC824" s="113" t="n"/>
      <c r="AD824" s="49" t="n"/>
      <c r="AE824" s="49" t="n"/>
      <c r="AF824" s="113" t="n">
        <v>2650</v>
      </c>
      <c r="AG824" s="126">
        <f>((AF825-L825)/L825)*100</f>
        <v/>
      </c>
      <c r="AH824" s="132" t="n"/>
      <c r="AI824" s="132" t="n"/>
      <c r="AJ824" s="113" t="n">
        <v>2650</v>
      </c>
      <c r="AK824" s="128">
        <f>(AJ825-L825)/L825*100</f>
        <v/>
      </c>
      <c r="AL824" s="55" t="n"/>
      <c r="AM824" s="55" t="n"/>
      <c r="AN824" s="55" t="n"/>
      <c r="AO824" s="55" t="n"/>
      <c r="AP824" s="55" t="n"/>
      <c r="AQ824" s="55" t="n"/>
      <c r="AR824" s="57" t="n"/>
      <c r="AS824" s="57" t="n"/>
      <c r="AT824" s="58" t="n"/>
      <c r="AU824" s="58" t="n"/>
      <c r="AV824" s="58" t="n"/>
      <c r="AW824" s="58" t="n"/>
      <c r="AX824" s="113" t="n"/>
      <c r="AY824" s="113" t="n"/>
    </row>
    <row r="825" ht="15.75" customHeight="1" s="258">
      <c r="A825" s="44" t="n"/>
      <c r="B825" s="113" t="inlineStr">
        <is>
          <t>Green-Small</t>
        </is>
      </c>
      <c r="C825" s="111" t="inlineStr">
        <is>
          <t>MI-WC-GR-S</t>
        </is>
      </c>
      <c r="D825" s="114" t="n">
        <v>940</v>
      </c>
      <c r="E825" s="113" t="n">
        <v>100</v>
      </c>
      <c r="F825" s="44" t="n">
        <v>100</v>
      </c>
      <c r="G825" s="45" t="n">
        <v>83061000</v>
      </c>
      <c r="H825" s="255" t="n">
        <v>0.05</v>
      </c>
      <c r="I825" s="2">
        <f>D826*H826</f>
        <v/>
      </c>
      <c r="J825" s="113" t="n"/>
      <c r="K825" s="113" t="n">
        <v>100</v>
      </c>
      <c r="L825" s="123">
        <f>K826+J826+I826+F826+E826+D826</f>
        <v/>
      </c>
      <c r="M825" s="113" t="n"/>
      <c r="N825" s="49" t="n"/>
      <c r="O825" s="49" t="n"/>
      <c r="P825" s="49" t="n"/>
      <c r="Q825" s="49" t="n"/>
      <c r="R825" s="49" t="n"/>
      <c r="S825" s="49" t="n"/>
      <c r="T825" s="48" t="n"/>
      <c r="U825" s="113" t="n"/>
      <c r="V825" s="44">
        <f>AC826*5%</f>
        <v/>
      </c>
      <c r="W825" s="113" t="n"/>
      <c r="X825" s="113" t="n"/>
      <c r="Y825" s="44" t="n"/>
      <c r="Z825" s="48" t="n"/>
      <c r="AA825" s="51" t="n"/>
      <c r="AB825" s="113" t="n"/>
      <c r="AC825" s="113" t="n"/>
      <c r="AD825" s="49" t="n"/>
      <c r="AE825" s="49" t="n"/>
      <c r="AF825" s="113" t="n">
        <v>1950</v>
      </c>
      <c r="AG825" s="126">
        <f>((AF826-L826)/L826)*100</f>
        <v/>
      </c>
      <c r="AH825" s="132" t="n"/>
      <c r="AI825" s="132" t="n"/>
      <c r="AJ825" s="113" t="n">
        <v>1950</v>
      </c>
      <c r="AK825" s="128">
        <f>(AJ826-L826)/L826*100</f>
        <v/>
      </c>
      <c r="AL825" s="55" t="n"/>
      <c r="AM825" s="55" t="n"/>
      <c r="AN825" s="55" t="n"/>
      <c r="AO825" s="55" t="n"/>
      <c r="AP825" s="55" t="n"/>
      <c r="AQ825" s="55" t="n"/>
      <c r="AR825" s="57" t="n"/>
      <c r="AS825" s="57" t="n"/>
      <c r="AT825" s="58" t="n"/>
      <c r="AU825" s="58" t="n"/>
      <c r="AV825" s="58" t="n"/>
      <c r="AW825" s="58" t="n"/>
      <c r="AX825" s="113" t="n"/>
      <c r="AY825" s="113" t="n"/>
    </row>
    <row r="826" ht="15.75" customHeight="1" s="258">
      <c r="A826" s="44" t="n"/>
      <c r="B826" s="113" t="inlineStr">
        <is>
          <t>Green-Large</t>
        </is>
      </c>
      <c r="C826" s="111" t="inlineStr">
        <is>
          <t>MI-WC-GR-L</t>
        </is>
      </c>
      <c r="D826" s="114" t="n">
        <v>1300</v>
      </c>
      <c r="E826" s="113" t="n">
        <v>100</v>
      </c>
      <c r="F826" s="44" t="n">
        <v>100</v>
      </c>
      <c r="G826" s="45" t="n">
        <v>83061000</v>
      </c>
      <c r="H826" s="255" t="n">
        <v>0.05</v>
      </c>
      <c r="I826" s="2">
        <f>D827*H827</f>
        <v/>
      </c>
      <c r="J826" s="113" t="n"/>
      <c r="K826" s="113" t="n">
        <v>100</v>
      </c>
      <c r="L826" s="123">
        <f>K827+J827+I827+F827+E827+D827</f>
        <v/>
      </c>
      <c r="M826" s="113" t="n"/>
      <c r="N826" s="49" t="n"/>
      <c r="O826" s="49" t="n"/>
      <c r="P826" s="49" t="n"/>
      <c r="Q826" s="49" t="n"/>
      <c r="R826" s="49" t="n"/>
      <c r="S826" s="49" t="n"/>
      <c r="T826" s="48" t="n"/>
      <c r="U826" s="113" t="n"/>
      <c r="V826" s="44">
        <f>AC827*5%</f>
        <v/>
      </c>
      <c r="W826" s="113" t="n"/>
      <c r="X826" s="113" t="n"/>
      <c r="Y826" s="44" t="n"/>
      <c r="Z826" s="48" t="n"/>
      <c r="AA826" s="51" t="n"/>
      <c r="AB826" s="113" t="n"/>
      <c r="AC826" s="113" t="n"/>
      <c r="AD826" s="49" t="n"/>
      <c r="AE826" s="49" t="n"/>
      <c r="AF826" s="113" t="n">
        <v>2650</v>
      </c>
      <c r="AG826" s="126">
        <f>((AF827-L827)/L827)*100</f>
        <v/>
      </c>
      <c r="AH826" s="132" t="n"/>
      <c r="AI826" s="132" t="n"/>
      <c r="AJ826" s="113" t="n">
        <v>2650</v>
      </c>
      <c r="AK826" s="128">
        <f>(AJ827-L827)/L827*100</f>
        <v/>
      </c>
      <c r="AL826" s="55" t="n"/>
      <c r="AM826" s="55" t="n"/>
      <c r="AN826" s="55" t="n"/>
      <c r="AO826" s="55" t="n"/>
      <c r="AP826" s="55" t="n"/>
      <c r="AQ826" s="55" t="n"/>
      <c r="AR826" s="57" t="n"/>
      <c r="AS826" s="57" t="n"/>
      <c r="AT826" s="58" t="n"/>
      <c r="AU826" s="58" t="n"/>
      <c r="AV826" s="58" t="n"/>
      <c r="AW826" s="58" t="n"/>
      <c r="AX826" s="113" t="n"/>
      <c r="AY826" s="113" t="n"/>
    </row>
    <row r="827" ht="15.75" customHeight="1" s="258">
      <c r="A827" s="44" t="n"/>
      <c r="B827" s="113" t="inlineStr">
        <is>
          <t>Yellow-Small</t>
        </is>
      </c>
      <c r="C827" s="111" t="inlineStr">
        <is>
          <t>MI-WC-YE-S</t>
        </is>
      </c>
      <c r="D827" s="114" t="n">
        <v>940</v>
      </c>
      <c r="E827" s="113" t="n">
        <v>100</v>
      </c>
      <c r="F827" s="44" t="n">
        <v>100</v>
      </c>
      <c r="G827" s="45" t="n">
        <v>83061000</v>
      </c>
      <c r="H827" s="255" t="n">
        <v>0.05</v>
      </c>
      <c r="I827" s="2">
        <f>D828*H828</f>
        <v/>
      </c>
      <c r="J827" s="113" t="n"/>
      <c r="K827" s="113" t="n">
        <v>100</v>
      </c>
      <c r="L827" s="123">
        <f>K828+J828+I828+F828+E828+D828</f>
        <v/>
      </c>
      <c r="M827" s="113" t="n"/>
      <c r="N827" s="49" t="n"/>
      <c r="O827" s="49" t="n"/>
      <c r="P827" s="49" t="n"/>
      <c r="Q827" s="49" t="n"/>
      <c r="R827" s="49" t="n"/>
      <c r="S827" s="49" t="n"/>
      <c r="T827" s="48" t="n"/>
      <c r="U827" s="113" t="n"/>
      <c r="V827" s="44">
        <f>AC828*5%</f>
        <v/>
      </c>
      <c r="W827" s="113" t="n"/>
      <c r="X827" s="113" t="n"/>
      <c r="Y827" s="44" t="n"/>
      <c r="Z827" s="48" t="n"/>
      <c r="AA827" s="51" t="n"/>
      <c r="AB827" s="113" t="n"/>
      <c r="AC827" s="113" t="n"/>
      <c r="AD827" s="49" t="n"/>
      <c r="AE827" s="49" t="n"/>
      <c r="AF827" s="113" t="n">
        <v>1950</v>
      </c>
      <c r="AG827" s="126">
        <f>((AF828-L828)/L828)*100</f>
        <v/>
      </c>
      <c r="AH827" s="132" t="n"/>
      <c r="AI827" s="132" t="n"/>
      <c r="AJ827" s="113" t="n">
        <v>1950</v>
      </c>
      <c r="AK827" s="128">
        <f>(AJ828-L828)/L828*100</f>
        <v/>
      </c>
      <c r="AL827" s="55" t="n"/>
      <c r="AM827" s="55" t="n"/>
      <c r="AN827" s="55" t="n"/>
      <c r="AO827" s="55" t="n"/>
      <c r="AP827" s="55" t="n"/>
      <c r="AQ827" s="55" t="n"/>
      <c r="AR827" s="57" t="n"/>
      <c r="AS827" s="57" t="n"/>
      <c r="AT827" s="58" t="n"/>
      <c r="AU827" s="58" t="n"/>
      <c r="AV827" s="58" t="n"/>
      <c r="AW827" s="58" t="n"/>
      <c r="AX827" s="113" t="n"/>
      <c r="AY827" s="113" t="n"/>
    </row>
    <row r="828" ht="15.75" customHeight="1" s="258">
      <c r="A828" s="113" t="n"/>
      <c r="B828" s="113" t="inlineStr">
        <is>
          <t>Yellow-Large</t>
        </is>
      </c>
      <c r="C828" s="113" t="inlineStr">
        <is>
          <t>MI-WC-YE-L</t>
        </is>
      </c>
      <c r="D828" s="114" t="n">
        <v>1300</v>
      </c>
      <c r="E828" s="113" t="n">
        <v>100</v>
      </c>
      <c r="F828" s="44" t="n">
        <v>100</v>
      </c>
      <c r="G828" s="45" t="n">
        <v>83061000</v>
      </c>
      <c r="H828" s="255" t="n">
        <v>0.05</v>
      </c>
      <c r="I828" s="2">
        <f>D829*H829</f>
        <v/>
      </c>
      <c r="J828" s="113" t="n"/>
      <c r="K828" s="113" t="n">
        <v>100</v>
      </c>
      <c r="L828" s="123">
        <f>K829+J829+I829+F829+E829+D829</f>
        <v/>
      </c>
      <c r="M828" s="113" t="n"/>
      <c r="N828" s="113" t="n"/>
      <c r="O828" s="113" t="n"/>
      <c r="P828" s="113" t="n"/>
      <c r="Q828" s="113" t="n"/>
      <c r="R828" s="113" t="n"/>
      <c r="S828" s="113" t="n"/>
      <c r="T828" s="113" t="n"/>
      <c r="U828" s="113" t="n"/>
      <c r="V828" s="44">
        <f>AC829*5%</f>
        <v/>
      </c>
      <c r="W828" s="113" t="n"/>
      <c r="X828" s="113" t="n"/>
      <c r="Y828" s="113" t="n"/>
      <c r="Z828" s="113" t="n"/>
      <c r="AA828" s="113" t="n"/>
      <c r="AB828" s="113" t="n"/>
      <c r="AC828" s="113" t="n"/>
      <c r="AD828" s="113" t="n"/>
      <c r="AE828" s="113" t="n"/>
      <c r="AF828" s="113" t="n">
        <v>2650</v>
      </c>
      <c r="AG828" s="126">
        <f>((AF829-L829)/L829)*100</f>
        <v/>
      </c>
      <c r="AH828" s="132" t="n"/>
      <c r="AI828" s="132" t="n"/>
      <c r="AJ828" s="113" t="n">
        <v>2650</v>
      </c>
      <c r="AK828" s="128">
        <f>(AJ829-L829)/L829*100</f>
        <v/>
      </c>
      <c r="AL828" s="55" t="n"/>
      <c r="AM828" s="256" t="n"/>
      <c r="AN828" s="55" t="n"/>
      <c r="AO828" s="256" t="n"/>
      <c r="AP828" s="256" t="n"/>
      <c r="AQ828" s="256" t="n"/>
      <c r="AR828" s="148" t="n"/>
      <c r="AS828" s="148" t="n"/>
      <c r="AT828" s="149" t="n"/>
      <c r="AU828" s="149" t="n"/>
      <c r="AV828" s="257" t="n"/>
      <c r="AW828" s="257" t="n"/>
      <c r="AX828" s="113" t="n"/>
      <c r="AY828" s="113" t="n"/>
    </row>
    <row r="829" ht="15" customHeight="1" s="258">
      <c r="A829" s="113" t="n"/>
      <c r="B829" s="113" t="inlineStr">
        <is>
          <t>Silver-Small</t>
        </is>
      </c>
      <c r="C829" s="111" t="inlineStr">
        <is>
          <t>MI-WC-SI-S</t>
        </is>
      </c>
      <c r="D829" s="114" t="n">
        <v>940</v>
      </c>
      <c r="E829" s="113" t="n">
        <v>100</v>
      </c>
      <c r="F829" s="44" t="n">
        <v>100</v>
      </c>
      <c r="G829" s="45" t="n">
        <v>83061000</v>
      </c>
      <c r="H829" s="255" t="n">
        <v>0.05</v>
      </c>
      <c r="I829" s="2">
        <f>D830*H830</f>
        <v/>
      </c>
      <c r="J829" s="113" t="n"/>
      <c r="K829" s="113" t="n">
        <v>100</v>
      </c>
      <c r="L829" s="123">
        <f>K830+J830+I830+F830+E830+D830</f>
        <v/>
      </c>
      <c r="M829" s="113" t="n"/>
      <c r="N829" s="113" t="n"/>
      <c r="O829" s="113" t="n"/>
      <c r="P829" s="113" t="n"/>
      <c r="Q829" s="113" t="n"/>
      <c r="R829" s="113" t="n"/>
      <c r="S829" s="113" t="n"/>
      <c r="T829" s="113" t="n"/>
      <c r="U829" s="113" t="n"/>
      <c r="V829" s="44">
        <f>AC830*5%</f>
        <v/>
      </c>
      <c r="W829" s="113" t="n"/>
      <c r="X829" s="113" t="n"/>
      <c r="Y829" s="113" t="n"/>
      <c r="Z829" s="113" t="n"/>
      <c r="AA829" s="113" t="n"/>
      <c r="AB829" s="113" t="n"/>
      <c r="AC829" s="113" t="n"/>
      <c r="AD829" s="113" t="n"/>
      <c r="AE829" s="113" t="n"/>
      <c r="AF829" s="113" t="n">
        <v>1950</v>
      </c>
      <c r="AG829" s="126">
        <f>((AF830-L830)/L830)*100</f>
        <v/>
      </c>
      <c r="AH829" s="132" t="n"/>
      <c r="AI829" s="132" t="n"/>
      <c r="AJ829" s="113" t="n">
        <v>1950</v>
      </c>
      <c r="AK829" s="128">
        <f>(AJ830-L830)/L830*100</f>
        <v/>
      </c>
      <c r="AL829" s="55" t="n"/>
      <c r="AM829" s="256" t="n"/>
      <c r="AN829" s="55" t="n"/>
      <c r="AO829" s="256" t="n"/>
      <c r="AP829" s="256" t="n"/>
      <c r="AQ829" s="256" t="n"/>
      <c r="AR829" s="148" t="n"/>
      <c r="AS829" s="148" t="n"/>
      <c r="AT829" s="149" t="n"/>
      <c r="AU829" s="149" t="n"/>
      <c r="AV829" s="257" t="n"/>
      <c r="AW829" s="257" t="n"/>
      <c r="AX829" s="113" t="n"/>
      <c r="AY829" s="113" t="n"/>
    </row>
    <row r="830" ht="15" customHeight="1" s="258">
      <c r="A830" s="113" t="n"/>
      <c r="B830" s="113" t="inlineStr">
        <is>
          <t>Silver-Large</t>
        </is>
      </c>
      <c r="C830" s="111" t="inlineStr">
        <is>
          <t>MI-WC-SI-L</t>
        </is>
      </c>
      <c r="D830" s="114" t="n">
        <v>1300</v>
      </c>
      <c r="E830" s="113" t="n">
        <v>100</v>
      </c>
      <c r="F830" s="44" t="n">
        <v>100</v>
      </c>
      <c r="G830" s="45" t="n">
        <v>83061000</v>
      </c>
      <c r="H830" s="255" t="n">
        <v>0.05</v>
      </c>
      <c r="I830" s="2">
        <f>D831*H831</f>
        <v/>
      </c>
      <c r="J830" s="113" t="n"/>
      <c r="K830" s="113" t="n">
        <v>100</v>
      </c>
      <c r="L830" s="123">
        <f>K831+J831+I831+F831+E831+D831</f>
        <v/>
      </c>
      <c r="M830" s="113" t="n"/>
      <c r="N830" s="113" t="n"/>
      <c r="O830" s="113" t="n"/>
      <c r="P830" s="113" t="n"/>
      <c r="Q830" s="113" t="n"/>
      <c r="R830" s="113" t="n"/>
      <c r="S830" s="113" t="n"/>
      <c r="T830" s="113" t="n"/>
      <c r="U830" s="113" t="n"/>
      <c r="V830" s="44">
        <f>AC831*5%</f>
        <v/>
      </c>
      <c r="W830" s="113" t="n"/>
      <c r="X830" s="113" t="n"/>
      <c r="Y830" s="113" t="n"/>
      <c r="Z830" s="113" t="n"/>
      <c r="AA830" s="113" t="n"/>
      <c r="AB830" s="113" t="n"/>
      <c r="AC830" s="113" t="n"/>
      <c r="AD830" s="113" t="n"/>
      <c r="AE830" s="113" t="n"/>
      <c r="AF830" s="113" t="n">
        <v>2650</v>
      </c>
      <c r="AG830" s="126">
        <f>((AF831-L831)/L831)*100</f>
        <v/>
      </c>
      <c r="AH830" s="132" t="n"/>
      <c r="AI830" s="132" t="n"/>
      <c r="AJ830" s="113" t="n">
        <v>2650</v>
      </c>
      <c r="AK830" s="128">
        <f>(AJ831-L831)/L831*100</f>
        <v/>
      </c>
      <c r="AL830" s="55" t="n"/>
      <c r="AM830" s="256" t="n"/>
      <c r="AN830" s="55" t="n"/>
      <c r="AO830" s="256" t="n"/>
      <c r="AP830" s="256" t="n"/>
      <c r="AQ830" s="256" t="n"/>
      <c r="AR830" s="148" t="n"/>
      <c r="AS830" s="148" t="n"/>
      <c r="AT830" s="149" t="n"/>
      <c r="AU830" s="149" t="n"/>
      <c r="AV830" s="257" t="n"/>
      <c r="AW830" s="257" t="n"/>
      <c r="AX830" s="113" t="n"/>
      <c r="AY830" s="113" t="n"/>
    </row>
    <row r="831" ht="15" customHeight="1" s="258">
      <c r="A831" s="113" t="n"/>
      <c r="B831" s="113" t="inlineStr">
        <is>
          <t>Antique Copper-Small</t>
        </is>
      </c>
      <c r="C831" s="111" t="inlineStr">
        <is>
          <t>MI-WC-A-C-S</t>
        </is>
      </c>
      <c r="D831" s="114" t="n">
        <v>940</v>
      </c>
      <c r="E831" s="113" t="n">
        <v>100</v>
      </c>
      <c r="F831" s="44" t="n">
        <v>100</v>
      </c>
      <c r="G831" s="45" t="n">
        <v>83061000</v>
      </c>
      <c r="H831" s="255" t="n">
        <v>0.05</v>
      </c>
      <c r="I831" s="2">
        <f>D832*H832</f>
        <v/>
      </c>
      <c r="J831" s="113" t="n"/>
      <c r="K831" s="113" t="n">
        <v>100</v>
      </c>
      <c r="L831" s="123">
        <f>K832+J832+I832+F832+E832+D832</f>
        <v/>
      </c>
      <c r="M831" s="113" t="n"/>
      <c r="N831" s="113" t="n"/>
      <c r="O831" s="113" t="n"/>
      <c r="P831" s="113" t="n"/>
      <c r="Q831" s="113" t="n"/>
      <c r="R831" s="113" t="n"/>
      <c r="S831" s="113" t="n"/>
      <c r="T831" s="113" t="n"/>
      <c r="U831" s="113" t="n"/>
      <c r="V831" s="44">
        <f>AC832*5%</f>
        <v/>
      </c>
      <c r="W831" s="113" t="n"/>
      <c r="X831" s="113" t="n"/>
      <c r="Y831" s="113" t="n"/>
      <c r="Z831" s="113" t="n"/>
      <c r="AA831" s="113" t="n"/>
      <c r="AB831" s="113" t="n"/>
      <c r="AC831" s="113" t="n"/>
      <c r="AD831" s="113" t="n"/>
      <c r="AE831" s="113" t="n"/>
      <c r="AF831" s="113" t="n">
        <v>1950</v>
      </c>
      <c r="AG831" s="126">
        <f>((AF832-L832)/L832)*100</f>
        <v/>
      </c>
      <c r="AH831" s="132" t="n"/>
      <c r="AI831" s="132" t="n"/>
      <c r="AJ831" s="113" t="n">
        <v>1950</v>
      </c>
      <c r="AK831" s="128">
        <f>(AJ832-L832)/L832*100</f>
        <v/>
      </c>
      <c r="AL831" s="256" t="n"/>
      <c r="AM831" s="256" t="n"/>
      <c r="AN831" s="55" t="n"/>
      <c r="AO831" s="256" t="n"/>
      <c r="AP831" s="256" t="n"/>
      <c r="AQ831" s="256" t="n"/>
      <c r="AR831" s="148" t="n"/>
      <c r="AS831" s="148" t="n"/>
      <c r="AT831" s="149" t="n"/>
      <c r="AU831" s="149" t="n"/>
      <c r="AV831" s="257" t="n"/>
      <c r="AW831" s="257" t="n"/>
      <c r="AX831" s="113" t="n"/>
      <c r="AY831" s="113" t="n"/>
    </row>
    <row r="832" ht="15" customHeight="1" s="258">
      <c r="A832" s="113" t="n"/>
      <c r="B832" s="113" t="inlineStr">
        <is>
          <t>Antique Copper-Large</t>
        </is>
      </c>
      <c r="C832" s="111" t="inlineStr">
        <is>
          <t>MI-WC-A-C-L</t>
        </is>
      </c>
      <c r="D832" s="114" t="n">
        <v>1300</v>
      </c>
      <c r="E832" s="113" t="n">
        <v>100</v>
      </c>
      <c r="F832" s="44" t="n">
        <v>100</v>
      </c>
      <c r="G832" s="45" t="n">
        <v>83061000</v>
      </c>
      <c r="H832" s="255" t="n">
        <v>0.05</v>
      </c>
      <c r="I832" s="2">
        <f>D833*H833</f>
        <v/>
      </c>
      <c r="J832" s="113" t="n"/>
      <c r="K832" s="113" t="n">
        <v>100</v>
      </c>
      <c r="L832" s="123">
        <f>K833+J833+I833+F833+E833+D833</f>
        <v/>
      </c>
      <c r="M832" s="113" t="n"/>
      <c r="N832" s="113" t="n"/>
      <c r="O832" s="113" t="n"/>
      <c r="P832" s="113" t="n"/>
      <c r="Q832" s="113" t="n"/>
      <c r="R832" s="113" t="n"/>
      <c r="S832" s="113" t="n"/>
      <c r="T832" s="113" t="n"/>
      <c r="U832" s="113" t="n"/>
      <c r="V832" s="44">
        <f>AC833*5%</f>
        <v/>
      </c>
      <c r="W832" s="113" t="n"/>
      <c r="X832" s="113" t="n"/>
      <c r="Y832" s="113" t="n"/>
      <c r="Z832" s="113" t="n"/>
      <c r="AA832" s="113" t="n"/>
      <c r="AB832" s="113" t="n"/>
      <c r="AC832" s="113" t="n"/>
      <c r="AD832" s="113" t="n"/>
      <c r="AE832" s="113" t="n"/>
      <c r="AF832" s="113" t="n">
        <v>2650</v>
      </c>
      <c r="AG832" s="126">
        <f>((AF833-L833)/L833)*100</f>
        <v/>
      </c>
      <c r="AH832" s="132" t="n"/>
      <c r="AI832" s="132" t="n"/>
      <c r="AJ832" s="113" t="n">
        <v>2650</v>
      </c>
      <c r="AK832" s="128">
        <f>(AJ833-L833)/L833*100</f>
        <v/>
      </c>
      <c r="AL832" s="256" t="n"/>
      <c r="AM832" s="256" t="n"/>
      <c r="AN832" s="55" t="n"/>
      <c r="AO832" s="256" t="n"/>
      <c r="AP832" s="256" t="n"/>
      <c r="AQ832" s="256" t="n"/>
      <c r="AR832" s="148" t="n"/>
      <c r="AS832" s="148" t="n"/>
      <c r="AT832" s="149" t="n"/>
      <c r="AU832" s="149" t="n"/>
      <c r="AV832" s="257" t="n"/>
      <c r="AW832" s="257" t="n"/>
      <c r="AX832" s="113" t="n"/>
      <c r="AY832" s="113" t="n"/>
    </row>
    <row r="833" ht="15" customHeight="1" s="258">
      <c r="A833" s="113" t="inlineStr">
        <is>
          <t>Tuned Pipes</t>
        </is>
      </c>
      <c r="B833" s="113" t="inlineStr">
        <is>
          <t>285 Hz</t>
        </is>
      </c>
      <c r="C833" s="111" t="inlineStr">
        <is>
          <t>MI-TP-285</t>
        </is>
      </c>
      <c r="D833" s="114" t="n">
        <v>1650</v>
      </c>
      <c r="E833" s="113" t="n">
        <v>100</v>
      </c>
      <c r="F833" s="44" t="n">
        <v>100</v>
      </c>
      <c r="G833" s="45" t="n">
        <v>83061000</v>
      </c>
      <c r="H833" s="255" t="n">
        <v>0.05</v>
      </c>
      <c r="I833" s="2">
        <f>D834*H834</f>
        <v/>
      </c>
      <c r="J833" s="113" t="n"/>
      <c r="K833" s="113" t="n">
        <v>300</v>
      </c>
      <c r="L833" s="123">
        <f>K834+J834+I834+F834+E834+D834</f>
        <v/>
      </c>
      <c r="M833" s="113" t="n"/>
      <c r="N833" s="113" t="n"/>
      <c r="O833" s="113" t="n"/>
      <c r="P833" s="113" t="n"/>
      <c r="Q833" s="113" t="n"/>
      <c r="R833" s="113" t="n"/>
      <c r="S833" s="113" t="n"/>
      <c r="T833" s="113" t="n"/>
      <c r="U833" s="113" t="n"/>
      <c r="V833" s="44">
        <f>AC834*5%</f>
        <v/>
      </c>
      <c r="W833" s="113" t="n"/>
      <c r="X833" s="113" t="n"/>
      <c r="Y833" s="113" t="n"/>
      <c r="Z833" s="113" t="n"/>
      <c r="AA833" s="113" t="n"/>
      <c r="AB833" s="113" t="n"/>
      <c r="AC833" s="113" t="n"/>
      <c r="AD833" s="113" t="n"/>
      <c r="AE833" s="113" t="n"/>
      <c r="AF833" s="113" t="n">
        <v>6600</v>
      </c>
      <c r="AG833" s="126">
        <f>((AF834-L834)/L834)*100</f>
        <v/>
      </c>
      <c r="AH833" s="132" t="n"/>
      <c r="AI833" s="132" t="n"/>
      <c r="AJ833" s="113" t="n">
        <v>5600</v>
      </c>
      <c r="AK833" s="128">
        <f>(AJ834-L834)/L834*100</f>
        <v/>
      </c>
      <c r="AL833" s="256" t="n"/>
      <c r="AM833" s="256" t="n"/>
      <c r="AN833" s="55" t="n"/>
      <c r="AO833" s="256" t="n"/>
      <c r="AP833" s="256" t="n"/>
      <c r="AQ833" s="256" t="n"/>
      <c r="AR833" s="148" t="n"/>
      <c r="AS833" s="148" t="n"/>
      <c r="AT833" s="149" t="n"/>
      <c r="AU833" s="149" t="n"/>
      <c r="AV833" s="257" t="n"/>
      <c r="AW833" s="257" t="n"/>
      <c r="AX833" s="113" t="n"/>
      <c r="AY833" s="113" t="n"/>
    </row>
    <row r="834" ht="15" customHeight="1" s="258">
      <c r="A834" s="113" t="n"/>
      <c r="B834" s="113" t="inlineStr">
        <is>
          <t>432 Hz</t>
        </is>
      </c>
      <c r="C834" s="111" t="inlineStr">
        <is>
          <t>MI-TP-432</t>
        </is>
      </c>
      <c r="D834" s="114" t="n">
        <v>1450</v>
      </c>
      <c r="E834" s="113" t="n">
        <v>300</v>
      </c>
      <c r="F834" s="113" t="n">
        <v>200</v>
      </c>
      <c r="G834" s="45" t="n">
        <v>83061000</v>
      </c>
      <c r="H834" s="255" t="n">
        <v>0.05</v>
      </c>
      <c r="I834" s="2">
        <f>D835*H835</f>
        <v/>
      </c>
      <c r="J834" s="113" t="n"/>
      <c r="K834" s="113" t="n">
        <v>300</v>
      </c>
      <c r="L834" s="123">
        <f>K835+J835+I835+F835+E835+D835</f>
        <v/>
      </c>
      <c r="M834" s="113" t="n"/>
      <c r="N834" s="113" t="n"/>
      <c r="O834" s="113" t="n"/>
      <c r="P834" s="113" t="n"/>
      <c r="Q834" s="113" t="n"/>
      <c r="R834" s="113" t="n"/>
      <c r="S834" s="113" t="n"/>
      <c r="T834" s="113" t="n"/>
      <c r="U834" s="113" t="n"/>
      <c r="V834" s="44">
        <f>AC835*5%</f>
        <v/>
      </c>
      <c r="W834" s="113" t="n"/>
      <c r="X834" s="113" t="n"/>
      <c r="Y834" s="113" t="n"/>
      <c r="Z834" s="113" t="n"/>
      <c r="AA834" s="113" t="n"/>
      <c r="AB834" s="113" t="n"/>
      <c r="AC834" s="113" t="n"/>
      <c r="AD834" s="113" t="n"/>
      <c r="AE834" s="113" t="n"/>
      <c r="AF834" s="113" t="n">
        <v>5800</v>
      </c>
      <c r="AG834" s="126">
        <f>((AF835-L835)/L835)*100</f>
        <v/>
      </c>
      <c r="AH834" s="132" t="n"/>
      <c r="AI834" s="132" t="n"/>
      <c r="AJ834" s="113" t="n">
        <v>4800</v>
      </c>
      <c r="AK834" s="128">
        <f>(AJ835-L835)/L835*100</f>
        <v/>
      </c>
      <c r="AL834" s="256" t="n"/>
      <c r="AM834" s="256" t="n"/>
      <c r="AN834" s="55" t="n"/>
      <c r="AO834" s="256" t="n"/>
      <c r="AP834" s="256" t="n"/>
      <c r="AQ834" s="256" t="n"/>
      <c r="AR834" s="148" t="n"/>
      <c r="AS834" s="148" t="n"/>
      <c r="AT834" s="149" t="n"/>
      <c r="AU834" s="149" t="n"/>
      <c r="AV834" s="257" t="n"/>
      <c r="AW834" s="257" t="n"/>
      <c r="AX834" s="113" t="n"/>
      <c r="AY834" s="113" t="n"/>
    </row>
    <row r="835" ht="15" customHeight="1" s="258">
      <c r="A835" s="113" t="n"/>
      <c r="B835" s="113" t="n"/>
      <c r="C835" s="113" t="n"/>
      <c r="D835" s="114" t="n"/>
      <c r="E835" s="113" t="n"/>
      <c r="F835" s="113" t="n"/>
      <c r="G835" s="113" t="n"/>
      <c r="H835" s="113" t="n"/>
      <c r="I835" s="113" t="n"/>
      <c r="J835" s="113" t="n"/>
      <c r="K835" s="113" t="n"/>
      <c r="L835" s="48" t="n"/>
      <c r="M835" s="113" t="n"/>
      <c r="N835" s="113" t="n"/>
      <c r="O835" s="113" t="n"/>
      <c r="P835" s="113" t="n"/>
      <c r="Q835" s="113" t="n"/>
      <c r="R835" s="113" t="n"/>
      <c r="S835" s="113" t="n"/>
      <c r="T835" s="113" t="n"/>
      <c r="U835" s="113" t="n"/>
      <c r="V835" s="44">
        <f>AC836*5%</f>
        <v/>
      </c>
      <c r="W835" s="113" t="n"/>
      <c r="X835" s="113" t="n"/>
      <c r="Y835" s="113" t="n"/>
      <c r="Z835" s="113" t="n"/>
      <c r="AA835" s="113" t="n"/>
      <c r="AB835" s="113" t="n"/>
      <c r="AC835" s="113" t="n"/>
      <c r="AD835" s="113" t="n"/>
      <c r="AE835" s="113" t="n"/>
      <c r="AF835" s="113" t="n"/>
      <c r="AG835" s="116" t="n"/>
      <c r="AH835" s="257" t="n"/>
      <c r="AI835" s="257" t="n"/>
      <c r="AJ835" s="257" t="n"/>
      <c r="AK835" s="256" t="n"/>
      <c r="AL835" s="256" t="n"/>
      <c r="AM835" s="256" t="n"/>
      <c r="AN835" s="55" t="n"/>
      <c r="AO835" s="256" t="n"/>
      <c r="AP835" s="256" t="n"/>
      <c r="AQ835" s="256" t="n"/>
      <c r="AR835" s="148" t="n"/>
      <c r="AS835" s="148" t="n"/>
      <c r="AT835" s="149" t="n"/>
      <c r="AU835" s="149" t="n"/>
      <c r="AV835" s="257" t="n"/>
      <c r="AW835" s="257" t="n"/>
      <c r="AX835" s="113" t="n"/>
      <c r="AY835" s="113" t="n"/>
    </row>
    <row r="836" ht="15" customHeight="1" s="258">
      <c r="A836" s="113" t="n"/>
      <c r="B836" s="113" t="n"/>
      <c r="C836" s="113" t="n"/>
      <c r="D836" s="114" t="n"/>
      <c r="E836" s="113" t="n"/>
      <c r="F836" s="113" t="n"/>
      <c r="G836" s="113" t="n"/>
      <c r="H836" s="113" t="n"/>
      <c r="I836" s="113" t="n"/>
      <c r="J836" s="113" t="n"/>
      <c r="K836" s="113" t="n"/>
      <c r="L836" s="48" t="n"/>
      <c r="M836" s="113" t="n"/>
      <c r="N836" s="113" t="n"/>
      <c r="O836" s="113" t="n"/>
      <c r="P836" s="113" t="n"/>
      <c r="Q836" s="113" t="n"/>
      <c r="R836" s="113" t="n"/>
      <c r="S836" s="113" t="n"/>
      <c r="T836" s="113" t="n"/>
      <c r="U836" s="113" t="n"/>
      <c r="V836" s="44">
        <f>AC837*5%</f>
        <v/>
      </c>
      <c r="W836" s="113" t="n"/>
      <c r="X836" s="113" t="n"/>
      <c r="Y836" s="113" t="n"/>
      <c r="Z836" s="113" t="n"/>
      <c r="AA836" s="113" t="n"/>
      <c r="AB836" s="113" t="n"/>
      <c r="AC836" s="113" t="n"/>
      <c r="AD836" s="113" t="n"/>
      <c r="AE836" s="113" t="n"/>
      <c r="AF836" s="113" t="n"/>
      <c r="AG836" s="116" t="n"/>
      <c r="AH836" s="257" t="n"/>
      <c r="AI836" s="257" t="n"/>
      <c r="AJ836" s="257" t="n"/>
      <c r="AK836" s="256" t="n"/>
      <c r="AL836" s="256" t="n"/>
      <c r="AM836" s="256" t="n"/>
      <c r="AN836" s="55" t="n"/>
      <c r="AO836" s="256" t="n"/>
      <c r="AP836" s="256" t="n"/>
      <c r="AQ836" s="256" t="n"/>
      <c r="AR836" s="148" t="n"/>
      <c r="AS836" s="148" t="n"/>
      <c r="AT836" s="149" t="n"/>
      <c r="AU836" s="149" t="n"/>
      <c r="AV836" s="257" t="n"/>
      <c r="AW836" s="257" t="n"/>
      <c r="AX836" s="113" t="n"/>
      <c r="AY836" s="113" t="n"/>
    </row>
    <row r="837" ht="15" customHeight="1" s="258">
      <c r="A837" s="113" t="n"/>
      <c r="B837" s="113" t="n"/>
      <c r="C837" s="113" t="n"/>
      <c r="D837" s="114" t="n"/>
      <c r="E837" s="113" t="n"/>
      <c r="F837" s="113" t="n"/>
      <c r="G837" s="113" t="n"/>
      <c r="H837" s="113" t="n"/>
      <c r="I837" s="113" t="n"/>
      <c r="J837" s="113" t="n"/>
      <c r="K837" s="113" t="n"/>
      <c r="L837" s="48" t="n"/>
      <c r="M837" s="113" t="n"/>
      <c r="N837" s="113" t="n"/>
      <c r="O837" s="113" t="n"/>
      <c r="P837" s="113" t="n"/>
      <c r="Q837" s="113" t="n"/>
      <c r="R837" s="113" t="n"/>
      <c r="S837" s="113" t="n"/>
      <c r="T837" s="113" t="n"/>
      <c r="U837" s="113" t="n"/>
      <c r="V837" s="44">
        <f>AC838*5%</f>
        <v/>
      </c>
      <c r="W837" s="113" t="n"/>
      <c r="X837" s="113" t="n"/>
      <c r="Y837" s="113" t="n"/>
      <c r="Z837" s="113" t="n"/>
      <c r="AA837" s="113" t="n"/>
      <c r="AB837" s="113" t="n"/>
      <c r="AC837" s="113" t="n"/>
      <c r="AD837" s="113" t="n"/>
      <c r="AE837" s="113" t="n"/>
      <c r="AF837" s="113" t="n"/>
      <c r="AG837" s="136" t="n"/>
      <c r="AH837" s="257" t="n"/>
      <c r="AI837" s="257" t="n"/>
      <c r="AJ837" s="257" t="n"/>
      <c r="AK837" s="256" t="n"/>
      <c r="AL837" s="256" t="n"/>
      <c r="AM837" s="256" t="n"/>
      <c r="AN837" s="55" t="n"/>
      <c r="AO837" s="256" t="n"/>
      <c r="AP837" s="256" t="n"/>
      <c r="AQ837" s="256" t="n"/>
      <c r="AR837" s="148" t="n"/>
      <c r="AS837" s="148" t="n"/>
      <c r="AT837" s="149" t="n"/>
      <c r="AU837" s="149" t="n"/>
      <c r="AV837" s="257" t="n"/>
      <c r="AW837" s="257" t="n"/>
      <c r="AX837" s="113" t="n"/>
      <c r="AY837" s="113" t="n"/>
    </row>
    <row r="838" ht="15" customHeight="1" s="258"/>
  </sheetData>
  <mergeCells count="8">
    <mergeCell ref="U1:X1"/>
    <mergeCell ref="M1:S1"/>
    <mergeCell ref="D1:K1"/>
    <mergeCell ref="AR2:AS2"/>
    <mergeCell ref="AV2:AW2"/>
    <mergeCell ref="AT2:AU2"/>
    <mergeCell ref="AI2:AJ2"/>
    <mergeCell ref="AI1:AW1"/>
  </mergeCells>
  <conditionalFormatting sqref="G17:G19 G230 H2:H835">
    <cfRule type="notContainsBlanks" priority="1" dxfId="0">
      <formula>LEN(TRIM(H2))&gt;0</formula>
    </cfRule>
  </conditionalFormatting>
  <hyperlinks>
    <hyperlink xmlns:r="http://schemas.openxmlformats.org/officeDocument/2006/relationships" ref="G219" r:id="rId1"/>
    <hyperlink xmlns:r="http://schemas.openxmlformats.org/officeDocument/2006/relationships" ref="G220" r:id="rId2"/>
    <hyperlink xmlns:r="http://schemas.openxmlformats.org/officeDocument/2006/relationships" ref="G221" r:id="rId3"/>
    <hyperlink xmlns:r="http://schemas.openxmlformats.org/officeDocument/2006/relationships" ref="G222" r:id="rId4"/>
  </hyperlink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2026-06-23T09:23:01Z</dcterms:created>
  <dcterms:modified xsi:type="dcterms:W3CDTF">2026-08-03T15:48:01Z</dcterms:modified>
</cp:coreProperties>
</file>